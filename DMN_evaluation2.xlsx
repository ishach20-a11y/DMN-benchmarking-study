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hac\Documents\"/>
    </mc:Choice>
  </mc:AlternateContent>
  <xr:revisionPtr revIDLastSave="0" documentId="8_{EE36FD3B-0A7F-4DE1-8E8B-E6DEDC43BD7F}" xr6:coauthVersionLast="47" xr6:coauthVersionMax="47" xr10:uidLastSave="{00000000-0000-0000-0000-000000000000}"/>
  <bookViews>
    <workbookView xWindow="-110" yWindow="-110" windowWidth="19420" windowHeight="10300" tabRatio="681" firstSheet="1" activeTab="2" xr2:uid="{00000000-000D-0000-FFFF-FFFF00000000}"/>
  </bookViews>
  <sheets>
    <sheet name="Detailed Results" sheetId="1" r:id="rId1"/>
    <sheet name="GT Input" sheetId="2" r:id="rId2"/>
    <sheet name="GT Comparison" sheetId="3" r:id="rId3"/>
    <sheet name="Summary (Avg per LLM)" sheetId="4" r:id="rId4"/>
    <sheet name="Analysis" sheetId="9" r:id="rId5"/>
    <sheet name="Iteration Avg" sheetId="5" r:id="rId6"/>
    <sheet name="Sheet1" sheetId="8" r:id="rId7"/>
  </sheets>
  <definedNames>
    <definedName name="_xlnm._FilterDatabase" localSheetId="0" hidden="1">'Detailed Results'!$A$1:$N$815</definedName>
    <definedName name="_xlnm._FilterDatabase" localSheetId="2" hidden="1">'GT Comparison'!$A$1:$AC$761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6" i="3" l="1"/>
  <c r="J56" i="3"/>
  <c r="K54" i="3"/>
  <c r="J54" i="3"/>
  <c r="K24" i="3"/>
  <c r="J24" i="3"/>
  <c r="L639" i="1"/>
  <c r="U639" i="3" s="1"/>
  <c r="N595" i="1"/>
  <c r="N593" i="1"/>
  <c r="N589" i="1"/>
  <c r="N587" i="1"/>
  <c r="N583" i="1"/>
  <c r="J583" i="1"/>
  <c r="I583" i="1"/>
  <c r="N584" i="1"/>
  <c r="N588" i="1"/>
  <c r="N590" i="1"/>
  <c r="N594" i="1"/>
  <c r="N596" i="1"/>
  <c r="N598" i="1"/>
  <c r="I584" i="1"/>
  <c r="N582" i="1"/>
  <c r="P582" i="3"/>
  <c r="I582" i="1"/>
  <c r="O582" i="3" s="1"/>
  <c r="N580" i="1"/>
  <c r="N578" i="1"/>
  <c r="Z578" i="3" s="1"/>
  <c r="N576" i="1"/>
  <c r="N574" i="1"/>
  <c r="N570" i="1"/>
  <c r="N568" i="1"/>
  <c r="N566" i="1"/>
  <c r="I566" i="1"/>
  <c r="J564" i="1"/>
  <c r="I564" i="1"/>
  <c r="M564" i="1" s="1"/>
  <c r="Y564" i="3" s="1"/>
  <c r="M44" i="1"/>
  <c r="Y44" i="3" s="1"/>
  <c r="K444" i="1"/>
  <c r="K453" i="1"/>
  <c r="J27" i="1"/>
  <c r="P27" i="3" s="1"/>
  <c r="J48" i="3"/>
  <c r="K48" i="3"/>
  <c r="K330" i="1"/>
  <c r="J55" i="3"/>
  <c r="K367" i="1"/>
  <c r="M313" i="1"/>
  <c r="J313" i="3"/>
  <c r="K313" i="3"/>
  <c r="O313" i="3"/>
  <c r="U313" i="3"/>
  <c r="M7" i="1"/>
  <c r="M8" i="1"/>
  <c r="M9" i="1"/>
  <c r="Y9" i="3" s="1"/>
  <c r="M10" i="1"/>
  <c r="Y10" i="3" s="1"/>
  <c r="M11" i="1"/>
  <c r="M12" i="1"/>
  <c r="M13" i="1"/>
  <c r="M14" i="1"/>
  <c r="M15" i="1"/>
  <c r="M16" i="1"/>
  <c r="M17" i="1"/>
  <c r="Y17" i="3" s="1"/>
  <c r="M18" i="1"/>
  <c r="Y18" i="3" s="1"/>
  <c r="M19" i="1"/>
  <c r="M20" i="1"/>
  <c r="Y20" i="3" s="1"/>
  <c r="M21" i="1"/>
  <c r="M22" i="1"/>
  <c r="M23" i="1"/>
  <c r="M24" i="1"/>
  <c r="M25" i="1"/>
  <c r="Y25" i="3" s="1"/>
  <c r="M26" i="1"/>
  <c r="M27" i="1"/>
  <c r="M28" i="1"/>
  <c r="Y28" i="3" s="1"/>
  <c r="M29" i="1"/>
  <c r="M30" i="1"/>
  <c r="M31" i="1"/>
  <c r="M32" i="1"/>
  <c r="M33" i="1"/>
  <c r="M34" i="1"/>
  <c r="M35" i="1"/>
  <c r="M36" i="1"/>
  <c r="M37" i="1"/>
  <c r="M38" i="1"/>
  <c r="M39" i="1"/>
  <c r="M40" i="1"/>
  <c r="Y40" i="3" s="1"/>
  <c r="M41" i="1"/>
  <c r="Y41" i="3" s="1"/>
  <c r="M42" i="1"/>
  <c r="M43" i="1"/>
  <c r="M45" i="1"/>
  <c r="M46" i="1"/>
  <c r="Y46" i="3" s="1"/>
  <c r="M47" i="1"/>
  <c r="M48" i="1"/>
  <c r="M49" i="1"/>
  <c r="M50" i="1"/>
  <c r="Y50" i="3" s="1"/>
  <c r="M51" i="1"/>
  <c r="M52" i="1"/>
  <c r="M53" i="1"/>
  <c r="M54" i="1"/>
  <c r="M55" i="1"/>
  <c r="M56" i="1"/>
  <c r="M57" i="1"/>
  <c r="M58" i="1"/>
  <c r="Y58" i="3" s="1"/>
  <c r="M59" i="1"/>
  <c r="M61" i="1"/>
  <c r="Y61" i="3" s="1"/>
  <c r="M62" i="1"/>
  <c r="M63" i="1"/>
  <c r="M64" i="1"/>
  <c r="M65" i="1"/>
  <c r="M66" i="1"/>
  <c r="M67" i="1"/>
  <c r="M68" i="1"/>
  <c r="Y68" i="3" s="1"/>
  <c r="M69" i="1"/>
  <c r="M70" i="1"/>
  <c r="M71" i="1"/>
  <c r="M72" i="1"/>
  <c r="M73" i="1"/>
  <c r="M74" i="1"/>
  <c r="M75" i="1"/>
  <c r="M76" i="1"/>
  <c r="Y76" i="3" s="1"/>
  <c r="M77" i="1"/>
  <c r="M78" i="1"/>
  <c r="Y78" i="3" s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Y92" i="3" s="1"/>
  <c r="M93" i="1"/>
  <c r="M94" i="1"/>
  <c r="M95" i="1"/>
  <c r="M96" i="1"/>
  <c r="M97" i="1"/>
  <c r="M98" i="1"/>
  <c r="Y98" i="3" s="1"/>
  <c r="M99" i="1"/>
  <c r="M100" i="1"/>
  <c r="M101" i="1"/>
  <c r="M102" i="1"/>
  <c r="Y102" i="3" s="1"/>
  <c r="M103" i="1"/>
  <c r="Y103" i="3" s="1"/>
  <c r="M104" i="1"/>
  <c r="M105" i="1"/>
  <c r="M106" i="1"/>
  <c r="Y106" i="3" s="1"/>
  <c r="M107" i="1"/>
  <c r="M108" i="1"/>
  <c r="M109" i="1"/>
  <c r="M110" i="1"/>
  <c r="Y110" i="3" s="1"/>
  <c r="M111" i="1"/>
  <c r="M112" i="1"/>
  <c r="M113" i="1"/>
  <c r="M114" i="1"/>
  <c r="M115" i="1"/>
  <c r="M116" i="1"/>
  <c r="M117" i="1"/>
  <c r="M118" i="1"/>
  <c r="M119" i="1"/>
  <c r="M120" i="1"/>
  <c r="M121" i="1"/>
  <c r="M122" i="1"/>
  <c r="Y122" i="3" s="1"/>
  <c r="M123" i="1"/>
  <c r="M124" i="1"/>
  <c r="M125" i="1"/>
  <c r="M126" i="1"/>
  <c r="Y126" i="3" s="1"/>
  <c r="M127" i="1"/>
  <c r="M128" i="1"/>
  <c r="M129" i="1"/>
  <c r="M130" i="1"/>
  <c r="Y130" i="3" s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Y162" i="3" s="1"/>
  <c r="M163" i="1"/>
  <c r="M164" i="1"/>
  <c r="M165" i="1"/>
  <c r="M166" i="1"/>
  <c r="M167" i="1"/>
  <c r="M168" i="1"/>
  <c r="Y168" i="3" s="1"/>
  <c r="M169" i="1"/>
  <c r="M170" i="1"/>
  <c r="Y170" i="3" s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Y191" i="3" s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Y216" i="3" s="1"/>
  <c r="M217" i="1"/>
  <c r="M218" i="1"/>
  <c r="M219" i="1"/>
  <c r="M220" i="1"/>
  <c r="M221" i="1"/>
  <c r="M222" i="1"/>
  <c r="M223" i="1"/>
  <c r="M224" i="1"/>
  <c r="M225" i="1"/>
  <c r="Y225" i="3" s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Y238" i="3" s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Y258" i="3" s="1"/>
  <c r="M259" i="1"/>
  <c r="M260" i="1"/>
  <c r="M261" i="1"/>
  <c r="M262" i="1"/>
  <c r="Y262" i="3" s="1"/>
  <c r="M263" i="1"/>
  <c r="M264" i="1"/>
  <c r="M265" i="1"/>
  <c r="M266" i="1"/>
  <c r="Y266" i="3" s="1"/>
  <c r="M267" i="1"/>
  <c r="M268" i="1"/>
  <c r="M269" i="1"/>
  <c r="Y269" i="3" s="1"/>
  <c r="M270" i="1"/>
  <c r="Y270" i="3" s="1"/>
  <c r="M271" i="1"/>
  <c r="M272" i="1"/>
  <c r="M273" i="1"/>
  <c r="M274" i="1"/>
  <c r="Y274" i="3" s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Y330" i="3" s="1"/>
  <c r="M331" i="1"/>
  <c r="M332" i="1"/>
  <c r="M333" i="1"/>
  <c r="M334" i="1"/>
  <c r="Y334" i="3" s="1"/>
  <c r="M335" i="1"/>
  <c r="M336" i="1"/>
  <c r="M337" i="1"/>
  <c r="M338" i="1"/>
  <c r="M339" i="1"/>
  <c r="M340" i="1"/>
  <c r="M341" i="1"/>
  <c r="M342" i="1"/>
  <c r="M343" i="1"/>
  <c r="M344" i="1"/>
  <c r="M345" i="1"/>
  <c r="Y345" i="3" s="1"/>
  <c r="M346" i="1"/>
  <c r="Y346" i="3" s="1"/>
  <c r="M347" i="1"/>
  <c r="M348" i="1"/>
  <c r="M349" i="1"/>
  <c r="M350" i="1"/>
  <c r="Y350" i="3" s="1"/>
  <c r="M351" i="1"/>
  <c r="M352" i="1"/>
  <c r="M353" i="1"/>
  <c r="Y353" i="3" s="1"/>
  <c r="M354" i="1"/>
  <c r="M355" i="1"/>
  <c r="M356" i="1"/>
  <c r="M357" i="1"/>
  <c r="Y357" i="3" s="1"/>
  <c r="M358" i="1"/>
  <c r="Y358" i="3" s="1"/>
  <c r="M359" i="1"/>
  <c r="M360" i="1"/>
  <c r="M361" i="1"/>
  <c r="Y361" i="3" s="1"/>
  <c r="M362" i="1"/>
  <c r="Y362" i="3" s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Y378" i="3" s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Y409" i="3" s="1"/>
  <c r="M410" i="1"/>
  <c r="M411" i="1"/>
  <c r="M412" i="1"/>
  <c r="M413" i="1"/>
  <c r="Y413" i="3" s="1"/>
  <c r="M414" i="1"/>
  <c r="M415" i="1"/>
  <c r="M416" i="1"/>
  <c r="M417" i="1"/>
  <c r="M418" i="1"/>
  <c r="M419" i="1"/>
  <c r="M420" i="1"/>
  <c r="M421" i="1"/>
  <c r="Y421" i="3" s="1"/>
  <c r="M422" i="1"/>
  <c r="M423" i="1"/>
  <c r="M424" i="1"/>
  <c r="M425" i="1"/>
  <c r="Y425" i="3" s="1"/>
  <c r="M426" i="1"/>
  <c r="M427" i="1"/>
  <c r="M428" i="1"/>
  <c r="M429" i="1"/>
  <c r="Y429" i="3" s="1"/>
  <c r="M430" i="1"/>
  <c r="M431" i="1"/>
  <c r="M432" i="1"/>
  <c r="M433" i="1"/>
  <c r="Y433" i="3" s="1"/>
  <c r="M434" i="1"/>
  <c r="M435" i="1"/>
  <c r="Y435" i="3" s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Y545" i="3" s="1"/>
  <c r="M546" i="1"/>
  <c r="M547" i="1"/>
  <c r="M548" i="1"/>
  <c r="M549" i="1"/>
  <c r="M550" i="1"/>
  <c r="M551" i="1"/>
  <c r="M552" i="1"/>
  <c r="M553" i="1"/>
  <c r="M555" i="1"/>
  <c r="Y555" i="3" s="1"/>
  <c r="M557" i="1"/>
  <c r="M558" i="1"/>
  <c r="M559" i="1"/>
  <c r="M560" i="1"/>
  <c r="M561" i="1"/>
  <c r="Y561" i="3" s="1"/>
  <c r="M562" i="1"/>
  <c r="M563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Y580" i="3" s="1"/>
  <c r="M581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Y600" i="3" s="1"/>
  <c r="M601" i="1"/>
  <c r="M602" i="1"/>
  <c r="Y602" i="3" s="1"/>
  <c r="M603" i="1"/>
  <c r="M604" i="1"/>
  <c r="Y604" i="3" s="1"/>
  <c r="M605" i="1"/>
  <c r="M606" i="1"/>
  <c r="Y606" i="3" s="1"/>
  <c r="M607" i="1"/>
  <c r="M608" i="1"/>
  <c r="Y608" i="3" s="1"/>
  <c r="M609" i="1"/>
  <c r="M610" i="1"/>
  <c r="Y610" i="3" s="1"/>
  <c r="M611" i="1"/>
  <c r="M612" i="1"/>
  <c r="Y612" i="3" s="1"/>
  <c r="M613" i="1"/>
  <c r="M614" i="1"/>
  <c r="Y614" i="3" s="1"/>
  <c r="M615" i="1"/>
  <c r="M616" i="1"/>
  <c r="Y616" i="3" s="1"/>
  <c r="M617" i="1"/>
  <c r="M618" i="1"/>
  <c r="Y618" i="3" s="1"/>
  <c r="M619" i="1"/>
  <c r="M620" i="1"/>
  <c r="Y620" i="3" s="1"/>
  <c r="M621" i="1"/>
  <c r="M622" i="1"/>
  <c r="Y622" i="3" s="1"/>
  <c r="M623" i="1"/>
  <c r="M624" i="1"/>
  <c r="Y624" i="3" s="1"/>
  <c r="M625" i="1"/>
  <c r="M626" i="1"/>
  <c r="Y626" i="3" s="1"/>
  <c r="M627" i="1"/>
  <c r="M628" i="1"/>
  <c r="Y628" i="3" s="1"/>
  <c r="M629" i="1"/>
  <c r="M630" i="1"/>
  <c r="Y630" i="3" s="1"/>
  <c r="M631" i="1"/>
  <c r="M632" i="1"/>
  <c r="Y632" i="3" s="1"/>
  <c r="M633" i="1"/>
  <c r="M634" i="1"/>
  <c r="Y634" i="3" s="1"/>
  <c r="M635" i="1"/>
  <c r="M636" i="1"/>
  <c r="M637" i="1"/>
  <c r="M638" i="1"/>
  <c r="M639" i="1"/>
  <c r="M640" i="1"/>
  <c r="M641" i="1"/>
  <c r="M642" i="1"/>
  <c r="M643" i="1"/>
  <c r="Y643" i="3" s="1"/>
  <c r="M644" i="1"/>
  <c r="M645" i="1"/>
  <c r="M646" i="1"/>
  <c r="M647" i="1"/>
  <c r="M648" i="1"/>
  <c r="M649" i="1"/>
  <c r="M650" i="1"/>
  <c r="M651" i="1"/>
  <c r="Y651" i="3" s="1"/>
  <c r="M652" i="1"/>
  <c r="M653" i="1"/>
  <c r="M654" i="1"/>
  <c r="Y654" i="3" s="1"/>
  <c r="M655" i="1"/>
  <c r="M656" i="1"/>
  <c r="Y656" i="3" s="1"/>
  <c r="M657" i="1"/>
  <c r="M658" i="1"/>
  <c r="Y658" i="3" s="1"/>
  <c r="M659" i="1"/>
  <c r="M660" i="1"/>
  <c r="Y660" i="3" s="1"/>
  <c r="M661" i="1"/>
  <c r="M662" i="1"/>
  <c r="Y662" i="3" s="1"/>
  <c r="M663" i="1"/>
  <c r="M664" i="1"/>
  <c r="Y664" i="3" s="1"/>
  <c r="M665" i="1"/>
  <c r="M666" i="1"/>
  <c r="Y666" i="3" s="1"/>
  <c r="M667" i="1"/>
  <c r="M668" i="1"/>
  <c r="Y668" i="3" s="1"/>
  <c r="M669" i="1"/>
  <c r="M670" i="1"/>
  <c r="Y670" i="3" s="1"/>
  <c r="M671" i="1"/>
  <c r="M672" i="1"/>
  <c r="Y672" i="3" s="1"/>
  <c r="M673" i="1"/>
  <c r="M674" i="1"/>
  <c r="Y674" i="3" s="1"/>
  <c r="M675" i="1"/>
  <c r="M676" i="1"/>
  <c r="Y676" i="3" s="1"/>
  <c r="M677" i="1"/>
  <c r="M678" i="1"/>
  <c r="Y678" i="3" s="1"/>
  <c r="M679" i="1"/>
  <c r="M680" i="1"/>
  <c r="Y680" i="3" s="1"/>
  <c r="M681" i="1"/>
  <c r="M682" i="1"/>
  <c r="Y682" i="3" s="1"/>
  <c r="M683" i="1"/>
  <c r="M684" i="1"/>
  <c r="Y684" i="3" s="1"/>
  <c r="M685" i="1"/>
  <c r="M686" i="1"/>
  <c r="Y686" i="3" s="1"/>
  <c r="M687" i="1"/>
  <c r="M688" i="1"/>
  <c r="Y688" i="3" s="1"/>
  <c r="M689" i="1"/>
  <c r="M690" i="1"/>
  <c r="Y690" i="3" s="1"/>
  <c r="M691" i="1"/>
  <c r="M692" i="1"/>
  <c r="M693" i="1"/>
  <c r="M694" i="1"/>
  <c r="Y694" i="3" s="1"/>
  <c r="M695" i="1"/>
  <c r="M696" i="1"/>
  <c r="M697" i="1"/>
  <c r="M698" i="1"/>
  <c r="M699" i="1"/>
  <c r="Y699" i="3" s="1"/>
  <c r="M700" i="1"/>
  <c r="M701" i="1"/>
  <c r="M702" i="1"/>
  <c r="Y702" i="3" s="1"/>
  <c r="M703" i="1"/>
  <c r="Y703" i="3" s="1"/>
  <c r="M704" i="1"/>
  <c r="M705" i="1"/>
  <c r="M706" i="1"/>
  <c r="Y706" i="3" s="1"/>
  <c r="M707" i="1"/>
  <c r="M708" i="1"/>
  <c r="M709" i="1"/>
  <c r="M710" i="1"/>
  <c r="M711" i="1"/>
  <c r="M712" i="1"/>
  <c r="M713" i="1"/>
  <c r="M714" i="1"/>
  <c r="M715" i="1"/>
  <c r="Y715" i="3" s="1"/>
  <c r="M716" i="1"/>
  <c r="M717" i="1"/>
  <c r="M718" i="1"/>
  <c r="M719" i="1"/>
  <c r="Y719" i="3" s="1"/>
  <c r="M720" i="1"/>
  <c r="M721" i="1"/>
  <c r="M722" i="1"/>
  <c r="M723" i="1"/>
  <c r="M724" i="1"/>
  <c r="M725" i="1"/>
  <c r="M726" i="1"/>
  <c r="M727" i="1"/>
  <c r="Y727" i="3" s="1"/>
  <c r="M728" i="1"/>
  <c r="M729" i="1"/>
  <c r="Y729" i="3" s="1"/>
  <c r="M730" i="1"/>
  <c r="M731" i="1"/>
  <c r="M732" i="1"/>
  <c r="M733" i="1"/>
  <c r="M734" i="1"/>
  <c r="M735" i="1"/>
  <c r="Y735" i="3" s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Y751" i="3" s="1"/>
  <c r="M752" i="1"/>
  <c r="M753" i="1"/>
  <c r="M754" i="1"/>
  <c r="M755" i="1"/>
  <c r="Y755" i="3" s="1"/>
  <c r="M756" i="1"/>
  <c r="M757" i="1"/>
  <c r="M758" i="1"/>
  <c r="Y758" i="3" s="1"/>
  <c r="M759" i="1"/>
  <c r="Y759" i="3" s="1"/>
  <c r="M760" i="1"/>
  <c r="M761" i="1"/>
  <c r="M6" i="1"/>
  <c r="Y6" i="3" s="1"/>
  <c r="K7" i="1"/>
  <c r="K8" i="1"/>
  <c r="K9" i="1"/>
  <c r="K10" i="1"/>
  <c r="T10" i="3" s="1"/>
  <c r="K11" i="1"/>
  <c r="K12" i="1"/>
  <c r="K13" i="1"/>
  <c r="K14" i="1"/>
  <c r="K15" i="1"/>
  <c r="K16" i="1"/>
  <c r="K17" i="1"/>
  <c r="K18" i="1"/>
  <c r="T18" i="3" s="1"/>
  <c r="K19" i="1"/>
  <c r="K20" i="1"/>
  <c r="K21" i="1"/>
  <c r="K22" i="1"/>
  <c r="K23" i="1"/>
  <c r="K24" i="1"/>
  <c r="K25" i="1"/>
  <c r="K26" i="1"/>
  <c r="T26" i="3" s="1"/>
  <c r="K27" i="1"/>
  <c r="K28" i="1"/>
  <c r="T28" i="3" s="1"/>
  <c r="K29" i="1"/>
  <c r="T29" i="3" s="1"/>
  <c r="K30" i="1"/>
  <c r="T30" i="3" s="1"/>
  <c r="K31" i="1"/>
  <c r="K32" i="1"/>
  <c r="K33" i="1"/>
  <c r="K34" i="1"/>
  <c r="T34" i="3" s="1"/>
  <c r="K35" i="1"/>
  <c r="K36" i="1"/>
  <c r="K37" i="1"/>
  <c r="T37" i="3" s="1"/>
  <c r="K38" i="1"/>
  <c r="K39" i="1"/>
  <c r="K40" i="1"/>
  <c r="K41" i="1"/>
  <c r="K42" i="1"/>
  <c r="K43" i="1"/>
  <c r="K44" i="1"/>
  <c r="K45" i="1"/>
  <c r="T45" i="3" s="1"/>
  <c r="K46" i="1"/>
  <c r="K47" i="1"/>
  <c r="K48" i="1"/>
  <c r="K49" i="1"/>
  <c r="T49" i="3" s="1"/>
  <c r="K50" i="1"/>
  <c r="K51" i="1"/>
  <c r="K52" i="1"/>
  <c r="K53" i="1"/>
  <c r="T53" i="3" s="1"/>
  <c r="K54" i="1"/>
  <c r="K55" i="1"/>
  <c r="K56" i="1"/>
  <c r="K57" i="1"/>
  <c r="T57" i="3" s="1"/>
  <c r="K58" i="1"/>
  <c r="K59" i="1"/>
  <c r="K61" i="1"/>
  <c r="T61" i="3" s="1"/>
  <c r="K62" i="1"/>
  <c r="K63" i="1"/>
  <c r="K64" i="1"/>
  <c r="K65" i="1"/>
  <c r="T65" i="3" s="1"/>
  <c r="K66" i="1"/>
  <c r="K67" i="1"/>
  <c r="K68" i="1"/>
  <c r="T68" i="3" s="1"/>
  <c r="K69" i="1"/>
  <c r="K70" i="1"/>
  <c r="K71" i="1"/>
  <c r="K72" i="1"/>
  <c r="T72" i="3" s="1"/>
  <c r="K73" i="1"/>
  <c r="K74" i="1"/>
  <c r="K75" i="1"/>
  <c r="K76" i="1"/>
  <c r="T76" i="3" s="1"/>
  <c r="K77" i="1"/>
  <c r="K78" i="1"/>
  <c r="K79" i="1"/>
  <c r="K80" i="1"/>
  <c r="K81" i="1"/>
  <c r="K82" i="1"/>
  <c r="K83" i="1"/>
  <c r="K84" i="1"/>
  <c r="K85" i="1"/>
  <c r="K86" i="1"/>
  <c r="K87" i="1"/>
  <c r="T87" i="3" s="1"/>
  <c r="K88" i="1"/>
  <c r="K89" i="1"/>
  <c r="K90" i="1"/>
  <c r="K91" i="1"/>
  <c r="K92" i="1"/>
  <c r="K93" i="1"/>
  <c r="K94" i="1"/>
  <c r="K95" i="1"/>
  <c r="K96" i="1"/>
  <c r="K97" i="1"/>
  <c r="K98" i="1"/>
  <c r="T98" i="3" s="1"/>
  <c r="K99" i="1"/>
  <c r="K100" i="1"/>
  <c r="K101" i="1"/>
  <c r="K102" i="1"/>
  <c r="K103" i="1"/>
  <c r="K104" i="1"/>
  <c r="K105" i="1"/>
  <c r="K106" i="1"/>
  <c r="K107" i="1"/>
  <c r="K108" i="1"/>
  <c r="K109" i="1"/>
  <c r="K110" i="1"/>
  <c r="T110" i="3" s="1"/>
  <c r="K111" i="1"/>
  <c r="T111" i="3" s="1"/>
  <c r="K112" i="1"/>
  <c r="K113" i="1"/>
  <c r="K114" i="1"/>
  <c r="K115" i="1"/>
  <c r="T115" i="3" s="1"/>
  <c r="K116" i="1"/>
  <c r="K117" i="1"/>
  <c r="K118" i="1"/>
  <c r="K119" i="1"/>
  <c r="T119" i="3" s="1"/>
  <c r="K120" i="1"/>
  <c r="K121" i="1"/>
  <c r="K122" i="1"/>
  <c r="K123" i="1"/>
  <c r="T123" i="3" s="1"/>
  <c r="K124" i="1"/>
  <c r="K125" i="1"/>
  <c r="K126" i="1"/>
  <c r="K127" i="1"/>
  <c r="T127" i="3" s="1"/>
  <c r="K128" i="1"/>
  <c r="K129" i="1"/>
  <c r="K130" i="1"/>
  <c r="K131" i="1"/>
  <c r="T131" i="3" s="1"/>
  <c r="K132" i="1"/>
  <c r="K133" i="1"/>
  <c r="K134" i="1"/>
  <c r="K135" i="1"/>
  <c r="T135" i="3" s="1"/>
  <c r="K136" i="1"/>
  <c r="K137" i="1"/>
  <c r="K138" i="1"/>
  <c r="K139" i="1"/>
  <c r="K140" i="1"/>
  <c r="K141" i="1"/>
  <c r="K142" i="1"/>
  <c r="T142" i="3" s="1"/>
  <c r="K143" i="1"/>
  <c r="T143" i="3" s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T176" i="3" s="1"/>
  <c r="K177" i="1"/>
  <c r="K178" i="1"/>
  <c r="K179" i="1"/>
  <c r="K180" i="1"/>
  <c r="T180" i="3" s="1"/>
  <c r="K181" i="1"/>
  <c r="K182" i="1"/>
  <c r="K183" i="1"/>
  <c r="K184" i="1"/>
  <c r="K185" i="1"/>
  <c r="K186" i="1"/>
  <c r="K187" i="1"/>
  <c r="K188" i="1"/>
  <c r="T188" i="3" s="1"/>
  <c r="K189" i="1"/>
  <c r="K190" i="1"/>
  <c r="K191" i="1"/>
  <c r="K192" i="1"/>
  <c r="K193" i="1"/>
  <c r="K194" i="1"/>
  <c r="K195" i="1"/>
  <c r="K196" i="1"/>
  <c r="T196" i="3" s="1"/>
  <c r="K197" i="1"/>
  <c r="K198" i="1"/>
  <c r="K199" i="1"/>
  <c r="K200" i="1"/>
  <c r="K201" i="1"/>
  <c r="K202" i="1"/>
  <c r="K203" i="1"/>
  <c r="K204" i="1"/>
  <c r="T204" i="3" s="1"/>
  <c r="K205" i="1"/>
  <c r="K206" i="1"/>
  <c r="K207" i="1"/>
  <c r="T207" i="3" s="1"/>
  <c r="K208" i="1"/>
  <c r="T208" i="3" s="1"/>
  <c r="K209" i="1"/>
  <c r="K210" i="1"/>
  <c r="K211" i="1"/>
  <c r="K212" i="1"/>
  <c r="T212" i="3" s="1"/>
  <c r="K213" i="1"/>
  <c r="K214" i="1"/>
  <c r="K215" i="1"/>
  <c r="K216" i="1"/>
  <c r="T216" i="3" s="1"/>
  <c r="K217" i="1"/>
  <c r="K218" i="1"/>
  <c r="K219" i="1"/>
  <c r="K220" i="1"/>
  <c r="T220" i="3" s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T247" i="3" s="1"/>
  <c r="K248" i="1"/>
  <c r="K249" i="1"/>
  <c r="K250" i="1"/>
  <c r="K251" i="1"/>
  <c r="T251" i="3" s="1"/>
  <c r="K252" i="1"/>
  <c r="K253" i="1"/>
  <c r="K254" i="1"/>
  <c r="K255" i="1"/>
  <c r="T255" i="3" s="1"/>
  <c r="K256" i="1"/>
  <c r="K257" i="1"/>
  <c r="K258" i="1"/>
  <c r="K259" i="1"/>
  <c r="K260" i="1"/>
  <c r="T260" i="3" s="1"/>
  <c r="K261" i="1"/>
  <c r="T261" i="3" s="1"/>
  <c r="K262" i="1"/>
  <c r="K263" i="1"/>
  <c r="K264" i="1"/>
  <c r="T264" i="3" s="1"/>
  <c r="K265" i="1"/>
  <c r="T265" i="3" s="1"/>
  <c r="K266" i="1"/>
  <c r="K267" i="1"/>
  <c r="K268" i="1"/>
  <c r="T268" i="3" s="1"/>
  <c r="K269" i="1"/>
  <c r="K270" i="1"/>
  <c r="K271" i="1"/>
  <c r="K272" i="1"/>
  <c r="K273" i="1"/>
  <c r="T273" i="3" s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T313" i="3" s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T350" i="3" s="1"/>
  <c r="K351" i="1"/>
  <c r="K352" i="1"/>
  <c r="K353" i="1"/>
  <c r="K354" i="1"/>
  <c r="T354" i="3" s="1"/>
  <c r="K355" i="1"/>
  <c r="K356" i="1"/>
  <c r="K357" i="1"/>
  <c r="K358" i="1"/>
  <c r="T358" i="3" s="1"/>
  <c r="K359" i="1"/>
  <c r="K360" i="1"/>
  <c r="K361" i="1"/>
  <c r="T361" i="3" s="1"/>
  <c r="K362" i="1"/>
  <c r="T362" i="3" s="1"/>
  <c r="K363" i="1"/>
  <c r="K364" i="1"/>
  <c r="K365" i="1"/>
  <c r="T365" i="3" s="1"/>
  <c r="K366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T403" i="3" s="1"/>
  <c r="K404" i="1"/>
  <c r="K405" i="1"/>
  <c r="K406" i="1"/>
  <c r="K407" i="1"/>
  <c r="T407" i="3" s="1"/>
  <c r="K408" i="1"/>
  <c r="K409" i="1"/>
  <c r="K410" i="1"/>
  <c r="K411" i="1"/>
  <c r="T411" i="3" s="1"/>
  <c r="K412" i="1"/>
  <c r="K413" i="1"/>
  <c r="K414" i="1"/>
  <c r="T414" i="3" s="1"/>
  <c r="K415" i="1"/>
  <c r="T415" i="3" s="1"/>
  <c r="K416" i="1"/>
  <c r="K417" i="1"/>
  <c r="K418" i="1"/>
  <c r="T418" i="3" s="1"/>
  <c r="K419" i="1"/>
  <c r="T419" i="3" s="1"/>
  <c r="K420" i="1"/>
  <c r="K421" i="1"/>
  <c r="K422" i="1"/>
  <c r="T422" i="3" s="1"/>
  <c r="K423" i="1"/>
  <c r="K424" i="1"/>
  <c r="K425" i="1"/>
  <c r="K426" i="1"/>
  <c r="T426" i="3" s="1"/>
  <c r="K427" i="1"/>
  <c r="K428" i="1"/>
  <c r="K429" i="1"/>
  <c r="K430" i="1"/>
  <c r="T430" i="3" s="1"/>
  <c r="K431" i="1"/>
  <c r="K432" i="1"/>
  <c r="K433" i="1"/>
  <c r="K434" i="1"/>
  <c r="T434" i="3" s="1"/>
  <c r="K435" i="1"/>
  <c r="K436" i="1"/>
  <c r="K437" i="1"/>
  <c r="K438" i="1"/>
  <c r="K439" i="1"/>
  <c r="K440" i="1"/>
  <c r="K441" i="1"/>
  <c r="K442" i="1"/>
  <c r="K443" i="1"/>
  <c r="K445" i="1"/>
  <c r="K446" i="1"/>
  <c r="K447" i="1"/>
  <c r="K448" i="1"/>
  <c r="K449" i="1"/>
  <c r="K450" i="1"/>
  <c r="K451" i="1"/>
  <c r="K452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T545" i="3" s="1"/>
  <c r="K546" i="1"/>
  <c r="K547" i="1"/>
  <c r="K548" i="1"/>
  <c r="K549" i="1"/>
  <c r="K550" i="1"/>
  <c r="K551" i="1"/>
  <c r="K552" i="1"/>
  <c r="K553" i="1"/>
  <c r="K554" i="1"/>
  <c r="K555" i="1"/>
  <c r="T555" i="3" s="1"/>
  <c r="K556" i="1"/>
  <c r="K557" i="1"/>
  <c r="K558" i="1"/>
  <c r="K559" i="1"/>
  <c r="T559" i="3" s="1"/>
  <c r="K560" i="1"/>
  <c r="K561" i="1"/>
  <c r="K562" i="1"/>
  <c r="K563" i="1"/>
  <c r="T563" i="3" s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T584" i="3" s="1"/>
  <c r="K585" i="1"/>
  <c r="K586" i="1"/>
  <c r="K587" i="1"/>
  <c r="K588" i="1"/>
  <c r="K589" i="1"/>
  <c r="K590" i="1"/>
  <c r="K591" i="1"/>
  <c r="K592" i="1"/>
  <c r="T592" i="3" s="1"/>
  <c r="K593" i="1"/>
  <c r="K594" i="1"/>
  <c r="K595" i="1"/>
  <c r="K596" i="1"/>
  <c r="T596" i="3" s="1"/>
  <c r="K597" i="1"/>
  <c r="K598" i="1"/>
  <c r="K599" i="1"/>
  <c r="K600" i="1"/>
  <c r="T600" i="3" s="1"/>
  <c r="K601" i="1"/>
  <c r="T601" i="3" s="1"/>
  <c r="K602" i="1"/>
  <c r="T602" i="3" s="1"/>
  <c r="K603" i="1"/>
  <c r="K604" i="1"/>
  <c r="T604" i="3" s="1"/>
  <c r="K605" i="1"/>
  <c r="T605" i="3" s="1"/>
  <c r="K606" i="1"/>
  <c r="T606" i="3" s="1"/>
  <c r="K607" i="1"/>
  <c r="K608" i="1"/>
  <c r="T608" i="3" s="1"/>
  <c r="K609" i="1"/>
  <c r="T609" i="3" s="1"/>
  <c r="K610" i="1"/>
  <c r="T610" i="3" s="1"/>
  <c r="K611" i="1"/>
  <c r="K612" i="1"/>
  <c r="T612" i="3" s="1"/>
  <c r="K613" i="1"/>
  <c r="T613" i="3" s="1"/>
  <c r="K614" i="1"/>
  <c r="T614" i="3" s="1"/>
  <c r="K615" i="1"/>
  <c r="K616" i="1"/>
  <c r="T616" i="3" s="1"/>
  <c r="K617" i="1"/>
  <c r="T617" i="3" s="1"/>
  <c r="K618" i="1"/>
  <c r="T618" i="3" s="1"/>
  <c r="K619" i="1"/>
  <c r="K620" i="1"/>
  <c r="T620" i="3" s="1"/>
  <c r="K621" i="1"/>
  <c r="T621" i="3" s="1"/>
  <c r="K622" i="1"/>
  <c r="T622" i="3" s="1"/>
  <c r="K623" i="1"/>
  <c r="K624" i="1"/>
  <c r="T624" i="3" s="1"/>
  <c r="K625" i="1"/>
  <c r="T625" i="3" s="1"/>
  <c r="K626" i="1"/>
  <c r="T626" i="3" s="1"/>
  <c r="K627" i="1"/>
  <c r="K628" i="1"/>
  <c r="T628" i="3" s="1"/>
  <c r="K629" i="1"/>
  <c r="T629" i="3" s="1"/>
  <c r="K630" i="1"/>
  <c r="T630" i="3" s="1"/>
  <c r="K631" i="1"/>
  <c r="K632" i="1"/>
  <c r="T632" i="3" s="1"/>
  <c r="K633" i="1"/>
  <c r="T633" i="3" s="1"/>
  <c r="K634" i="1"/>
  <c r="T634" i="3" s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T653" i="3" s="1"/>
  <c r="K654" i="1"/>
  <c r="T654" i="3" s="1"/>
  <c r="K655" i="1"/>
  <c r="K656" i="1"/>
  <c r="T656" i="3" s="1"/>
  <c r="K657" i="1"/>
  <c r="T657" i="3" s="1"/>
  <c r="K658" i="1"/>
  <c r="T658" i="3" s="1"/>
  <c r="K659" i="1"/>
  <c r="K660" i="1"/>
  <c r="T660" i="3" s="1"/>
  <c r="K661" i="1"/>
  <c r="T661" i="3" s="1"/>
  <c r="K662" i="1"/>
  <c r="T662" i="3" s="1"/>
  <c r="K663" i="1"/>
  <c r="K664" i="1"/>
  <c r="T664" i="3" s="1"/>
  <c r="K665" i="1"/>
  <c r="T665" i="3" s="1"/>
  <c r="K666" i="1"/>
  <c r="T666" i="3" s="1"/>
  <c r="K667" i="1"/>
  <c r="K668" i="1"/>
  <c r="T668" i="3" s="1"/>
  <c r="K669" i="1"/>
  <c r="T669" i="3" s="1"/>
  <c r="K670" i="1"/>
  <c r="T670" i="3" s="1"/>
  <c r="K671" i="1"/>
  <c r="K672" i="1"/>
  <c r="T672" i="3" s="1"/>
  <c r="K673" i="1"/>
  <c r="K674" i="1"/>
  <c r="T674" i="3" s="1"/>
  <c r="K675" i="1"/>
  <c r="K676" i="1"/>
  <c r="T676" i="3" s="1"/>
  <c r="K677" i="1"/>
  <c r="K678" i="1"/>
  <c r="T678" i="3" s="1"/>
  <c r="K679" i="1"/>
  <c r="K680" i="1"/>
  <c r="T680" i="3" s="1"/>
  <c r="K681" i="1"/>
  <c r="K682" i="1"/>
  <c r="T682" i="3" s="1"/>
  <c r="K683" i="1"/>
  <c r="K684" i="1"/>
  <c r="T684" i="3" s="1"/>
  <c r="K685" i="1"/>
  <c r="K686" i="1"/>
  <c r="T686" i="3" s="1"/>
  <c r="K687" i="1"/>
  <c r="K688" i="1"/>
  <c r="T688" i="3" s="1"/>
  <c r="K689" i="1"/>
  <c r="K690" i="1"/>
  <c r="K691" i="1"/>
  <c r="K692" i="1"/>
  <c r="K693" i="1"/>
  <c r="T693" i="3" s="1"/>
  <c r="K694" i="1"/>
  <c r="T694" i="3" s="1"/>
  <c r="K695" i="1"/>
  <c r="T695" i="3" s="1"/>
  <c r="K696" i="1"/>
  <c r="K697" i="1"/>
  <c r="K698" i="1"/>
  <c r="T698" i="3" s="1"/>
  <c r="K699" i="1"/>
  <c r="K700" i="1"/>
  <c r="K701" i="1"/>
  <c r="T701" i="3" s="1"/>
  <c r="K702" i="1"/>
  <c r="K703" i="1"/>
  <c r="K704" i="1"/>
  <c r="K705" i="1"/>
  <c r="K706" i="1"/>
  <c r="T706" i="3" s="1"/>
  <c r="K707" i="1"/>
  <c r="K708" i="1"/>
  <c r="K709" i="1"/>
  <c r="K710" i="1"/>
  <c r="K711" i="1"/>
  <c r="T711" i="3" s="1"/>
  <c r="K712" i="1"/>
  <c r="T712" i="3" s="1"/>
  <c r="K713" i="1"/>
  <c r="K714" i="1"/>
  <c r="K715" i="1"/>
  <c r="T715" i="3" s="1"/>
  <c r="K716" i="1"/>
  <c r="T716" i="3" s="1"/>
  <c r="K717" i="1"/>
  <c r="K718" i="1"/>
  <c r="K719" i="1"/>
  <c r="T719" i="3" s="1"/>
  <c r="K720" i="1"/>
  <c r="K721" i="1"/>
  <c r="K722" i="1"/>
  <c r="K723" i="1"/>
  <c r="T723" i="3" s="1"/>
  <c r="K724" i="1"/>
  <c r="K725" i="1"/>
  <c r="T725" i="3" s="1"/>
  <c r="K726" i="1"/>
  <c r="K727" i="1"/>
  <c r="K728" i="1"/>
  <c r="K729" i="1"/>
  <c r="T729" i="3" s="1"/>
  <c r="K730" i="1"/>
  <c r="K731" i="1"/>
  <c r="K732" i="1"/>
  <c r="K733" i="1"/>
  <c r="T733" i="3" s="1"/>
  <c r="K734" i="1"/>
  <c r="K735" i="1"/>
  <c r="K736" i="1"/>
  <c r="K737" i="1"/>
  <c r="K738" i="1"/>
  <c r="K739" i="1"/>
  <c r="T739" i="3" s="1"/>
  <c r="K740" i="1"/>
  <c r="K741" i="1"/>
  <c r="K742" i="1"/>
  <c r="K743" i="1"/>
  <c r="T743" i="3" s="1"/>
  <c r="K744" i="1"/>
  <c r="K745" i="1"/>
  <c r="K746" i="1"/>
  <c r="K747" i="1"/>
  <c r="T747" i="3" s="1"/>
  <c r="K748" i="1"/>
  <c r="K749" i="1"/>
  <c r="K750" i="1"/>
  <c r="K751" i="1"/>
  <c r="T751" i="3" s="1"/>
  <c r="K752" i="1"/>
  <c r="K753" i="1"/>
  <c r="K754" i="1"/>
  <c r="T754" i="3" s="1"/>
  <c r="K755" i="1"/>
  <c r="K756" i="1"/>
  <c r="K757" i="1"/>
  <c r="K758" i="1"/>
  <c r="K759" i="1"/>
  <c r="T759" i="3" s="1"/>
  <c r="K760" i="1"/>
  <c r="K761" i="1"/>
  <c r="T761" i="3" s="1"/>
  <c r="K6" i="1"/>
  <c r="T6" i="3" s="1"/>
  <c r="D17" i="2"/>
  <c r="D16" i="2"/>
  <c r="D15" i="2"/>
  <c r="D14" i="2"/>
  <c r="D9" i="2"/>
  <c r="D6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D4" i="2"/>
  <c r="F4" i="2" s="1"/>
  <c r="Z761" i="3"/>
  <c r="Y761" i="3"/>
  <c r="AA761" i="3" s="1"/>
  <c r="U761" i="3"/>
  <c r="P761" i="3"/>
  <c r="O761" i="3"/>
  <c r="K761" i="3"/>
  <c r="J761" i="3"/>
  <c r="I761" i="3"/>
  <c r="H761" i="3"/>
  <c r="G761" i="3"/>
  <c r="F761" i="3"/>
  <c r="Z760" i="3"/>
  <c r="Y760" i="3"/>
  <c r="U760" i="3"/>
  <c r="T760" i="3"/>
  <c r="P760" i="3"/>
  <c r="O760" i="3"/>
  <c r="K760" i="3"/>
  <c r="J760" i="3"/>
  <c r="I760" i="3"/>
  <c r="AB760" i="3" s="1"/>
  <c r="H760" i="3"/>
  <c r="G760" i="3"/>
  <c r="F760" i="3"/>
  <c r="Z759" i="3"/>
  <c r="U759" i="3"/>
  <c r="P759" i="3"/>
  <c r="O759" i="3"/>
  <c r="K759" i="3"/>
  <c r="J759" i="3"/>
  <c r="I759" i="3"/>
  <c r="H759" i="3"/>
  <c r="G759" i="3"/>
  <c r="F759" i="3"/>
  <c r="Z758" i="3"/>
  <c r="U758" i="3"/>
  <c r="T758" i="3"/>
  <c r="P758" i="3"/>
  <c r="O758" i="3"/>
  <c r="K758" i="3"/>
  <c r="J758" i="3"/>
  <c r="I758" i="3"/>
  <c r="H758" i="3"/>
  <c r="G758" i="3"/>
  <c r="F758" i="3"/>
  <c r="M758" i="3" s="1"/>
  <c r="Z757" i="3"/>
  <c r="Y757" i="3"/>
  <c r="U757" i="3"/>
  <c r="T757" i="3"/>
  <c r="P757" i="3"/>
  <c r="O757" i="3"/>
  <c r="K757" i="3"/>
  <c r="J757" i="3"/>
  <c r="I757" i="3"/>
  <c r="AB757" i="3" s="1"/>
  <c r="H757" i="3"/>
  <c r="G757" i="3"/>
  <c r="F757" i="3"/>
  <c r="Z756" i="3"/>
  <c r="Y756" i="3"/>
  <c r="U756" i="3"/>
  <c r="T756" i="3"/>
  <c r="P756" i="3"/>
  <c r="O756" i="3"/>
  <c r="K756" i="3"/>
  <c r="J756" i="3"/>
  <c r="I756" i="3"/>
  <c r="AB756" i="3" s="1"/>
  <c r="H756" i="3"/>
  <c r="G756" i="3"/>
  <c r="F756" i="3"/>
  <c r="Z755" i="3"/>
  <c r="U755" i="3"/>
  <c r="T755" i="3"/>
  <c r="P755" i="3"/>
  <c r="O755" i="3"/>
  <c r="K755" i="3"/>
  <c r="J755" i="3"/>
  <c r="I755" i="3"/>
  <c r="H755" i="3"/>
  <c r="G755" i="3"/>
  <c r="F755" i="3"/>
  <c r="Z754" i="3"/>
  <c r="Y754" i="3"/>
  <c r="U754" i="3"/>
  <c r="P754" i="3"/>
  <c r="O754" i="3"/>
  <c r="K754" i="3"/>
  <c r="J754" i="3"/>
  <c r="I754" i="3"/>
  <c r="H754" i="3"/>
  <c r="G754" i="3"/>
  <c r="F754" i="3"/>
  <c r="Z753" i="3"/>
  <c r="Y753" i="3"/>
  <c r="U753" i="3"/>
  <c r="T753" i="3"/>
  <c r="P753" i="3"/>
  <c r="O753" i="3"/>
  <c r="K753" i="3"/>
  <c r="J753" i="3"/>
  <c r="I753" i="3"/>
  <c r="AB753" i="3" s="1"/>
  <c r="H753" i="3"/>
  <c r="G753" i="3"/>
  <c r="F753" i="3"/>
  <c r="M753" i="3" s="1"/>
  <c r="Z752" i="3"/>
  <c r="Y752" i="3"/>
  <c r="U752" i="3"/>
  <c r="T752" i="3"/>
  <c r="P752" i="3"/>
  <c r="O752" i="3"/>
  <c r="K752" i="3"/>
  <c r="J752" i="3"/>
  <c r="I752" i="3"/>
  <c r="AB752" i="3" s="1"/>
  <c r="H752" i="3"/>
  <c r="G752" i="3"/>
  <c r="F752" i="3"/>
  <c r="Z751" i="3"/>
  <c r="U751" i="3"/>
  <c r="P751" i="3"/>
  <c r="O751" i="3"/>
  <c r="K751" i="3"/>
  <c r="J751" i="3"/>
  <c r="I751" i="3"/>
  <c r="H751" i="3"/>
  <c r="G751" i="3"/>
  <c r="F751" i="3"/>
  <c r="Z750" i="3"/>
  <c r="Y750" i="3"/>
  <c r="U750" i="3"/>
  <c r="T750" i="3"/>
  <c r="P750" i="3"/>
  <c r="O750" i="3"/>
  <c r="K750" i="3"/>
  <c r="J750" i="3"/>
  <c r="I750" i="3"/>
  <c r="AB750" i="3" s="1"/>
  <c r="H750" i="3"/>
  <c r="G750" i="3"/>
  <c r="F750" i="3"/>
  <c r="Z749" i="3"/>
  <c r="Y749" i="3"/>
  <c r="U749" i="3"/>
  <c r="T749" i="3"/>
  <c r="P749" i="3"/>
  <c r="O749" i="3"/>
  <c r="K749" i="3"/>
  <c r="J749" i="3"/>
  <c r="I749" i="3"/>
  <c r="AB749" i="3" s="1"/>
  <c r="H749" i="3"/>
  <c r="G749" i="3"/>
  <c r="F749" i="3"/>
  <c r="Z748" i="3"/>
  <c r="Y748" i="3"/>
  <c r="U748" i="3"/>
  <c r="T748" i="3"/>
  <c r="P748" i="3"/>
  <c r="O748" i="3"/>
  <c r="K748" i="3"/>
  <c r="J748" i="3"/>
  <c r="I748" i="3"/>
  <c r="AB748" i="3" s="1"/>
  <c r="H748" i="3"/>
  <c r="G748" i="3"/>
  <c r="F748" i="3"/>
  <c r="Z747" i="3"/>
  <c r="Y747" i="3"/>
  <c r="U747" i="3"/>
  <c r="P747" i="3"/>
  <c r="O747" i="3"/>
  <c r="K747" i="3"/>
  <c r="J747" i="3"/>
  <c r="I747" i="3"/>
  <c r="H747" i="3"/>
  <c r="G747" i="3"/>
  <c r="F747" i="3"/>
  <c r="Z746" i="3"/>
  <c r="Y746" i="3"/>
  <c r="U746" i="3"/>
  <c r="T746" i="3"/>
  <c r="P746" i="3"/>
  <c r="O746" i="3"/>
  <c r="K746" i="3"/>
  <c r="J746" i="3"/>
  <c r="I746" i="3"/>
  <c r="H746" i="3"/>
  <c r="G746" i="3"/>
  <c r="F746" i="3"/>
  <c r="Z745" i="3"/>
  <c r="Y745" i="3"/>
  <c r="U745" i="3"/>
  <c r="T745" i="3"/>
  <c r="P745" i="3"/>
  <c r="O745" i="3"/>
  <c r="K745" i="3"/>
  <c r="J745" i="3"/>
  <c r="I745" i="3"/>
  <c r="H745" i="3"/>
  <c r="G745" i="3"/>
  <c r="F745" i="3"/>
  <c r="Z744" i="3"/>
  <c r="Y744" i="3"/>
  <c r="U744" i="3"/>
  <c r="T744" i="3"/>
  <c r="P744" i="3"/>
  <c r="O744" i="3"/>
  <c r="K744" i="3"/>
  <c r="J744" i="3"/>
  <c r="I744" i="3"/>
  <c r="AB744" i="3" s="1"/>
  <c r="H744" i="3"/>
  <c r="G744" i="3"/>
  <c r="F744" i="3"/>
  <c r="Z743" i="3"/>
  <c r="Y743" i="3"/>
  <c r="U743" i="3"/>
  <c r="P743" i="3"/>
  <c r="O743" i="3"/>
  <c r="K743" i="3"/>
  <c r="J743" i="3"/>
  <c r="I743" i="3"/>
  <c r="H743" i="3"/>
  <c r="G743" i="3"/>
  <c r="F743" i="3"/>
  <c r="Z742" i="3"/>
  <c r="Y742" i="3"/>
  <c r="U742" i="3"/>
  <c r="T742" i="3"/>
  <c r="P742" i="3"/>
  <c r="O742" i="3"/>
  <c r="K742" i="3"/>
  <c r="J742" i="3"/>
  <c r="I742" i="3"/>
  <c r="AB742" i="3" s="1"/>
  <c r="H742" i="3"/>
  <c r="G742" i="3"/>
  <c r="F742" i="3"/>
  <c r="Z741" i="3"/>
  <c r="Y741" i="3"/>
  <c r="U741" i="3"/>
  <c r="T741" i="3"/>
  <c r="P741" i="3"/>
  <c r="O741" i="3"/>
  <c r="K741" i="3"/>
  <c r="J741" i="3"/>
  <c r="I741" i="3"/>
  <c r="AB741" i="3" s="1"/>
  <c r="H741" i="3"/>
  <c r="G741" i="3"/>
  <c r="F741" i="3"/>
  <c r="Z740" i="3"/>
  <c r="Y740" i="3"/>
  <c r="U740" i="3"/>
  <c r="T740" i="3"/>
  <c r="P740" i="3"/>
  <c r="O740" i="3"/>
  <c r="K740" i="3"/>
  <c r="J740" i="3"/>
  <c r="I740" i="3"/>
  <c r="AB740" i="3" s="1"/>
  <c r="H740" i="3"/>
  <c r="G740" i="3"/>
  <c r="F740" i="3"/>
  <c r="Z739" i="3"/>
  <c r="Y739" i="3"/>
  <c r="U739" i="3"/>
  <c r="P739" i="3"/>
  <c r="O739" i="3"/>
  <c r="K739" i="3"/>
  <c r="J739" i="3"/>
  <c r="I739" i="3"/>
  <c r="H739" i="3"/>
  <c r="G739" i="3"/>
  <c r="F739" i="3"/>
  <c r="Z738" i="3"/>
  <c r="Y738" i="3"/>
  <c r="U738" i="3"/>
  <c r="T738" i="3"/>
  <c r="P738" i="3"/>
  <c r="O738" i="3"/>
  <c r="K738" i="3"/>
  <c r="J738" i="3"/>
  <c r="I738" i="3"/>
  <c r="H738" i="3"/>
  <c r="G738" i="3"/>
  <c r="F738" i="3"/>
  <c r="Z737" i="3"/>
  <c r="Y737" i="3"/>
  <c r="U737" i="3"/>
  <c r="T737" i="3"/>
  <c r="P737" i="3"/>
  <c r="O737" i="3"/>
  <c r="K737" i="3"/>
  <c r="J737" i="3"/>
  <c r="I737" i="3"/>
  <c r="H737" i="3"/>
  <c r="G737" i="3"/>
  <c r="F737" i="3"/>
  <c r="Z736" i="3"/>
  <c r="Y736" i="3"/>
  <c r="U736" i="3"/>
  <c r="T736" i="3"/>
  <c r="P736" i="3"/>
  <c r="O736" i="3"/>
  <c r="K736" i="3"/>
  <c r="J736" i="3"/>
  <c r="I736" i="3"/>
  <c r="AB736" i="3" s="1"/>
  <c r="H736" i="3"/>
  <c r="G736" i="3"/>
  <c r="F736" i="3"/>
  <c r="Z735" i="3"/>
  <c r="U735" i="3"/>
  <c r="T735" i="3"/>
  <c r="P735" i="3"/>
  <c r="O735" i="3"/>
  <c r="K735" i="3"/>
  <c r="J735" i="3"/>
  <c r="I735" i="3"/>
  <c r="H735" i="3"/>
  <c r="G735" i="3"/>
  <c r="F735" i="3"/>
  <c r="Z734" i="3"/>
  <c r="Y734" i="3"/>
  <c r="U734" i="3"/>
  <c r="T734" i="3"/>
  <c r="P734" i="3"/>
  <c r="O734" i="3"/>
  <c r="K734" i="3"/>
  <c r="J734" i="3"/>
  <c r="I734" i="3"/>
  <c r="AB734" i="3" s="1"/>
  <c r="H734" i="3"/>
  <c r="G734" i="3"/>
  <c r="F734" i="3"/>
  <c r="Z733" i="3"/>
  <c r="Y733" i="3"/>
  <c r="U733" i="3"/>
  <c r="P733" i="3"/>
  <c r="O733" i="3"/>
  <c r="K733" i="3"/>
  <c r="J733" i="3"/>
  <c r="I733" i="3"/>
  <c r="H733" i="3"/>
  <c r="G733" i="3"/>
  <c r="F733" i="3"/>
  <c r="Z732" i="3"/>
  <c r="Y732" i="3"/>
  <c r="U732" i="3"/>
  <c r="T732" i="3"/>
  <c r="P732" i="3"/>
  <c r="O732" i="3"/>
  <c r="K732" i="3"/>
  <c r="J732" i="3"/>
  <c r="I732" i="3"/>
  <c r="H732" i="3"/>
  <c r="G732" i="3"/>
  <c r="F732" i="3"/>
  <c r="Z731" i="3"/>
  <c r="Y731" i="3"/>
  <c r="U731" i="3"/>
  <c r="T731" i="3"/>
  <c r="P731" i="3"/>
  <c r="O731" i="3"/>
  <c r="K731" i="3"/>
  <c r="J731" i="3"/>
  <c r="I731" i="3"/>
  <c r="H731" i="3"/>
  <c r="G731" i="3"/>
  <c r="F731" i="3"/>
  <c r="Z730" i="3"/>
  <c r="Y730" i="3"/>
  <c r="U730" i="3"/>
  <c r="T730" i="3"/>
  <c r="P730" i="3"/>
  <c r="O730" i="3"/>
  <c r="K730" i="3"/>
  <c r="J730" i="3"/>
  <c r="I730" i="3"/>
  <c r="AB730" i="3" s="1"/>
  <c r="H730" i="3"/>
  <c r="G730" i="3"/>
  <c r="F730" i="3"/>
  <c r="Z729" i="3"/>
  <c r="U729" i="3"/>
  <c r="P729" i="3"/>
  <c r="O729" i="3"/>
  <c r="K729" i="3"/>
  <c r="J729" i="3"/>
  <c r="I729" i="3"/>
  <c r="H729" i="3"/>
  <c r="G729" i="3"/>
  <c r="F729" i="3"/>
  <c r="Z728" i="3"/>
  <c r="Y728" i="3"/>
  <c r="U728" i="3"/>
  <c r="T728" i="3"/>
  <c r="P728" i="3"/>
  <c r="O728" i="3"/>
  <c r="K728" i="3"/>
  <c r="J728" i="3"/>
  <c r="I728" i="3"/>
  <c r="AB728" i="3" s="1"/>
  <c r="H728" i="3"/>
  <c r="G728" i="3"/>
  <c r="F728" i="3"/>
  <c r="Z727" i="3"/>
  <c r="U727" i="3"/>
  <c r="T727" i="3"/>
  <c r="P727" i="3"/>
  <c r="O727" i="3"/>
  <c r="Q727" i="3" s="1"/>
  <c r="K727" i="3"/>
  <c r="J727" i="3"/>
  <c r="I727" i="3"/>
  <c r="H727" i="3"/>
  <c r="G727" i="3"/>
  <c r="F727" i="3"/>
  <c r="Z726" i="3"/>
  <c r="Y726" i="3"/>
  <c r="U726" i="3"/>
  <c r="T726" i="3"/>
  <c r="P726" i="3"/>
  <c r="O726" i="3"/>
  <c r="K726" i="3"/>
  <c r="J726" i="3"/>
  <c r="I726" i="3"/>
  <c r="AB726" i="3" s="1"/>
  <c r="H726" i="3"/>
  <c r="G726" i="3"/>
  <c r="F726" i="3"/>
  <c r="Z725" i="3"/>
  <c r="Y725" i="3"/>
  <c r="U725" i="3"/>
  <c r="P725" i="3"/>
  <c r="O725" i="3"/>
  <c r="K725" i="3"/>
  <c r="J725" i="3"/>
  <c r="I725" i="3"/>
  <c r="H725" i="3"/>
  <c r="G725" i="3"/>
  <c r="F725" i="3"/>
  <c r="Z724" i="3"/>
  <c r="Y724" i="3"/>
  <c r="U724" i="3"/>
  <c r="T724" i="3"/>
  <c r="P724" i="3"/>
  <c r="O724" i="3"/>
  <c r="K724" i="3"/>
  <c r="J724" i="3"/>
  <c r="I724" i="3"/>
  <c r="AB724" i="3" s="1"/>
  <c r="H724" i="3"/>
  <c r="G724" i="3"/>
  <c r="F724" i="3"/>
  <c r="Z723" i="3"/>
  <c r="Y723" i="3"/>
  <c r="U723" i="3"/>
  <c r="P723" i="3"/>
  <c r="O723" i="3"/>
  <c r="K723" i="3"/>
  <c r="J723" i="3"/>
  <c r="I723" i="3"/>
  <c r="H723" i="3"/>
  <c r="G723" i="3"/>
  <c r="F723" i="3"/>
  <c r="Z722" i="3"/>
  <c r="Y722" i="3"/>
  <c r="U722" i="3"/>
  <c r="T722" i="3"/>
  <c r="P722" i="3"/>
  <c r="O722" i="3"/>
  <c r="K722" i="3"/>
  <c r="J722" i="3"/>
  <c r="I722" i="3"/>
  <c r="AB722" i="3" s="1"/>
  <c r="H722" i="3"/>
  <c r="G722" i="3"/>
  <c r="F722" i="3"/>
  <c r="Z721" i="3"/>
  <c r="Y721" i="3"/>
  <c r="U721" i="3"/>
  <c r="T721" i="3"/>
  <c r="P721" i="3"/>
  <c r="O721" i="3"/>
  <c r="K721" i="3"/>
  <c r="J721" i="3"/>
  <c r="I721" i="3"/>
  <c r="AB721" i="3" s="1"/>
  <c r="H721" i="3"/>
  <c r="G721" i="3"/>
  <c r="F721" i="3"/>
  <c r="Z720" i="3"/>
  <c r="Y720" i="3"/>
  <c r="U720" i="3"/>
  <c r="T720" i="3"/>
  <c r="P720" i="3"/>
  <c r="O720" i="3"/>
  <c r="K720" i="3"/>
  <c r="J720" i="3"/>
  <c r="I720" i="3"/>
  <c r="AB720" i="3" s="1"/>
  <c r="H720" i="3"/>
  <c r="G720" i="3"/>
  <c r="F720" i="3"/>
  <c r="Z719" i="3"/>
  <c r="U719" i="3"/>
  <c r="P719" i="3"/>
  <c r="O719" i="3"/>
  <c r="K719" i="3"/>
  <c r="J719" i="3"/>
  <c r="I719" i="3"/>
  <c r="H719" i="3"/>
  <c r="G719" i="3"/>
  <c r="F719" i="3"/>
  <c r="Z718" i="3"/>
  <c r="Y718" i="3"/>
  <c r="U718" i="3"/>
  <c r="T718" i="3"/>
  <c r="P718" i="3"/>
  <c r="O718" i="3"/>
  <c r="K718" i="3"/>
  <c r="J718" i="3"/>
  <c r="I718" i="3"/>
  <c r="AB718" i="3" s="1"/>
  <c r="H718" i="3"/>
  <c r="G718" i="3"/>
  <c r="F718" i="3"/>
  <c r="Z717" i="3"/>
  <c r="Y717" i="3"/>
  <c r="U717" i="3"/>
  <c r="T717" i="3"/>
  <c r="P717" i="3"/>
  <c r="O717" i="3"/>
  <c r="K717" i="3"/>
  <c r="J717" i="3"/>
  <c r="I717" i="3"/>
  <c r="AB717" i="3" s="1"/>
  <c r="H717" i="3"/>
  <c r="G717" i="3"/>
  <c r="F717" i="3"/>
  <c r="Z716" i="3"/>
  <c r="Y716" i="3"/>
  <c r="U716" i="3"/>
  <c r="P716" i="3"/>
  <c r="O716" i="3"/>
  <c r="K716" i="3"/>
  <c r="J716" i="3"/>
  <c r="I716" i="3"/>
  <c r="H716" i="3"/>
  <c r="G716" i="3"/>
  <c r="F716" i="3"/>
  <c r="Z715" i="3"/>
  <c r="U715" i="3"/>
  <c r="P715" i="3"/>
  <c r="O715" i="3"/>
  <c r="K715" i="3"/>
  <c r="J715" i="3"/>
  <c r="I715" i="3"/>
  <c r="H715" i="3"/>
  <c r="G715" i="3"/>
  <c r="F715" i="3"/>
  <c r="Z714" i="3"/>
  <c r="Y714" i="3"/>
  <c r="U714" i="3"/>
  <c r="T714" i="3"/>
  <c r="P714" i="3"/>
  <c r="O714" i="3"/>
  <c r="K714" i="3"/>
  <c r="J714" i="3"/>
  <c r="I714" i="3"/>
  <c r="AB714" i="3" s="1"/>
  <c r="H714" i="3"/>
  <c r="G714" i="3"/>
  <c r="F714" i="3"/>
  <c r="Z713" i="3"/>
  <c r="Y713" i="3"/>
  <c r="U713" i="3"/>
  <c r="T713" i="3"/>
  <c r="P713" i="3"/>
  <c r="O713" i="3"/>
  <c r="K713" i="3"/>
  <c r="J713" i="3"/>
  <c r="I713" i="3"/>
  <c r="AB713" i="3" s="1"/>
  <c r="H713" i="3"/>
  <c r="G713" i="3"/>
  <c r="F713" i="3"/>
  <c r="Z712" i="3"/>
  <c r="Y712" i="3"/>
  <c r="U712" i="3"/>
  <c r="P712" i="3"/>
  <c r="O712" i="3"/>
  <c r="K712" i="3"/>
  <c r="J712" i="3"/>
  <c r="I712" i="3"/>
  <c r="H712" i="3"/>
  <c r="G712" i="3"/>
  <c r="F712" i="3"/>
  <c r="Z711" i="3"/>
  <c r="Y711" i="3"/>
  <c r="U711" i="3"/>
  <c r="P711" i="3"/>
  <c r="O711" i="3"/>
  <c r="K711" i="3"/>
  <c r="J711" i="3"/>
  <c r="I711" i="3"/>
  <c r="H711" i="3"/>
  <c r="G711" i="3"/>
  <c r="F711" i="3"/>
  <c r="Z710" i="3"/>
  <c r="Y710" i="3"/>
  <c r="U710" i="3"/>
  <c r="T710" i="3"/>
  <c r="P710" i="3"/>
  <c r="O710" i="3"/>
  <c r="K710" i="3"/>
  <c r="J710" i="3"/>
  <c r="I710" i="3"/>
  <c r="AB710" i="3" s="1"/>
  <c r="H710" i="3"/>
  <c r="G710" i="3"/>
  <c r="F710" i="3"/>
  <c r="Z709" i="3"/>
  <c r="Y709" i="3"/>
  <c r="U709" i="3"/>
  <c r="T709" i="3"/>
  <c r="P709" i="3"/>
  <c r="O709" i="3"/>
  <c r="K709" i="3"/>
  <c r="J709" i="3"/>
  <c r="I709" i="3"/>
  <c r="AB709" i="3" s="1"/>
  <c r="H709" i="3"/>
  <c r="G709" i="3"/>
  <c r="F709" i="3"/>
  <c r="Z708" i="3"/>
  <c r="Y708" i="3"/>
  <c r="U708" i="3"/>
  <c r="T708" i="3"/>
  <c r="P708" i="3"/>
  <c r="O708" i="3"/>
  <c r="K708" i="3"/>
  <c r="J708" i="3"/>
  <c r="I708" i="3"/>
  <c r="AB708" i="3" s="1"/>
  <c r="H708" i="3"/>
  <c r="G708" i="3"/>
  <c r="F708" i="3"/>
  <c r="Z707" i="3"/>
  <c r="Y707" i="3"/>
  <c r="U707" i="3"/>
  <c r="T707" i="3"/>
  <c r="P707" i="3"/>
  <c r="O707" i="3"/>
  <c r="K707" i="3"/>
  <c r="J707" i="3"/>
  <c r="I707" i="3"/>
  <c r="AB707" i="3" s="1"/>
  <c r="H707" i="3"/>
  <c r="G707" i="3"/>
  <c r="F707" i="3"/>
  <c r="Z706" i="3"/>
  <c r="U706" i="3"/>
  <c r="P706" i="3"/>
  <c r="O706" i="3"/>
  <c r="K706" i="3"/>
  <c r="J706" i="3"/>
  <c r="I706" i="3"/>
  <c r="H706" i="3"/>
  <c r="G706" i="3"/>
  <c r="R706" i="3" s="1"/>
  <c r="F706" i="3"/>
  <c r="Z705" i="3"/>
  <c r="Y705" i="3"/>
  <c r="U705" i="3"/>
  <c r="T705" i="3"/>
  <c r="P705" i="3"/>
  <c r="O705" i="3"/>
  <c r="K705" i="3"/>
  <c r="J705" i="3"/>
  <c r="I705" i="3"/>
  <c r="AB705" i="3" s="1"/>
  <c r="H705" i="3"/>
  <c r="G705" i="3"/>
  <c r="F705" i="3"/>
  <c r="Z704" i="3"/>
  <c r="Y704" i="3"/>
  <c r="U704" i="3"/>
  <c r="T704" i="3"/>
  <c r="P704" i="3"/>
  <c r="O704" i="3"/>
  <c r="K704" i="3"/>
  <c r="J704" i="3"/>
  <c r="I704" i="3"/>
  <c r="H704" i="3"/>
  <c r="G704" i="3"/>
  <c r="R704" i="3" s="1"/>
  <c r="F704" i="3"/>
  <c r="Z703" i="3"/>
  <c r="U703" i="3"/>
  <c r="T703" i="3"/>
  <c r="P703" i="3"/>
  <c r="O703" i="3"/>
  <c r="K703" i="3"/>
  <c r="J703" i="3"/>
  <c r="I703" i="3"/>
  <c r="H703" i="3"/>
  <c r="G703" i="3"/>
  <c r="F703" i="3"/>
  <c r="Z702" i="3"/>
  <c r="U702" i="3"/>
  <c r="T702" i="3"/>
  <c r="P702" i="3"/>
  <c r="O702" i="3"/>
  <c r="K702" i="3"/>
  <c r="J702" i="3"/>
  <c r="I702" i="3"/>
  <c r="AB702" i="3" s="1"/>
  <c r="H702" i="3"/>
  <c r="G702" i="3"/>
  <c r="F702" i="3"/>
  <c r="M702" i="3" s="1"/>
  <c r="Z701" i="3"/>
  <c r="Y701" i="3"/>
  <c r="U701" i="3"/>
  <c r="P701" i="3"/>
  <c r="O701" i="3"/>
  <c r="K701" i="3"/>
  <c r="J701" i="3"/>
  <c r="I701" i="3"/>
  <c r="H701" i="3"/>
  <c r="G701" i="3"/>
  <c r="F701" i="3"/>
  <c r="Z700" i="3"/>
  <c r="Y700" i="3"/>
  <c r="U700" i="3"/>
  <c r="T700" i="3"/>
  <c r="P700" i="3"/>
  <c r="O700" i="3"/>
  <c r="K700" i="3"/>
  <c r="J700" i="3"/>
  <c r="I700" i="3"/>
  <c r="AB700" i="3" s="1"/>
  <c r="H700" i="3"/>
  <c r="G700" i="3"/>
  <c r="F700" i="3"/>
  <c r="M700" i="3" s="1"/>
  <c r="Z699" i="3"/>
  <c r="U699" i="3"/>
  <c r="T699" i="3"/>
  <c r="P699" i="3"/>
  <c r="O699" i="3"/>
  <c r="K699" i="3"/>
  <c r="J699" i="3"/>
  <c r="I699" i="3"/>
  <c r="H699" i="3"/>
  <c r="G699" i="3"/>
  <c r="F699" i="3"/>
  <c r="Z698" i="3"/>
  <c r="Y698" i="3"/>
  <c r="U698" i="3"/>
  <c r="P698" i="3"/>
  <c r="O698" i="3"/>
  <c r="K698" i="3"/>
  <c r="J698" i="3"/>
  <c r="I698" i="3"/>
  <c r="AB698" i="3" s="1"/>
  <c r="H698" i="3"/>
  <c r="G698" i="3"/>
  <c r="F698" i="3"/>
  <c r="Z697" i="3"/>
  <c r="Y697" i="3"/>
  <c r="U697" i="3"/>
  <c r="T697" i="3"/>
  <c r="P697" i="3"/>
  <c r="O697" i="3"/>
  <c r="K697" i="3"/>
  <c r="J697" i="3"/>
  <c r="I697" i="3"/>
  <c r="AB697" i="3" s="1"/>
  <c r="H697" i="3"/>
  <c r="G697" i="3"/>
  <c r="F697" i="3"/>
  <c r="Z696" i="3"/>
  <c r="Y696" i="3"/>
  <c r="U696" i="3"/>
  <c r="T696" i="3"/>
  <c r="P696" i="3"/>
  <c r="O696" i="3"/>
  <c r="K696" i="3"/>
  <c r="J696" i="3"/>
  <c r="I696" i="3"/>
  <c r="H696" i="3"/>
  <c r="G696" i="3"/>
  <c r="F696" i="3"/>
  <c r="Z695" i="3"/>
  <c r="Y695" i="3"/>
  <c r="U695" i="3"/>
  <c r="P695" i="3"/>
  <c r="O695" i="3"/>
  <c r="K695" i="3"/>
  <c r="J695" i="3"/>
  <c r="I695" i="3"/>
  <c r="H695" i="3"/>
  <c r="G695" i="3"/>
  <c r="F695" i="3"/>
  <c r="Z694" i="3"/>
  <c r="U694" i="3"/>
  <c r="P694" i="3"/>
  <c r="O694" i="3"/>
  <c r="K694" i="3"/>
  <c r="J694" i="3"/>
  <c r="I694" i="3"/>
  <c r="H694" i="3"/>
  <c r="G694" i="3"/>
  <c r="R694" i="3" s="1"/>
  <c r="F694" i="3"/>
  <c r="Z693" i="3"/>
  <c r="Y693" i="3"/>
  <c r="U693" i="3"/>
  <c r="P693" i="3"/>
  <c r="O693" i="3"/>
  <c r="K693" i="3"/>
  <c r="J693" i="3"/>
  <c r="I693" i="3"/>
  <c r="H693" i="3"/>
  <c r="G693" i="3"/>
  <c r="R693" i="3" s="1"/>
  <c r="F693" i="3"/>
  <c r="Z692" i="3"/>
  <c r="Y692" i="3"/>
  <c r="U692" i="3"/>
  <c r="T692" i="3"/>
  <c r="P692" i="3"/>
  <c r="O692" i="3"/>
  <c r="K692" i="3"/>
  <c r="J692" i="3"/>
  <c r="I692" i="3"/>
  <c r="AB692" i="3" s="1"/>
  <c r="H692" i="3"/>
  <c r="G692" i="3"/>
  <c r="R692" i="3" s="1"/>
  <c r="F692" i="3"/>
  <c r="Z691" i="3"/>
  <c r="Y691" i="3"/>
  <c r="U691" i="3"/>
  <c r="T691" i="3"/>
  <c r="P691" i="3"/>
  <c r="O691" i="3"/>
  <c r="K691" i="3"/>
  <c r="J691" i="3"/>
  <c r="I691" i="3"/>
  <c r="AB691" i="3" s="1"/>
  <c r="H691" i="3"/>
  <c r="G691" i="3"/>
  <c r="R691" i="3" s="1"/>
  <c r="F691" i="3"/>
  <c r="Z690" i="3"/>
  <c r="U690" i="3"/>
  <c r="T690" i="3"/>
  <c r="P690" i="3"/>
  <c r="O690" i="3"/>
  <c r="K690" i="3"/>
  <c r="J690" i="3"/>
  <c r="I690" i="3"/>
  <c r="H690" i="3"/>
  <c r="G690" i="3"/>
  <c r="F690" i="3"/>
  <c r="Z689" i="3"/>
  <c r="Y689" i="3"/>
  <c r="U689" i="3"/>
  <c r="T689" i="3"/>
  <c r="P689" i="3"/>
  <c r="O689" i="3"/>
  <c r="K689" i="3"/>
  <c r="J689" i="3"/>
  <c r="I689" i="3"/>
  <c r="AB689" i="3" s="1"/>
  <c r="H689" i="3"/>
  <c r="G689" i="3"/>
  <c r="F689" i="3"/>
  <c r="Z688" i="3"/>
  <c r="U688" i="3"/>
  <c r="P688" i="3"/>
  <c r="O688" i="3"/>
  <c r="K688" i="3"/>
  <c r="J688" i="3"/>
  <c r="I688" i="3"/>
  <c r="H688" i="3"/>
  <c r="G688" i="3"/>
  <c r="F688" i="3"/>
  <c r="Z687" i="3"/>
  <c r="Y687" i="3"/>
  <c r="U687" i="3"/>
  <c r="T687" i="3"/>
  <c r="P687" i="3"/>
  <c r="O687" i="3"/>
  <c r="K687" i="3"/>
  <c r="J687" i="3"/>
  <c r="I687" i="3"/>
  <c r="AB687" i="3" s="1"/>
  <c r="H687" i="3"/>
  <c r="G687" i="3"/>
  <c r="F687" i="3"/>
  <c r="Z686" i="3"/>
  <c r="U686" i="3"/>
  <c r="P686" i="3"/>
  <c r="O686" i="3"/>
  <c r="K686" i="3"/>
  <c r="J686" i="3"/>
  <c r="I686" i="3"/>
  <c r="AB686" i="3" s="1"/>
  <c r="H686" i="3"/>
  <c r="G686" i="3"/>
  <c r="F686" i="3"/>
  <c r="Z685" i="3"/>
  <c r="Y685" i="3"/>
  <c r="U685" i="3"/>
  <c r="T685" i="3"/>
  <c r="P685" i="3"/>
  <c r="O685" i="3"/>
  <c r="K685" i="3"/>
  <c r="J685" i="3"/>
  <c r="I685" i="3"/>
  <c r="AB685" i="3" s="1"/>
  <c r="H685" i="3"/>
  <c r="G685" i="3"/>
  <c r="F685" i="3"/>
  <c r="Z684" i="3"/>
  <c r="U684" i="3"/>
  <c r="P684" i="3"/>
  <c r="O684" i="3"/>
  <c r="K684" i="3"/>
  <c r="J684" i="3"/>
  <c r="I684" i="3"/>
  <c r="H684" i="3"/>
  <c r="G684" i="3"/>
  <c r="F684" i="3"/>
  <c r="Z683" i="3"/>
  <c r="Y683" i="3"/>
  <c r="U683" i="3"/>
  <c r="T683" i="3"/>
  <c r="P683" i="3"/>
  <c r="O683" i="3"/>
  <c r="K683" i="3"/>
  <c r="J683" i="3"/>
  <c r="I683" i="3"/>
  <c r="AB683" i="3" s="1"/>
  <c r="H683" i="3"/>
  <c r="G683" i="3"/>
  <c r="F683" i="3"/>
  <c r="Z682" i="3"/>
  <c r="U682" i="3"/>
  <c r="P682" i="3"/>
  <c r="O682" i="3"/>
  <c r="K682" i="3"/>
  <c r="J682" i="3"/>
  <c r="I682" i="3"/>
  <c r="H682" i="3"/>
  <c r="G682" i="3"/>
  <c r="F682" i="3"/>
  <c r="Z681" i="3"/>
  <c r="Y681" i="3"/>
  <c r="U681" i="3"/>
  <c r="T681" i="3"/>
  <c r="P681" i="3"/>
  <c r="O681" i="3"/>
  <c r="K681" i="3"/>
  <c r="J681" i="3"/>
  <c r="I681" i="3"/>
  <c r="AB681" i="3" s="1"/>
  <c r="H681" i="3"/>
  <c r="G681" i="3"/>
  <c r="F681" i="3"/>
  <c r="Z680" i="3"/>
  <c r="U680" i="3"/>
  <c r="P680" i="3"/>
  <c r="O680" i="3"/>
  <c r="K680" i="3"/>
  <c r="J680" i="3"/>
  <c r="I680" i="3"/>
  <c r="H680" i="3"/>
  <c r="G680" i="3"/>
  <c r="F680" i="3"/>
  <c r="Z679" i="3"/>
  <c r="Y679" i="3"/>
  <c r="U679" i="3"/>
  <c r="T679" i="3"/>
  <c r="P679" i="3"/>
  <c r="O679" i="3"/>
  <c r="K679" i="3"/>
  <c r="J679" i="3"/>
  <c r="I679" i="3"/>
  <c r="AB679" i="3" s="1"/>
  <c r="H679" i="3"/>
  <c r="G679" i="3"/>
  <c r="F679" i="3"/>
  <c r="Z678" i="3"/>
  <c r="U678" i="3"/>
  <c r="P678" i="3"/>
  <c r="O678" i="3"/>
  <c r="K678" i="3"/>
  <c r="J678" i="3"/>
  <c r="I678" i="3"/>
  <c r="H678" i="3"/>
  <c r="G678" i="3"/>
  <c r="F678" i="3"/>
  <c r="Z677" i="3"/>
  <c r="Y677" i="3"/>
  <c r="U677" i="3"/>
  <c r="T677" i="3"/>
  <c r="P677" i="3"/>
  <c r="O677" i="3"/>
  <c r="K677" i="3"/>
  <c r="J677" i="3"/>
  <c r="I677" i="3"/>
  <c r="AB677" i="3" s="1"/>
  <c r="H677" i="3"/>
  <c r="G677" i="3"/>
  <c r="F677" i="3"/>
  <c r="Z676" i="3"/>
  <c r="U676" i="3"/>
  <c r="P676" i="3"/>
  <c r="O676" i="3"/>
  <c r="K676" i="3"/>
  <c r="J676" i="3"/>
  <c r="I676" i="3"/>
  <c r="H676" i="3"/>
  <c r="G676" i="3"/>
  <c r="F676" i="3"/>
  <c r="Z675" i="3"/>
  <c r="Y675" i="3"/>
  <c r="U675" i="3"/>
  <c r="T675" i="3"/>
  <c r="P675" i="3"/>
  <c r="O675" i="3"/>
  <c r="K675" i="3"/>
  <c r="J675" i="3"/>
  <c r="I675" i="3"/>
  <c r="AB675" i="3" s="1"/>
  <c r="H675" i="3"/>
  <c r="G675" i="3"/>
  <c r="F675" i="3"/>
  <c r="Z674" i="3"/>
  <c r="U674" i="3"/>
  <c r="P674" i="3"/>
  <c r="O674" i="3"/>
  <c r="K674" i="3"/>
  <c r="J674" i="3"/>
  <c r="I674" i="3"/>
  <c r="H674" i="3"/>
  <c r="G674" i="3"/>
  <c r="F674" i="3"/>
  <c r="Z673" i="3"/>
  <c r="Y673" i="3"/>
  <c r="U673" i="3"/>
  <c r="T673" i="3"/>
  <c r="P673" i="3"/>
  <c r="O673" i="3"/>
  <c r="K673" i="3"/>
  <c r="J673" i="3"/>
  <c r="I673" i="3"/>
  <c r="AB673" i="3" s="1"/>
  <c r="H673" i="3"/>
  <c r="G673" i="3"/>
  <c r="F673" i="3"/>
  <c r="Z672" i="3"/>
  <c r="U672" i="3"/>
  <c r="P672" i="3"/>
  <c r="O672" i="3"/>
  <c r="K672" i="3"/>
  <c r="J672" i="3"/>
  <c r="I672" i="3"/>
  <c r="H672" i="3"/>
  <c r="G672" i="3"/>
  <c r="F672" i="3"/>
  <c r="Z671" i="3"/>
  <c r="Y671" i="3"/>
  <c r="U671" i="3"/>
  <c r="T671" i="3"/>
  <c r="P671" i="3"/>
  <c r="O671" i="3"/>
  <c r="K671" i="3"/>
  <c r="J671" i="3"/>
  <c r="I671" i="3"/>
  <c r="AB671" i="3" s="1"/>
  <c r="H671" i="3"/>
  <c r="G671" i="3"/>
  <c r="F671" i="3"/>
  <c r="Z670" i="3"/>
  <c r="U670" i="3"/>
  <c r="P670" i="3"/>
  <c r="O670" i="3"/>
  <c r="K670" i="3"/>
  <c r="J670" i="3"/>
  <c r="I670" i="3"/>
  <c r="AB670" i="3" s="1"/>
  <c r="H670" i="3"/>
  <c r="G670" i="3"/>
  <c r="F670" i="3"/>
  <c r="Z669" i="3"/>
  <c r="Y669" i="3"/>
  <c r="U669" i="3"/>
  <c r="P669" i="3"/>
  <c r="O669" i="3"/>
  <c r="K669" i="3"/>
  <c r="J669" i="3"/>
  <c r="I669" i="3"/>
  <c r="H669" i="3"/>
  <c r="G669" i="3"/>
  <c r="F669" i="3"/>
  <c r="Z668" i="3"/>
  <c r="U668" i="3"/>
  <c r="P668" i="3"/>
  <c r="O668" i="3"/>
  <c r="K668" i="3"/>
  <c r="J668" i="3"/>
  <c r="I668" i="3"/>
  <c r="AB668" i="3" s="1"/>
  <c r="H668" i="3"/>
  <c r="G668" i="3"/>
  <c r="F668" i="3"/>
  <c r="Z667" i="3"/>
  <c r="Y667" i="3"/>
  <c r="U667" i="3"/>
  <c r="T667" i="3"/>
  <c r="P667" i="3"/>
  <c r="O667" i="3"/>
  <c r="K667" i="3"/>
  <c r="J667" i="3"/>
  <c r="I667" i="3"/>
  <c r="AB667" i="3" s="1"/>
  <c r="H667" i="3"/>
  <c r="G667" i="3"/>
  <c r="F667" i="3"/>
  <c r="Z666" i="3"/>
  <c r="U666" i="3"/>
  <c r="P666" i="3"/>
  <c r="O666" i="3"/>
  <c r="K666" i="3"/>
  <c r="J666" i="3"/>
  <c r="I666" i="3"/>
  <c r="AB666" i="3" s="1"/>
  <c r="H666" i="3"/>
  <c r="G666" i="3"/>
  <c r="F666" i="3"/>
  <c r="Z665" i="3"/>
  <c r="Y665" i="3"/>
  <c r="U665" i="3"/>
  <c r="P665" i="3"/>
  <c r="O665" i="3"/>
  <c r="K665" i="3"/>
  <c r="J665" i="3"/>
  <c r="I665" i="3"/>
  <c r="AB665" i="3" s="1"/>
  <c r="H665" i="3"/>
  <c r="G665" i="3"/>
  <c r="F665" i="3"/>
  <c r="Z664" i="3"/>
  <c r="U664" i="3"/>
  <c r="P664" i="3"/>
  <c r="O664" i="3"/>
  <c r="K664" i="3"/>
  <c r="J664" i="3"/>
  <c r="I664" i="3"/>
  <c r="AB664" i="3" s="1"/>
  <c r="H664" i="3"/>
  <c r="G664" i="3"/>
  <c r="F664" i="3"/>
  <c r="Z663" i="3"/>
  <c r="Y663" i="3"/>
  <c r="U663" i="3"/>
  <c r="T663" i="3"/>
  <c r="P663" i="3"/>
  <c r="O663" i="3"/>
  <c r="K663" i="3"/>
  <c r="J663" i="3"/>
  <c r="I663" i="3"/>
  <c r="AB663" i="3" s="1"/>
  <c r="H663" i="3"/>
  <c r="G663" i="3"/>
  <c r="F663" i="3"/>
  <c r="Z662" i="3"/>
  <c r="U662" i="3"/>
  <c r="P662" i="3"/>
  <c r="O662" i="3"/>
  <c r="K662" i="3"/>
  <c r="J662" i="3"/>
  <c r="I662" i="3"/>
  <c r="H662" i="3"/>
  <c r="G662" i="3"/>
  <c r="F662" i="3"/>
  <c r="Z661" i="3"/>
  <c r="Y661" i="3"/>
  <c r="U661" i="3"/>
  <c r="P661" i="3"/>
  <c r="O661" i="3"/>
  <c r="K661" i="3"/>
  <c r="J661" i="3"/>
  <c r="I661" i="3"/>
  <c r="AB661" i="3" s="1"/>
  <c r="H661" i="3"/>
  <c r="G661" i="3"/>
  <c r="F661" i="3"/>
  <c r="Z660" i="3"/>
  <c r="U660" i="3"/>
  <c r="P660" i="3"/>
  <c r="O660" i="3"/>
  <c r="K660" i="3"/>
  <c r="J660" i="3"/>
  <c r="I660" i="3"/>
  <c r="AB660" i="3" s="1"/>
  <c r="H660" i="3"/>
  <c r="G660" i="3"/>
  <c r="F660" i="3"/>
  <c r="Z659" i="3"/>
  <c r="Y659" i="3"/>
  <c r="U659" i="3"/>
  <c r="T659" i="3"/>
  <c r="P659" i="3"/>
  <c r="O659" i="3"/>
  <c r="K659" i="3"/>
  <c r="J659" i="3"/>
  <c r="I659" i="3"/>
  <c r="AB659" i="3" s="1"/>
  <c r="H659" i="3"/>
  <c r="G659" i="3"/>
  <c r="F659" i="3"/>
  <c r="Z658" i="3"/>
  <c r="U658" i="3"/>
  <c r="P658" i="3"/>
  <c r="O658" i="3"/>
  <c r="K658" i="3"/>
  <c r="J658" i="3"/>
  <c r="I658" i="3"/>
  <c r="AB658" i="3" s="1"/>
  <c r="H658" i="3"/>
  <c r="G658" i="3"/>
  <c r="F658" i="3"/>
  <c r="Z657" i="3"/>
  <c r="Y657" i="3"/>
  <c r="U657" i="3"/>
  <c r="P657" i="3"/>
  <c r="O657" i="3"/>
  <c r="K657" i="3"/>
  <c r="J657" i="3"/>
  <c r="I657" i="3"/>
  <c r="AB657" i="3" s="1"/>
  <c r="H657" i="3"/>
  <c r="G657" i="3"/>
  <c r="F657" i="3"/>
  <c r="Z656" i="3"/>
  <c r="U656" i="3"/>
  <c r="P656" i="3"/>
  <c r="O656" i="3"/>
  <c r="K656" i="3"/>
  <c r="J656" i="3"/>
  <c r="I656" i="3"/>
  <c r="H656" i="3"/>
  <c r="G656" i="3"/>
  <c r="F656" i="3"/>
  <c r="Z655" i="3"/>
  <c r="Y655" i="3"/>
  <c r="U655" i="3"/>
  <c r="T655" i="3"/>
  <c r="P655" i="3"/>
  <c r="O655" i="3"/>
  <c r="K655" i="3"/>
  <c r="J655" i="3"/>
  <c r="I655" i="3"/>
  <c r="AB655" i="3" s="1"/>
  <c r="H655" i="3"/>
  <c r="G655" i="3"/>
  <c r="F655" i="3"/>
  <c r="Z654" i="3"/>
  <c r="U654" i="3"/>
  <c r="P654" i="3"/>
  <c r="O654" i="3"/>
  <c r="K654" i="3"/>
  <c r="J654" i="3"/>
  <c r="I654" i="3"/>
  <c r="AB654" i="3" s="1"/>
  <c r="H654" i="3"/>
  <c r="G654" i="3"/>
  <c r="F654" i="3"/>
  <c r="Z653" i="3"/>
  <c r="Y653" i="3"/>
  <c r="U653" i="3"/>
  <c r="P653" i="3"/>
  <c r="O653" i="3"/>
  <c r="K653" i="3"/>
  <c r="J653" i="3"/>
  <c r="I653" i="3"/>
  <c r="H653" i="3"/>
  <c r="G653" i="3"/>
  <c r="F653" i="3"/>
  <c r="Z652" i="3"/>
  <c r="Y652" i="3"/>
  <c r="U652" i="3"/>
  <c r="T652" i="3"/>
  <c r="P652" i="3"/>
  <c r="O652" i="3"/>
  <c r="K652" i="3"/>
  <c r="J652" i="3"/>
  <c r="I652" i="3"/>
  <c r="AB652" i="3" s="1"/>
  <c r="H652" i="3"/>
  <c r="G652" i="3"/>
  <c r="F652" i="3"/>
  <c r="Z651" i="3"/>
  <c r="U651" i="3"/>
  <c r="T651" i="3"/>
  <c r="P651" i="3"/>
  <c r="O651" i="3"/>
  <c r="K651" i="3"/>
  <c r="J651" i="3"/>
  <c r="I651" i="3"/>
  <c r="H651" i="3"/>
  <c r="G651" i="3"/>
  <c r="F651" i="3"/>
  <c r="Z650" i="3"/>
  <c r="Y650" i="3"/>
  <c r="U650" i="3"/>
  <c r="T650" i="3"/>
  <c r="P650" i="3"/>
  <c r="O650" i="3"/>
  <c r="K650" i="3"/>
  <c r="J650" i="3"/>
  <c r="I650" i="3"/>
  <c r="AB650" i="3" s="1"/>
  <c r="H650" i="3"/>
  <c r="G650" i="3"/>
  <c r="F650" i="3"/>
  <c r="Z649" i="3"/>
  <c r="Y649" i="3"/>
  <c r="U649" i="3"/>
  <c r="T649" i="3"/>
  <c r="P649" i="3"/>
  <c r="O649" i="3"/>
  <c r="K649" i="3"/>
  <c r="J649" i="3"/>
  <c r="I649" i="3"/>
  <c r="AB649" i="3" s="1"/>
  <c r="H649" i="3"/>
  <c r="G649" i="3"/>
  <c r="F649" i="3"/>
  <c r="Z648" i="3"/>
  <c r="Y648" i="3"/>
  <c r="U648" i="3"/>
  <c r="T648" i="3"/>
  <c r="P648" i="3"/>
  <c r="O648" i="3"/>
  <c r="K648" i="3"/>
  <c r="J648" i="3"/>
  <c r="I648" i="3"/>
  <c r="AB648" i="3" s="1"/>
  <c r="H648" i="3"/>
  <c r="G648" i="3"/>
  <c r="F648" i="3"/>
  <c r="Z647" i="3"/>
  <c r="Y647" i="3"/>
  <c r="U647" i="3"/>
  <c r="T647" i="3"/>
  <c r="P647" i="3"/>
  <c r="O647" i="3"/>
  <c r="K647" i="3"/>
  <c r="J647" i="3"/>
  <c r="I647" i="3"/>
  <c r="AB647" i="3" s="1"/>
  <c r="H647" i="3"/>
  <c r="G647" i="3"/>
  <c r="F647" i="3"/>
  <c r="Z646" i="3"/>
  <c r="Y646" i="3"/>
  <c r="U646" i="3"/>
  <c r="T646" i="3"/>
  <c r="P646" i="3"/>
  <c r="O646" i="3"/>
  <c r="K646" i="3"/>
  <c r="J646" i="3"/>
  <c r="I646" i="3"/>
  <c r="AB646" i="3" s="1"/>
  <c r="H646" i="3"/>
  <c r="G646" i="3"/>
  <c r="F646" i="3"/>
  <c r="Z645" i="3"/>
  <c r="Y645" i="3"/>
  <c r="U645" i="3"/>
  <c r="T645" i="3"/>
  <c r="P645" i="3"/>
  <c r="O645" i="3"/>
  <c r="K645" i="3"/>
  <c r="J645" i="3"/>
  <c r="I645" i="3"/>
  <c r="AB645" i="3" s="1"/>
  <c r="H645" i="3"/>
  <c r="G645" i="3"/>
  <c r="F645" i="3"/>
  <c r="Z644" i="3"/>
  <c r="Y644" i="3"/>
  <c r="U644" i="3"/>
  <c r="T644" i="3"/>
  <c r="P644" i="3"/>
  <c r="O644" i="3"/>
  <c r="K644" i="3"/>
  <c r="J644" i="3"/>
  <c r="I644" i="3"/>
  <c r="AB644" i="3" s="1"/>
  <c r="H644" i="3"/>
  <c r="G644" i="3"/>
  <c r="F644" i="3"/>
  <c r="Z643" i="3"/>
  <c r="U643" i="3"/>
  <c r="T643" i="3"/>
  <c r="P643" i="3"/>
  <c r="O643" i="3"/>
  <c r="K643" i="3"/>
  <c r="J643" i="3"/>
  <c r="I643" i="3"/>
  <c r="H643" i="3"/>
  <c r="G643" i="3"/>
  <c r="F643" i="3"/>
  <c r="Z642" i="3"/>
  <c r="Y642" i="3"/>
  <c r="U642" i="3"/>
  <c r="T642" i="3"/>
  <c r="P642" i="3"/>
  <c r="O642" i="3"/>
  <c r="K642" i="3"/>
  <c r="J642" i="3"/>
  <c r="I642" i="3"/>
  <c r="AB642" i="3" s="1"/>
  <c r="H642" i="3"/>
  <c r="G642" i="3"/>
  <c r="F642" i="3"/>
  <c r="Z641" i="3"/>
  <c r="Y641" i="3"/>
  <c r="U641" i="3"/>
  <c r="T641" i="3"/>
  <c r="P641" i="3"/>
  <c r="O641" i="3"/>
  <c r="K641" i="3"/>
  <c r="J641" i="3"/>
  <c r="I641" i="3"/>
  <c r="AB641" i="3" s="1"/>
  <c r="H641" i="3"/>
  <c r="G641" i="3"/>
  <c r="F641" i="3"/>
  <c r="Z640" i="3"/>
  <c r="Y640" i="3"/>
  <c r="U640" i="3"/>
  <c r="T640" i="3"/>
  <c r="P640" i="3"/>
  <c r="O640" i="3"/>
  <c r="K640" i="3"/>
  <c r="J640" i="3"/>
  <c r="I640" i="3"/>
  <c r="AB640" i="3" s="1"/>
  <c r="H640" i="3"/>
  <c r="G640" i="3"/>
  <c r="F640" i="3"/>
  <c r="Z639" i="3"/>
  <c r="Y639" i="3"/>
  <c r="T639" i="3"/>
  <c r="P639" i="3"/>
  <c r="O639" i="3"/>
  <c r="K639" i="3"/>
  <c r="J639" i="3"/>
  <c r="I639" i="3"/>
  <c r="H639" i="3"/>
  <c r="G639" i="3"/>
  <c r="F639" i="3"/>
  <c r="Z638" i="3"/>
  <c r="Y638" i="3"/>
  <c r="U638" i="3"/>
  <c r="T638" i="3"/>
  <c r="P638" i="3"/>
  <c r="O638" i="3"/>
  <c r="K638" i="3"/>
  <c r="J638" i="3"/>
  <c r="I638" i="3"/>
  <c r="AB638" i="3" s="1"/>
  <c r="H638" i="3"/>
  <c r="G638" i="3"/>
  <c r="F638" i="3"/>
  <c r="Z637" i="3"/>
  <c r="Y637" i="3"/>
  <c r="U637" i="3"/>
  <c r="T637" i="3"/>
  <c r="P637" i="3"/>
  <c r="O637" i="3"/>
  <c r="K637" i="3"/>
  <c r="J637" i="3"/>
  <c r="I637" i="3"/>
  <c r="H637" i="3"/>
  <c r="G637" i="3"/>
  <c r="F637" i="3"/>
  <c r="Z636" i="3"/>
  <c r="Y636" i="3"/>
  <c r="U636" i="3"/>
  <c r="T636" i="3"/>
  <c r="P636" i="3"/>
  <c r="O636" i="3"/>
  <c r="K636" i="3"/>
  <c r="J636" i="3"/>
  <c r="I636" i="3"/>
  <c r="H636" i="3"/>
  <c r="G636" i="3"/>
  <c r="F636" i="3"/>
  <c r="Z635" i="3"/>
  <c r="Y635" i="3"/>
  <c r="U635" i="3"/>
  <c r="T635" i="3"/>
  <c r="P635" i="3"/>
  <c r="O635" i="3"/>
  <c r="K635" i="3"/>
  <c r="J635" i="3"/>
  <c r="I635" i="3"/>
  <c r="AB635" i="3" s="1"/>
  <c r="H635" i="3"/>
  <c r="G635" i="3"/>
  <c r="F635" i="3"/>
  <c r="Z634" i="3"/>
  <c r="U634" i="3"/>
  <c r="P634" i="3"/>
  <c r="O634" i="3"/>
  <c r="K634" i="3"/>
  <c r="J634" i="3"/>
  <c r="I634" i="3"/>
  <c r="H634" i="3"/>
  <c r="G634" i="3"/>
  <c r="F634" i="3"/>
  <c r="Z633" i="3"/>
  <c r="Y633" i="3"/>
  <c r="U633" i="3"/>
  <c r="P633" i="3"/>
  <c r="O633" i="3"/>
  <c r="K633" i="3"/>
  <c r="J633" i="3"/>
  <c r="I633" i="3"/>
  <c r="H633" i="3"/>
  <c r="G633" i="3"/>
  <c r="F633" i="3"/>
  <c r="Z632" i="3"/>
  <c r="U632" i="3"/>
  <c r="P632" i="3"/>
  <c r="O632" i="3"/>
  <c r="K632" i="3"/>
  <c r="J632" i="3"/>
  <c r="I632" i="3"/>
  <c r="AB632" i="3" s="1"/>
  <c r="H632" i="3"/>
  <c r="G632" i="3"/>
  <c r="F632" i="3"/>
  <c r="Z631" i="3"/>
  <c r="Y631" i="3"/>
  <c r="U631" i="3"/>
  <c r="T631" i="3"/>
  <c r="P631" i="3"/>
  <c r="O631" i="3"/>
  <c r="K631" i="3"/>
  <c r="J631" i="3"/>
  <c r="I631" i="3"/>
  <c r="AB631" i="3" s="1"/>
  <c r="H631" i="3"/>
  <c r="G631" i="3"/>
  <c r="F631" i="3"/>
  <c r="Z630" i="3"/>
  <c r="U630" i="3"/>
  <c r="P630" i="3"/>
  <c r="O630" i="3"/>
  <c r="K630" i="3"/>
  <c r="J630" i="3"/>
  <c r="I630" i="3"/>
  <c r="AB630" i="3" s="1"/>
  <c r="H630" i="3"/>
  <c r="G630" i="3"/>
  <c r="F630" i="3"/>
  <c r="Z629" i="3"/>
  <c r="Y629" i="3"/>
  <c r="U629" i="3"/>
  <c r="P629" i="3"/>
  <c r="O629" i="3"/>
  <c r="K629" i="3"/>
  <c r="J629" i="3"/>
  <c r="I629" i="3"/>
  <c r="H629" i="3"/>
  <c r="G629" i="3"/>
  <c r="F629" i="3"/>
  <c r="Z628" i="3"/>
  <c r="U628" i="3"/>
  <c r="P628" i="3"/>
  <c r="O628" i="3"/>
  <c r="K628" i="3"/>
  <c r="J628" i="3"/>
  <c r="I628" i="3"/>
  <c r="H628" i="3"/>
  <c r="G628" i="3"/>
  <c r="F628" i="3"/>
  <c r="Z627" i="3"/>
  <c r="Y627" i="3"/>
  <c r="U627" i="3"/>
  <c r="T627" i="3"/>
  <c r="P627" i="3"/>
  <c r="O627" i="3"/>
  <c r="K627" i="3"/>
  <c r="J627" i="3"/>
  <c r="I627" i="3"/>
  <c r="AB627" i="3" s="1"/>
  <c r="H627" i="3"/>
  <c r="G627" i="3"/>
  <c r="F627" i="3"/>
  <c r="Z626" i="3"/>
  <c r="U626" i="3"/>
  <c r="P626" i="3"/>
  <c r="O626" i="3"/>
  <c r="K626" i="3"/>
  <c r="J626" i="3"/>
  <c r="I626" i="3"/>
  <c r="AB626" i="3" s="1"/>
  <c r="H626" i="3"/>
  <c r="G626" i="3"/>
  <c r="F626" i="3"/>
  <c r="Z625" i="3"/>
  <c r="Y625" i="3"/>
  <c r="U625" i="3"/>
  <c r="P625" i="3"/>
  <c r="O625" i="3"/>
  <c r="K625" i="3"/>
  <c r="J625" i="3"/>
  <c r="I625" i="3"/>
  <c r="H625" i="3"/>
  <c r="G625" i="3"/>
  <c r="F625" i="3"/>
  <c r="Z624" i="3"/>
  <c r="U624" i="3"/>
  <c r="P624" i="3"/>
  <c r="O624" i="3"/>
  <c r="K624" i="3"/>
  <c r="J624" i="3"/>
  <c r="I624" i="3"/>
  <c r="AB624" i="3" s="1"/>
  <c r="H624" i="3"/>
  <c r="G624" i="3"/>
  <c r="F624" i="3"/>
  <c r="Z623" i="3"/>
  <c r="Y623" i="3"/>
  <c r="U623" i="3"/>
  <c r="T623" i="3"/>
  <c r="P623" i="3"/>
  <c r="O623" i="3"/>
  <c r="K623" i="3"/>
  <c r="J623" i="3"/>
  <c r="I623" i="3"/>
  <c r="H623" i="3"/>
  <c r="G623" i="3"/>
  <c r="F623" i="3"/>
  <c r="Z622" i="3"/>
  <c r="U622" i="3"/>
  <c r="P622" i="3"/>
  <c r="O622" i="3"/>
  <c r="K622" i="3"/>
  <c r="J622" i="3"/>
  <c r="I622" i="3"/>
  <c r="H622" i="3"/>
  <c r="G622" i="3"/>
  <c r="F622" i="3"/>
  <c r="Z621" i="3"/>
  <c r="Y621" i="3"/>
  <c r="U621" i="3"/>
  <c r="P621" i="3"/>
  <c r="O621" i="3"/>
  <c r="K621" i="3"/>
  <c r="J621" i="3"/>
  <c r="I621" i="3"/>
  <c r="H621" i="3"/>
  <c r="G621" i="3"/>
  <c r="F621" i="3"/>
  <c r="Z620" i="3"/>
  <c r="U620" i="3"/>
  <c r="P620" i="3"/>
  <c r="O620" i="3"/>
  <c r="K620" i="3"/>
  <c r="J620" i="3"/>
  <c r="I620" i="3"/>
  <c r="AB620" i="3" s="1"/>
  <c r="H620" i="3"/>
  <c r="G620" i="3"/>
  <c r="F620" i="3"/>
  <c r="Z619" i="3"/>
  <c r="Y619" i="3"/>
  <c r="U619" i="3"/>
  <c r="T619" i="3"/>
  <c r="P619" i="3"/>
  <c r="O619" i="3"/>
  <c r="K619" i="3"/>
  <c r="J619" i="3"/>
  <c r="I619" i="3"/>
  <c r="AB619" i="3" s="1"/>
  <c r="H619" i="3"/>
  <c r="G619" i="3"/>
  <c r="F619" i="3"/>
  <c r="Z618" i="3"/>
  <c r="U618" i="3"/>
  <c r="P618" i="3"/>
  <c r="O618" i="3"/>
  <c r="K618" i="3"/>
  <c r="J618" i="3"/>
  <c r="I618" i="3"/>
  <c r="H618" i="3"/>
  <c r="G618" i="3"/>
  <c r="F618" i="3"/>
  <c r="Z617" i="3"/>
  <c r="Y617" i="3"/>
  <c r="U617" i="3"/>
  <c r="P617" i="3"/>
  <c r="O617" i="3"/>
  <c r="K617" i="3"/>
  <c r="J617" i="3"/>
  <c r="I617" i="3"/>
  <c r="H617" i="3"/>
  <c r="G617" i="3"/>
  <c r="F617" i="3"/>
  <c r="Z616" i="3"/>
  <c r="U616" i="3"/>
  <c r="P616" i="3"/>
  <c r="O616" i="3"/>
  <c r="K616" i="3"/>
  <c r="J616" i="3"/>
  <c r="I616" i="3"/>
  <c r="AB616" i="3" s="1"/>
  <c r="H616" i="3"/>
  <c r="G616" i="3"/>
  <c r="F616" i="3"/>
  <c r="Z615" i="3"/>
  <c r="Y615" i="3"/>
  <c r="U615" i="3"/>
  <c r="T615" i="3"/>
  <c r="P615" i="3"/>
  <c r="O615" i="3"/>
  <c r="K615" i="3"/>
  <c r="J615" i="3"/>
  <c r="I615" i="3"/>
  <c r="AB615" i="3" s="1"/>
  <c r="H615" i="3"/>
  <c r="G615" i="3"/>
  <c r="F615" i="3"/>
  <c r="Z614" i="3"/>
  <c r="U614" i="3"/>
  <c r="P614" i="3"/>
  <c r="O614" i="3"/>
  <c r="K614" i="3"/>
  <c r="J614" i="3"/>
  <c r="I614" i="3"/>
  <c r="AB614" i="3" s="1"/>
  <c r="H614" i="3"/>
  <c r="G614" i="3"/>
  <c r="F614" i="3"/>
  <c r="Z613" i="3"/>
  <c r="Y613" i="3"/>
  <c r="U613" i="3"/>
  <c r="P613" i="3"/>
  <c r="O613" i="3"/>
  <c r="K613" i="3"/>
  <c r="J613" i="3"/>
  <c r="I613" i="3"/>
  <c r="AB613" i="3" s="1"/>
  <c r="H613" i="3"/>
  <c r="G613" i="3"/>
  <c r="F613" i="3"/>
  <c r="Z612" i="3"/>
  <c r="U612" i="3"/>
  <c r="P612" i="3"/>
  <c r="O612" i="3"/>
  <c r="K612" i="3"/>
  <c r="J612" i="3"/>
  <c r="I612" i="3"/>
  <c r="H612" i="3"/>
  <c r="G612" i="3"/>
  <c r="F612" i="3"/>
  <c r="Z611" i="3"/>
  <c r="Y611" i="3"/>
  <c r="U611" i="3"/>
  <c r="T611" i="3"/>
  <c r="P611" i="3"/>
  <c r="O611" i="3"/>
  <c r="K611" i="3"/>
  <c r="J611" i="3"/>
  <c r="I611" i="3"/>
  <c r="AB611" i="3" s="1"/>
  <c r="H611" i="3"/>
  <c r="G611" i="3"/>
  <c r="F611" i="3"/>
  <c r="Z610" i="3"/>
  <c r="U610" i="3"/>
  <c r="P610" i="3"/>
  <c r="O610" i="3"/>
  <c r="K610" i="3"/>
  <c r="J610" i="3"/>
  <c r="I610" i="3"/>
  <c r="AB610" i="3" s="1"/>
  <c r="H610" i="3"/>
  <c r="G610" i="3"/>
  <c r="F610" i="3"/>
  <c r="Z609" i="3"/>
  <c r="Y609" i="3"/>
  <c r="U609" i="3"/>
  <c r="P609" i="3"/>
  <c r="O609" i="3"/>
  <c r="K609" i="3"/>
  <c r="J609" i="3"/>
  <c r="I609" i="3"/>
  <c r="H609" i="3"/>
  <c r="G609" i="3"/>
  <c r="F609" i="3"/>
  <c r="Z608" i="3"/>
  <c r="U608" i="3"/>
  <c r="P608" i="3"/>
  <c r="O608" i="3"/>
  <c r="K608" i="3"/>
  <c r="J608" i="3"/>
  <c r="I608" i="3"/>
  <c r="AB608" i="3" s="1"/>
  <c r="H608" i="3"/>
  <c r="G608" i="3"/>
  <c r="F608" i="3"/>
  <c r="Z607" i="3"/>
  <c r="Y607" i="3"/>
  <c r="U607" i="3"/>
  <c r="T607" i="3"/>
  <c r="P607" i="3"/>
  <c r="O607" i="3"/>
  <c r="K607" i="3"/>
  <c r="J607" i="3"/>
  <c r="I607" i="3"/>
  <c r="AB607" i="3" s="1"/>
  <c r="H607" i="3"/>
  <c r="G607" i="3"/>
  <c r="F607" i="3"/>
  <c r="Z606" i="3"/>
  <c r="U606" i="3"/>
  <c r="P606" i="3"/>
  <c r="O606" i="3"/>
  <c r="K606" i="3"/>
  <c r="J606" i="3"/>
  <c r="I606" i="3"/>
  <c r="AB606" i="3" s="1"/>
  <c r="H606" i="3"/>
  <c r="G606" i="3"/>
  <c r="F606" i="3"/>
  <c r="Z605" i="3"/>
  <c r="Y605" i="3"/>
  <c r="U605" i="3"/>
  <c r="P605" i="3"/>
  <c r="O605" i="3"/>
  <c r="K605" i="3"/>
  <c r="J605" i="3"/>
  <c r="I605" i="3"/>
  <c r="H605" i="3"/>
  <c r="G605" i="3"/>
  <c r="F605" i="3"/>
  <c r="Z604" i="3"/>
  <c r="U604" i="3"/>
  <c r="P604" i="3"/>
  <c r="O604" i="3"/>
  <c r="K604" i="3"/>
  <c r="J604" i="3"/>
  <c r="I604" i="3"/>
  <c r="AB604" i="3" s="1"/>
  <c r="H604" i="3"/>
  <c r="G604" i="3"/>
  <c r="F604" i="3"/>
  <c r="Z603" i="3"/>
  <c r="Y603" i="3"/>
  <c r="U603" i="3"/>
  <c r="T603" i="3"/>
  <c r="P603" i="3"/>
  <c r="O603" i="3"/>
  <c r="K603" i="3"/>
  <c r="J603" i="3"/>
  <c r="I603" i="3"/>
  <c r="AB603" i="3" s="1"/>
  <c r="H603" i="3"/>
  <c r="G603" i="3"/>
  <c r="F603" i="3"/>
  <c r="Z602" i="3"/>
  <c r="U602" i="3"/>
  <c r="P602" i="3"/>
  <c r="O602" i="3"/>
  <c r="K602" i="3"/>
  <c r="J602" i="3"/>
  <c r="I602" i="3"/>
  <c r="H602" i="3"/>
  <c r="G602" i="3"/>
  <c r="F602" i="3"/>
  <c r="Z601" i="3"/>
  <c r="Y601" i="3"/>
  <c r="U601" i="3"/>
  <c r="P601" i="3"/>
  <c r="O601" i="3"/>
  <c r="K601" i="3"/>
  <c r="J601" i="3"/>
  <c r="I601" i="3"/>
  <c r="H601" i="3"/>
  <c r="G601" i="3"/>
  <c r="F601" i="3"/>
  <c r="Z600" i="3"/>
  <c r="U600" i="3"/>
  <c r="P600" i="3"/>
  <c r="O600" i="3"/>
  <c r="K600" i="3"/>
  <c r="J600" i="3"/>
  <c r="I600" i="3"/>
  <c r="AB600" i="3" s="1"/>
  <c r="H600" i="3"/>
  <c r="G600" i="3"/>
  <c r="F600" i="3"/>
  <c r="Z599" i="3"/>
  <c r="Y599" i="3"/>
  <c r="U599" i="3"/>
  <c r="T599" i="3"/>
  <c r="P599" i="3"/>
  <c r="O599" i="3"/>
  <c r="K599" i="3"/>
  <c r="J599" i="3"/>
  <c r="I599" i="3"/>
  <c r="AB599" i="3" s="1"/>
  <c r="H599" i="3"/>
  <c r="G599" i="3"/>
  <c r="F599" i="3"/>
  <c r="Z598" i="3"/>
  <c r="Y598" i="3"/>
  <c r="U598" i="3"/>
  <c r="T598" i="3"/>
  <c r="P598" i="3"/>
  <c r="O598" i="3"/>
  <c r="K598" i="3"/>
  <c r="J598" i="3"/>
  <c r="I598" i="3"/>
  <c r="AB598" i="3" s="1"/>
  <c r="H598" i="3"/>
  <c r="G598" i="3"/>
  <c r="F598" i="3"/>
  <c r="Z597" i="3"/>
  <c r="Y597" i="3"/>
  <c r="U597" i="3"/>
  <c r="T597" i="3"/>
  <c r="P597" i="3"/>
  <c r="O597" i="3"/>
  <c r="K597" i="3"/>
  <c r="J597" i="3"/>
  <c r="I597" i="3"/>
  <c r="AB597" i="3" s="1"/>
  <c r="H597" i="3"/>
  <c r="G597" i="3"/>
  <c r="F597" i="3"/>
  <c r="M597" i="3" s="1"/>
  <c r="Z596" i="3"/>
  <c r="Y596" i="3"/>
  <c r="U596" i="3"/>
  <c r="P596" i="3"/>
  <c r="O596" i="3"/>
  <c r="K596" i="3"/>
  <c r="J596" i="3"/>
  <c r="I596" i="3"/>
  <c r="AB596" i="3" s="1"/>
  <c r="H596" i="3"/>
  <c r="G596" i="3"/>
  <c r="F596" i="3"/>
  <c r="Z595" i="3"/>
  <c r="Y595" i="3"/>
  <c r="U595" i="3"/>
  <c r="T595" i="3"/>
  <c r="P595" i="3"/>
  <c r="O595" i="3"/>
  <c r="K595" i="3"/>
  <c r="J595" i="3"/>
  <c r="I595" i="3"/>
  <c r="AB595" i="3" s="1"/>
  <c r="H595" i="3"/>
  <c r="G595" i="3"/>
  <c r="F595" i="3"/>
  <c r="Z594" i="3"/>
  <c r="Y594" i="3"/>
  <c r="U594" i="3"/>
  <c r="T594" i="3"/>
  <c r="P594" i="3"/>
  <c r="O594" i="3"/>
  <c r="K594" i="3"/>
  <c r="J594" i="3"/>
  <c r="I594" i="3"/>
  <c r="AB594" i="3" s="1"/>
  <c r="H594" i="3"/>
  <c r="G594" i="3"/>
  <c r="F594" i="3"/>
  <c r="Z593" i="3"/>
  <c r="Y593" i="3"/>
  <c r="U593" i="3"/>
  <c r="T593" i="3"/>
  <c r="P593" i="3"/>
  <c r="O593" i="3"/>
  <c r="K593" i="3"/>
  <c r="J593" i="3"/>
  <c r="I593" i="3"/>
  <c r="AB593" i="3" s="1"/>
  <c r="H593" i="3"/>
  <c r="G593" i="3"/>
  <c r="F593" i="3"/>
  <c r="Z592" i="3"/>
  <c r="Y592" i="3"/>
  <c r="U592" i="3"/>
  <c r="P592" i="3"/>
  <c r="O592" i="3"/>
  <c r="K592" i="3"/>
  <c r="J592" i="3"/>
  <c r="I592" i="3"/>
  <c r="H592" i="3"/>
  <c r="G592" i="3"/>
  <c r="F592" i="3"/>
  <c r="Z591" i="3"/>
  <c r="Y591" i="3"/>
  <c r="AA591" i="3" s="1"/>
  <c r="U591" i="3"/>
  <c r="T591" i="3"/>
  <c r="P591" i="3"/>
  <c r="O591" i="3"/>
  <c r="Q591" i="3" s="1"/>
  <c r="K591" i="3"/>
  <c r="J591" i="3"/>
  <c r="I591" i="3"/>
  <c r="AB591" i="3" s="1"/>
  <c r="H591" i="3"/>
  <c r="G591" i="3"/>
  <c r="F591" i="3"/>
  <c r="Z590" i="3"/>
  <c r="Y590" i="3"/>
  <c r="U590" i="3"/>
  <c r="T590" i="3"/>
  <c r="P590" i="3"/>
  <c r="O590" i="3"/>
  <c r="K590" i="3"/>
  <c r="J590" i="3"/>
  <c r="I590" i="3"/>
  <c r="AB590" i="3" s="1"/>
  <c r="H590" i="3"/>
  <c r="G590" i="3"/>
  <c r="F590" i="3"/>
  <c r="Z589" i="3"/>
  <c r="Y589" i="3"/>
  <c r="U589" i="3"/>
  <c r="T589" i="3"/>
  <c r="P589" i="3"/>
  <c r="O589" i="3"/>
  <c r="K589" i="3"/>
  <c r="J589" i="3"/>
  <c r="I589" i="3"/>
  <c r="AB589" i="3" s="1"/>
  <c r="H589" i="3"/>
  <c r="G589" i="3"/>
  <c r="F589" i="3"/>
  <c r="Z588" i="3"/>
  <c r="Y588" i="3"/>
  <c r="U588" i="3"/>
  <c r="T588" i="3"/>
  <c r="P588" i="3"/>
  <c r="O588" i="3"/>
  <c r="K588" i="3"/>
  <c r="J588" i="3"/>
  <c r="I588" i="3"/>
  <c r="AB588" i="3" s="1"/>
  <c r="H588" i="3"/>
  <c r="W588" i="3" s="1"/>
  <c r="G588" i="3"/>
  <c r="F588" i="3"/>
  <c r="M588" i="3" s="1"/>
  <c r="Z587" i="3"/>
  <c r="Y587" i="3"/>
  <c r="U587" i="3"/>
  <c r="T587" i="3"/>
  <c r="P587" i="3"/>
  <c r="O587" i="3"/>
  <c r="K587" i="3"/>
  <c r="J587" i="3"/>
  <c r="I587" i="3"/>
  <c r="H587" i="3"/>
  <c r="G587" i="3"/>
  <c r="F587" i="3"/>
  <c r="M587" i="3" s="1"/>
  <c r="Z586" i="3"/>
  <c r="Y586" i="3"/>
  <c r="U586" i="3"/>
  <c r="T586" i="3"/>
  <c r="V586" i="3" s="1"/>
  <c r="P586" i="3"/>
  <c r="O586" i="3"/>
  <c r="K586" i="3"/>
  <c r="J586" i="3"/>
  <c r="I586" i="3"/>
  <c r="AB586" i="3" s="1"/>
  <c r="H586" i="3"/>
  <c r="G586" i="3"/>
  <c r="F586" i="3"/>
  <c r="M586" i="3" s="1"/>
  <c r="Z585" i="3"/>
  <c r="Y585" i="3"/>
  <c r="U585" i="3"/>
  <c r="T585" i="3"/>
  <c r="P585" i="3"/>
  <c r="O585" i="3"/>
  <c r="K585" i="3"/>
  <c r="J585" i="3"/>
  <c r="I585" i="3"/>
  <c r="AB585" i="3" s="1"/>
  <c r="H585" i="3"/>
  <c r="G585" i="3"/>
  <c r="F585" i="3"/>
  <c r="M585" i="3" s="1"/>
  <c r="Z584" i="3"/>
  <c r="Y584" i="3"/>
  <c r="U584" i="3"/>
  <c r="P584" i="3"/>
  <c r="O584" i="3"/>
  <c r="K584" i="3"/>
  <c r="J584" i="3"/>
  <c r="I584" i="3"/>
  <c r="H584" i="3"/>
  <c r="G584" i="3"/>
  <c r="F584" i="3"/>
  <c r="Z583" i="3"/>
  <c r="Y583" i="3"/>
  <c r="U583" i="3"/>
  <c r="T583" i="3"/>
  <c r="P583" i="3"/>
  <c r="O583" i="3"/>
  <c r="K583" i="3"/>
  <c r="J583" i="3"/>
  <c r="I583" i="3"/>
  <c r="AB583" i="3" s="1"/>
  <c r="H583" i="3"/>
  <c r="G583" i="3"/>
  <c r="F583" i="3"/>
  <c r="Z582" i="3"/>
  <c r="U582" i="3"/>
  <c r="T582" i="3"/>
  <c r="K582" i="3"/>
  <c r="J582" i="3"/>
  <c r="I582" i="3"/>
  <c r="H582" i="3"/>
  <c r="G582" i="3"/>
  <c r="F582" i="3"/>
  <c r="M582" i="3" s="1"/>
  <c r="Z581" i="3"/>
  <c r="Y581" i="3"/>
  <c r="U581" i="3"/>
  <c r="T581" i="3"/>
  <c r="P581" i="3"/>
  <c r="O581" i="3"/>
  <c r="Q581" i="3" s="1"/>
  <c r="K581" i="3"/>
  <c r="J581" i="3"/>
  <c r="I581" i="3"/>
  <c r="H581" i="3"/>
  <c r="G581" i="3"/>
  <c r="F581" i="3"/>
  <c r="Z580" i="3"/>
  <c r="U580" i="3"/>
  <c r="T580" i="3"/>
  <c r="P580" i="3"/>
  <c r="O580" i="3"/>
  <c r="K580" i="3"/>
  <c r="J580" i="3"/>
  <c r="I580" i="3"/>
  <c r="H580" i="3"/>
  <c r="G580" i="3"/>
  <c r="F580" i="3"/>
  <c r="Z579" i="3"/>
  <c r="Y579" i="3"/>
  <c r="U579" i="3"/>
  <c r="T579" i="3"/>
  <c r="P579" i="3"/>
  <c r="O579" i="3"/>
  <c r="K579" i="3"/>
  <c r="J579" i="3"/>
  <c r="I579" i="3"/>
  <c r="AB579" i="3" s="1"/>
  <c r="H579" i="3"/>
  <c r="G579" i="3"/>
  <c r="F579" i="3"/>
  <c r="Y578" i="3"/>
  <c r="U578" i="3"/>
  <c r="T578" i="3"/>
  <c r="P578" i="3"/>
  <c r="O578" i="3"/>
  <c r="K578" i="3"/>
  <c r="J578" i="3"/>
  <c r="I578" i="3"/>
  <c r="H578" i="3"/>
  <c r="G578" i="3"/>
  <c r="F578" i="3"/>
  <c r="Z577" i="3"/>
  <c r="Y577" i="3"/>
  <c r="U577" i="3"/>
  <c r="T577" i="3"/>
  <c r="P577" i="3"/>
  <c r="O577" i="3"/>
  <c r="K577" i="3"/>
  <c r="J577" i="3"/>
  <c r="I577" i="3"/>
  <c r="AB577" i="3" s="1"/>
  <c r="H577" i="3"/>
  <c r="G577" i="3"/>
  <c r="F577" i="3"/>
  <c r="Z576" i="3"/>
  <c r="Y576" i="3"/>
  <c r="U576" i="3"/>
  <c r="T576" i="3"/>
  <c r="P576" i="3"/>
  <c r="O576" i="3"/>
  <c r="K576" i="3"/>
  <c r="J576" i="3"/>
  <c r="I576" i="3"/>
  <c r="AB576" i="3" s="1"/>
  <c r="H576" i="3"/>
  <c r="G576" i="3"/>
  <c r="F576" i="3"/>
  <c r="Z575" i="3"/>
  <c r="Y575" i="3"/>
  <c r="U575" i="3"/>
  <c r="T575" i="3"/>
  <c r="P575" i="3"/>
  <c r="O575" i="3"/>
  <c r="K575" i="3"/>
  <c r="J575" i="3"/>
  <c r="I575" i="3"/>
  <c r="AB575" i="3" s="1"/>
  <c r="H575" i="3"/>
  <c r="G575" i="3"/>
  <c r="F575" i="3"/>
  <c r="Z574" i="3"/>
  <c r="Y574" i="3"/>
  <c r="U574" i="3"/>
  <c r="T574" i="3"/>
  <c r="P574" i="3"/>
  <c r="O574" i="3"/>
  <c r="K574" i="3"/>
  <c r="J574" i="3"/>
  <c r="I574" i="3"/>
  <c r="H574" i="3"/>
  <c r="G574" i="3"/>
  <c r="F574" i="3"/>
  <c r="Z573" i="3"/>
  <c r="Y573" i="3"/>
  <c r="U573" i="3"/>
  <c r="T573" i="3"/>
  <c r="P573" i="3"/>
  <c r="O573" i="3"/>
  <c r="K573" i="3"/>
  <c r="J573" i="3"/>
  <c r="I573" i="3"/>
  <c r="AB573" i="3" s="1"/>
  <c r="H573" i="3"/>
  <c r="G573" i="3"/>
  <c r="F573" i="3"/>
  <c r="Z572" i="3"/>
  <c r="Y572" i="3"/>
  <c r="U572" i="3"/>
  <c r="T572" i="3"/>
  <c r="P572" i="3"/>
  <c r="O572" i="3"/>
  <c r="Q572" i="3" s="1"/>
  <c r="K572" i="3"/>
  <c r="J572" i="3"/>
  <c r="I572" i="3"/>
  <c r="AB572" i="3" s="1"/>
  <c r="H572" i="3"/>
  <c r="G572" i="3"/>
  <c r="F572" i="3"/>
  <c r="Z571" i="3"/>
  <c r="Y571" i="3"/>
  <c r="U571" i="3"/>
  <c r="T571" i="3"/>
  <c r="P571" i="3"/>
  <c r="O571" i="3"/>
  <c r="K571" i="3"/>
  <c r="J571" i="3"/>
  <c r="I571" i="3"/>
  <c r="H571" i="3"/>
  <c r="G571" i="3"/>
  <c r="R571" i="3" s="1"/>
  <c r="F571" i="3"/>
  <c r="Z570" i="3"/>
  <c r="Y570" i="3"/>
  <c r="U570" i="3"/>
  <c r="T570" i="3"/>
  <c r="P570" i="3"/>
  <c r="O570" i="3"/>
  <c r="K570" i="3"/>
  <c r="J570" i="3"/>
  <c r="I570" i="3"/>
  <c r="AB570" i="3" s="1"/>
  <c r="H570" i="3"/>
  <c r="G570" i="3"/>
  <c r="F570" i="3"/>
  <c r="Z569" i="3"/>
  <c r="Y569" i="3"/>
  <c r="U569" i="3"/>
  <c r="T569" i="3"/>
  <c r="P569" i="3"/>
  <c r="O569" i="3"/>
  <c r="K569" i="3"/>
  <c r="J569" i="3"/>
  <c r="I569" i="3"/>
  <c r="AB569" i="3" s="1"/>
  <c r="H569" i="3"/>
  <c r="G569" i="3"/>
  <c r="R569" i="3" s="1"/>
  <c r="F569" i="3"/>
  <c r="Z568" i="3"/>
  <c r="Y568" i="3"/>
  <c r="U568" i="3"/>
  <c r="T568" i="3"/>
  <c r="P568" i="3"/>
  <c r="O568" i="3"/>
  <c r="K568" i="3"/>
  <c r="J568" i="3"/>
  <c r="I568" i="3"/>
  <c r="AB568" i="3" s="1"/>
  <c r="H568" i="3"/>
  <c r="G568" i="3"/>
  <c r="R568" i="3" s="1"/>
  <c r="F568" i="3"/>
  <c r="Z567" i="3"/>
  <c r="Y567" i="3"/>
  <c r="U567" i="3"/>
  <c r="T567" i="3"/>
  <c r="P567" i="3"/>
  <c r="O567" i="3"/>
  <c r="K567" i="3"/>
  <c r="J567" i="3"/>
  <c r="I567" i="3"/>
  <c r="AB567" i="3" s="1"/>
  <c r="H567" i="3"/>
  <c r="G567" i="3"/>
  <c r="R567" i="3" s="1"/>
  <c r="F567" i="3"/>
  <c r="Z566" i="3"/>
  <c r="Y566" i="3"/>
  <c r="U566" i="3"/>
  <c r="T566" i="3"/>
  <c r="P566" i="3"/>
  <c r="O566" i="3"/>
  <c r="K566" i="3"/>
  <c r="J566" i="3"/>
  <c r="I566" i="3"/>
  <c r="AB566" i="3" s="1"/>
  <c r="H566" i="3"/>
  <c r="G566" i="3"/>
  <c r="F566" i="3"/>
  <c r="Z565" i="3"/>
  <c r="Y565" i="3"/>
  <c r="U565" i="3"/>
  <c r="T565" i="3"/>
  <c r="P565" i="3"/>
  <c r="O565" i="3"/>
  <c r="K565" i="3"/>
  <c r="J565" i="3"/>
  <c r="I565" i="3"/>
  <c r="AB565" i="3" s="1"/>
  <c r="H565" i="3"/>
  <c r="G565" i="3"/>
  <c r="R565" i="3" s="1"/>
  <c r="F565" i="3"/>
  <c r="Z564" i="3"/>
  <c r="U564" i="3"/>
  <c r="T564" i="3"/>
  <c r="P564" i="3"/>
  <c r="O564" i="3"/>
  <c r="K564" i="3"/>
  <c r="J564" i="3"/>
  <c r="I564" i="3"/>
  <c r="H564" i="3"/>
  <c r="G564" i="3"/>
  <c r="F564" i="3"/>
  <c r="Z563" i="3"/>
  <c r="Y563" i="3"/>
  <c r="U563" i="3"/>
  <c r="P563" i="3"/>
  <c r="O563" i="3"/>
  <c r="K563" i="3"/>
  <c r="J563" i="3"/>
  <c r="I563" i="3"/>
  <c r="H563" i="3"/>
  <c r="G563" i="3"/>
  <c r="F563" i="3"/>
  <c r="Z562" i="3"/>
  <c r="Y562" i="3"/>
  <c r="U562" i="3"/>
  <c r="T562" i="3"/>
  <c r="P562" i="3"/>
  <c r="O562" i="3"/>
  <c r="Q562" i="3" s="1"/>
  <c r="K562" i="3"/>
  <c r="J562" i="3"/>
  <c r="L562" i="3" s="1"/>
  <c r="I562" i="3"/>
  <c r="AB562" i="3" s="1"/>
  <c r="H562" i="3"/>
  <c r="W562" i="3" s="1"/>
  <c r="G562" i="3"/>
  <c r="F562" i="3"/>
  <c r="M562" i="3" s="1"/>
  <c r="Z561" i="3"/>
  <c r="U561" i="3"/>
  <c r="T561" i="3"/>
  <c r="P561" i="3"/>
  <c r="O561" i="3"/>
  <c r="K561" i="3"/>
  <c r="J561" i="3"/>
  <c r="I561" i="3"/>
  <c r="H561" i="3"/>
  <c r="G561" i="3"/>
  <c r="F561" i="3"/>
  <c r="Z560" i="3"/>
  <c r="Y560" i="3"/>
  <c r="U560" i="3"/>
  <c r="T560" i="3"/>
  <c r="P560" i="3"/>
  <c r="O560" i="3"/>
  <c r="K560" i="3"/>
  <c r="J560" i="3"/>
  <c r="I560" i="3"/>
  <c r="AB560" i="3" s="1"/>
  <c r="H560" i="3"/>
  <c r="G560" i="3"/>
  <c r="F560" i="3"/>
  <c r="Z559" i="3"/>
  <c r="Y559" i="3"/>
  <c r="U559" i="3"/>
  <c r="P559" i="3"/>
  <c r="O559" i="3"/>
  <c r="K559" i="3"/>
  <c r="J559" i="3"/>
  <c r="I559" i="3"/>
  <c r="H559" i="3"/>
  <c r="G559" i="3"/>
  <c r="F559" i="3"/>
  <c r="Z558" i="3"/>
  <c r="Y558" i="3"/>
  <c r="U558" i="3"/>
  <c r="T558" i="3"/>
  <c r="P558" i="3"/>
  <c r="O558" i="3"/>
  <c r="Q558" i="3" s="1"/>
  <c r="K558" i="3"/>
  <c r="J558" i="3"/>
  <c r="I558" i="3"/>
  <c r="AB558" i="3" s="1"/>
  <c r="H558" i="3"/>
  <c r="G558" i="3"/>
  <c r="R558" i="3" s="1"/>
  <c r="F558" i="3"/>
  <c r="Z557" i="3"/>
  <c r="Y557" i="3"/>
  <c r="AA557" i="3" s="1"/>
  <c r="U557" i="3"/>
  <c r="T557" i="3"/>
  <c r="P557" i="3"/>
  <c r="O557" i="3"/>
  <c r="Q557" i="3" s="1"/>
  <c r="K557" i="3"/>
  <c r="J557" i="3"/>
  <c r="I557" i="3"/>
  <c r="AB557" i="3" s="1"/>
  <c r="H557" i="3"/>
  <c r="G557" i="3"/>
  <c r="F557" i="3"/>
  <c r="Z556" i="3"/>
  <c r="Y556" i="3"/>
  <c r="U556" i="3"/>
  <c r="T556" i="3"/>
  <c r="P556" i="3"/>
  <c r="O556" i="3"/>
  <c r="Q556" i="3" s="1"/>
  <c r="K556" i="3"/>
  <c r="J556" i="3"/>
  <c r="I556" i="3"/>
  <c r="AB556" i="3" s="1"/>
  <c r="H556" i="3"/>
  <c r="G556" i="3"/>
  <c r="F556" i="3"/>
  <c r="Z555" i="3"/>
  <c r="U555" i="3"/>
  <c r="P555" i="3"/>
  <c r="O555" i="3"/>
  <c r="K555" i="3"/>
  <c r="J555" i="3"/>
  <c r="I555" i="3"/>
  <c r="H555" i="3"/>
  <c r="G555" i="3"/>
  <c r="F555" i="3"/>
  <c r="M555" i="3" s="1"/>
  <c r="Z554" i="3"/>
  <c r="Y554" i="3"/>
  <c r="U554" i="3"/>
  <c r="T554" i="3"/>
  <c r="P554" i="3"/>
  <c r="O554" i="3"/>
  <c r="Q554" i="3" s="1"/>
  <c r="K554" i="3"/>
  <c r="J554" i="3"/>
  <c r="L554" i="3" s="1"/>
  <c r="I554" i="3"/>
  <c r="AB554" i="3" s="1"/>
  <c r="H554" i="3"/>
  <c r="W554" i="3" s="1"/>
  <c r="G554" i="3"/>
  <c r="F554" i="3"/>
  <c r="M554" i="3" s="1"/>
  <c r="Z553" i="3"/>
  <c r="Y553" i="3"/>
  <c r="U553" i="3"/>
  <c r="T553" i="3"/>
  <c r="V553" i="3" s="1"/>
  <c r="P553" i="3"/>
  <c r="O553" i="3"/>
  <c r="K553" i="3"/>
  <c r="J553" i="3"/>
  <c r="I553" i="3"/>
  <c r="AB553" i="3" s="1"/>
  <c r="H553" i="3"/>
  <c r="G553" i="3"/>
  <c r="F553" i="3"/>
  <c r="M553" i="3" s="1"/>
  <c r="Z552" i="3"/>
  <c r="Y552" i="3"/>
  <c r="U552" i="3"/>
  <c r="T552" i="3"/>
  <c r="P552" i="3"/>
  <c r="O552" i="3"/>
  <c r="K552" i="3"/>
  <c r="J552" i="3"/>
  <c r="I552" i="3"/>
  <c r="H552" i="3"/>
  <c r="W552" i="3" s="1"/>
  <c r="G552" i="3"/>
  <c r="F552" i="3"/>
  <c r="M552" i="3" s="1"/>
  <c r="Z551" i="3"/>
  <c r="Y551" i="3"/>
  <c r="AA551" i="3" s="1"/>
  <c r="U551" i="3"/>
  <c r="T551" i="3"/>
  <c r="V551" i="3" s="1"/>
  <c r="P551" i="3"/>
  <c r="O551" i="3"/>
  <c r="K551" i="3"/>
  <c r="J551" i="3"/>
  <c r="I551" i="3"/>
  <c r="AB551" i="3" s="1"/>
  <c r="H551" i="3"/>
  <c r="G551" i="3"/>
  <c r="F551" i="3"/>
  <c r="M551" i="3" s="1"/>
  <c r="Z550" i="3"/>
  <c r="Y550" i="3"/>
  <c r="AA550" i="3" s="1"/>
  <c r="U550" i="3"/>
  <c r="T550" i="3"/>
  <c r="P550" i="3"/>
  <c r="O550" i="3"/>
  <c r="Q550" i="3" s="1"/>
  <c r="K550" i="3"/>
  <c r="J550" i="3"/>
  <c r="I550" i="3"/>
  <c r="AB550" i="3" s="1"/>
  <c r="H550" i="3"/>
  <c r="W550" i="3" s="1"/>
  <c r="G550" i="3"/>
  <c r="F550" i="3"/>
  <c r="Z549" i="3"/>
  <c r="Y549" i="3"/>
  <c r="AA549" i="3" s="1"/>
  <c r="U549" i="3"/>
  <c r="T549" i="3"/>
  <c r="P549" i="3"/>
  <c r="O549" i="3"/>
  <c r="K549" i="3"/>
  <c r="J549" i="3"/>
  <c r="I549" i="3"/>
  <c r="AB549" i="3" s="1"/>
  <c r="H549" i="3"/>
  <c r="G549" i="3"/>
  <c r="F549" i="3"/>
  <c r="Z548" i="3"/>
  <c r="Y548" i="3"/>
  <c r="U548" i="3"/>
  <c r="T548" i="3"/>
  <c r="P548" i="3"/>
  <c r="O548" i="3"/>
  <c r="Q548" i="3" s="1"/>
  <c r="K548" i="3"/>
  <c r="J548" i="3"/>
  <c r="I548" i="3"/>
  <c r="AB548" i="3" s="1"/>
  <c r="H548" i="3"/>
  <c r="G548" i="3"/>
  <c r="F548" i="3"/>
  <c r="Z547" i="3"/>
  <c r="Y547" i="3"/>
  <c r="AA547" i="3" s="1"/>
  <c r="U547" i="3"/>
  <c r="T547" i="3"/>
  <c r="P547" i="3"/>
  <c r="O547" i="3"/>
  <c r="Q547" i="3" s="1"/>
  <c r="K547" i="3"/>
  <c r="J547" i="3"/>
  <c r="I547" i="3"/>
  <c r="AB547" i="3" s="1"/>
  <c r="H547" i="3"/>
  <c r="G547" i="3"/>
  <c r="F547" i="3"/>
  <c r="Z546" i="3"/>
  <c r="Y546" i="3"/>
  <c r="U546" i="3"/>
  <c r="T546" i="3"/>
  <c r="P546" i="3"/>
  <c r="O546" i="3"/>
  <c r="K546" i="3"/>
  <c r="J546" i="3"/>
  <c r="I546" i="3"/>
  <c r="AB546" i="3" s="1"/>
  <c r="H546" i="3"/>
  <c r="W546" i="3" s="1"/>
  <c r="G546" i="3"/>
  <c r="F546" i="3"/>
  <c r="Z545" i="3"/>
  <c r="U545" i="3"/>
  <c r="P545" i="3"/>
  <c r="O545" i="3"/>
  <c r="K545" i="3"/>
  <c r="J545" i="3"/>
  <c r="I545" i="3"/>
  <c r="H545" i="3"/>
  <c r="G545" i="3"/>
  <c r="F545" i="3"/>
  <c r="M545" i="3" s="1"/>
  <c r="Z544" i="3"/>
  <c r="Y544" i="3"/>
  <c r="U544" i="3"/>
  <c r="T544" i="3"/>
  <c r="P544" i="3"/>
  <c r="O544" i="3"/>
  <c r="K544" i="3"/>
  <c r="J544" i="3"/>
  <c r="I544" i="3"/>
  <c r="H544" i="3"/>
  <c r="G544" i="3"/>
  <c r="F544" i="3"/>
  <c r="Z543" i="3"/>
  <c r="Y543" i="3"/>
  <c r="U543" i="3"/>
  <c r="T543" i="3"/>
  <c r="P543" i="3"/>
  <c r="O543" i="3"/>
  <c r="K543" i="3"/>
  <c r="J543" i="3"/>
  <c r="I543" i="3"/>
  <c r="AB543" i="3" s="1"/>
  <c r="H543" i="3"/>
  <c r="G543" i="3"/>
  <c r="F543" i="3"/>
  <c r="M543" i="3" s="1"/>
  <c r="Z542" i="3"/>
  <c r="Y542" i="3"/>
  <c r="U542" i="3"/>
  <c r="T542" i="3"/>
  <c r="P542" i="3"/>
  <c r="O542" i="3"/>
  <c r="K542" i="3"/>
  <c r="J542" i="3"/>
  <c r="I542" i="3"/>
  <c r="AB542" i="3" s="1"/>
  <c r="H542" i="3"/>
  <c r="G542" i="3"/>
  <c r="F542" i="3"/>
  <c r="Z541" i="3"/>
  <c r="Y541" i="3"/>
  <c r="U541" i="3"/>
  <c r="T541" i="3"/>
  <c r="P541" i="3"/>
  <c r="O541" i="3"/>
  <c r="K541" i="3"/>
  <c r="J541" i="3"/>
  <c r="I541" i="3"/>
  <c r="AB541" i="3" s="1"/>
  <c r="H541" i="3"/>
  <c r="G541" i="3"/>
  <c r="F541" i="3"/>
  <c r="Z540" i="3"/>
  <c r="Y540" i="3"/>
  <c r="U540" i="3"/>
  <c r="T540" i="3"/>
  <c r="P540" i="3"/>
  <c r="O540" i="3"/>
  <c r="K540" i="3"/>
  <c r="J540" i="3"/>
  <c r="I540" i="3"/>
  <c r="AB540" i="3" s="1"/>
  <c r="H540" i="3"/>
  <c r="G540" i="3"/>
  <c r="F540" i="3"/>
  <c r="Z539" i="3"/>
  <c r="Y539" i="3"/>
  <c r="U539" i="3"/>
  <c r="T539" i="3"/>
  <c r="P539" i="3"/>
  <c r="O539" i="3"/>
  <c r="K539" i="3"/>
  <c r="J539" i="3"/>
  <c r="I539" i="3"/>
  <c r="AB539" i="3" s="1"/>
  <c r="H539" i="3"/>
  <c r="G539" i="3"/>
  <c r="F539" i="3"/>
  <c r="Z538" i="3"/>
  <c r="Y538" i="3"/>
  <c r="U538" i="3"/>
  <c r="T538" i="3"/>
  <c r="P538" i="3"/>
  <c r="O538" i="3"/>
  <c r="K538" i="3"/>
  <c r="J538" i="3"/>
  <c r="I538" i="3"/>
  <c r="H538" i="3"/>
  <c r="G538" i="3"/>
  <c r="F538" i="3"/>
  <c r="Z537" i="3"/>
  <c r="Y537" i="3"/>
  <c r="U537" i="3"/>
  <c r="T537" i="3"/>
  <c r="P537" i="3"/>
  <c r="O537" i="3"/>
  <c r="K537" i="3"/>
  <c r="J537" i="3"/>
  <c r="I537" i="3"/>
  <c r="AB537" i="3" s="1"/>
  <c r="H537" i="3"/>
  <c r="G537" i="3"/>
  <c r="F537" i="3"/>
  <c r="Z536" i="3"/>
  <c r="Y536" i="3"/>
  <c r="U536" i="3"/>
  <c r="T536" i="3"/>
  <c r="P536" i="3"/>
  <c r="O536" i="3"/>
  <c r="K536" i="3"/>
  <c r="J536" i="3"/>
  <c r="I536" i="3"/>
  <c r="H536" i="3"/>
  <c r="G536" i="3"/>
  <c r="F536" i="3"/>
  <c r="Z535" i="3"/>
  <c r="Y535" i="3"/>
  <c r="U535" i="3"/>
  <c r="T535" i="3"/>
  <c r="P535" i="3"/>
  <c r="O535" i="3"/>
  <c r="K535" i="3"/>
  <c r="J535" i="3"/>
  <c r="I535" i="3"/>
  <c r="AB535" i="3" s="1"/>
  <c r="H535" i="3"/>
  <c r="G535" i="3"/>
  <c r="F535" i="3"/>
  <c r="Z534" i="3"/>
  <c r="Y534" i="3"/>
  <c r="U534" i="3"/>
  <c r="T534" i="3"/>
  <c r="P534" i="3"/>
  <c r="O534" i="3"/>
  <c r="K534" i="3"/>
  <c r="J534" i="3"/>
  <c r="I534" i="3"/>
  <c r="AB534" i="3" s="1"/>
  <c r="H534" i="3"/>
  <c r="G534" i="3"/>
  <c r="F534" i="3"/>
  <c r="Z533" i="3"/>
  <c r="Y533" i="3"/>
  <c r="U533" i="3"/>
  <c r="T533" i="3"/>
  <c r="P533" i="3"/>
  <c r="O533" i="3"/>
  <c r="K533" i="3"/>
  <c r="J533" i="3"/>
  <c r="I533" i="3"/>
  <c r="H533" i="3"/>
  <c r="G533" i="3"/>
  <c r="F533" i="3"/>
  <c r="Z532" i="3"/>
  <c r="Y532" i="3"/>
  <c r="U532" i="3"/>
  <c r="T532" i="3"/>
  <c r="V532" i="3" s="1"/>
  <c r="P532" i="3"/>
  <c r="O532" i="3"/>
  <c r="K532" i="3"/>
  <c r="J532" i="3"/>
  <c r="I532" i="3"/>
  <c r="AB532" i="3" s="1"/>
  <c r="H532" i="3"/>
  <c r="G532" i="3"/>
  <c r="F532" i="3"/>
  <c r="M532" i="3" s="1"/>
  <c r="Z531" i="3"/>
  <c r="Y531" i="3"/>
  <c r="U531" i="3"/>
  <c r="T531" i="3"/>
  <c r="P531" i="3"/>
  <c r="O531" i="3"/>
  <c r="K531" i="3"/>
  <c r="J531" i="3"/>
  <c r="I531" i="3"/>
  <c r="AB531" i="3" s="1"/>
  <c r="H531" i="3"/>
  <c r="G531" i="3"/>
  <c r="F531" i="3"/>
  <c r="Z530" i="3"/>
  <c r="Y530" i="3"/>
  <c r="U530" i="3"/>
  <c r="T530" i="3"/>
  <c r="P530" i="3"/>
  <c r="O530" i="3"/>
  <c r="K530" i="3"/>
  <c r="J530" i="3"/>
  <c r="I530" i="3"/>
  <c r="AB530" i="3" s="1"/>
  <c r="H530" i="3"/>
  <c r="G530" i="3"/>
  <c r="F530" i="3"/>
  <c r="Z529" i="3"/>
  <c r="Y529" i="3"/>
  <c r="U529" i="3"/>
  <c r="T529" i="3"/>
  <c r="P529" i="3"/>
  <c r="O529" i="3"/>
  <c r="K529" i="3"/>
  <c r="J529" i="3"/>
  <c r="I529" i="3"/>
  <c r="AB529" i="3" s="1"/>
  <c r="H529" i="3"/>
  <c r="G529" i="3"/>
  <c r="F529" i="3"/>
  <c r="Z528" i="3"/>
  <c r="Y528" i="3"/>
  <c r="U528" i="3"/>
  <c r="T528" i="3"/>
  <c r="P528" i="3"/>
  <c r="O528" i="3"/>
  <c r="K528" i="3"/>
  <c r="J528" i="3"/>
  <c r="I528" i="3"/>
  <c r="AB528" i="3" s="1"/>
  <c r="H528" i="3"/>
  <c r="G528" i="3"/>
  <c r="R528" i="3" s="1"/>
  <c r="F528" i="3"/>
  <c r="Z527" i="3"/>
  <c r="Y527" i="3"/>
  <c r="U527" i="3"/>
  <c r="T527" i="3"/>
  <c r="P527" i="3"/>
  <c r="O527" i="3"/>
  <c r="K527" i="3"/>
  <c r="J527" i="3"/>
  <c r="I527" i="3"/>
  <c r="H527" i="3"/>
  <c r="G527" i="3"/>
  <c r="F527" i="3"/>
  <c r="Z526" i="3"/>
  <c r="Y526" i="3"/>
  <c r="U526" i="3"/>
  <c r="T526" i="3"/>
  <c r="P526" i="3"/>
  <c r="O526" i="3"/>
  <c r="K526" i="3"/>
  <c r="J526" i="3"/>
  <c r="I526" i="3"/>
  <c r="H526" i="3"/>
  <c r="G526" i="3"/>
  <c r="F526" i="3"/>
  <c r="Z525" i="3"/>
  <c r="Y525" i="3"/>
  <c r="U525" i="3"/>
  <c r="T525" i="3"/>
  <c r="P525" i="3"/>
  <c r="O525" i="3"/>
  <c r="K525" i="3"/>
  <c r="J525" i="3"/>
  <c r="I525" i="3"/>
  <c r="AB525" i="3" s="1"/>
  <c r="H525" i="3"/>
  <c r="G525" i="3"/>
  <c r="F525" i="3"/>
  <c r="Z524" i="3"/>
  <c r="Y524" i="3"/>
  <c r="U524" i="3"/>
  <c r="T524" i="3"/>
  <c r="P524" i="3"/>
  <c r="O524" i="3"/>
  <c r="K524" i="3"/>
  <c r="J524" i="3"/>
  <c r="I524" i="3"/>
  <c r="H524" i="3"/>
  <c r="G524" i="3"/>
  <c r="R524" i="3" s="1"/>
  <c r="F524" i="3"/>
  <c r="Z523" i="3"/>
  <c r="Y523" i="3"/>
  <c r="U523" i="3"/>
  <c r="T523" i="3"/>
  <c r="P523" i="3"/>
  <c r="O523" i="3"/>
  <c r="K523" i="3"/>
  <c r="J523" i="3"/>
  <c r="I523" i="3"/>
  <c r="AB523" i="3" s="1"/>
  <c r="H523" i="3"/>
  <c r="G523" i="3"/>
  <c r="F523" i="3"/>
  <c r="Z522" i="3"/>
  <c r="Y522" i="3"/>
  <c r="U522" i="3"/>
  <c r="T522" i="3"/>
  <c r="P522" i="3"/>
  <c r="O522" i="3"/>
  <c r="K522" i="3"/>
  <c r="J522" i="3"/>
  <c r="I522" i="3"/>
  <c r="AB522" i="3" s="1"/>
  <c r="H522" i="3"/>
  <c r="G522" i="3"/>
  <c r="F522" i="3"/>
  <c r="Z521" i="3"/>
  <c r="Y521" i="3"/>
  <c r="U521" i="3"/>
  <c r="T521" i="3"/>
  <c r="P521" i="3"/>
  <c r="O521" i="3"/>
  <c r="K521" i="3"/>
  <c r="J521" i="3"/>
  <c r="I521" i="3"/>
  <c r="H521" i="3"/>
  <c r="G521" i="3"/>
  <c r="F521" i="3"/>
  <c r="Z520" i="3"/>
  <c r="Y520" i="3"/>
  <c r="U520" i="3"/>
  <c r="T520" i="3"/>
  <c r="P520" i="3"/>
  <c r="O520" i="3"/>
  <c r="K520" i="3"/>
  <c r="J520" i="3"/>
  <c r="I520" i="3"/>
  <c r="H520" i="3"/>
  <c r="G520" i="3"/>
  <c r="F520" i="3"/>
  <c r="Z519" i="3"/>
  <c r="Y519" i="3"/>
  <c r="U519" i="3"/>
  <c r="T519" i="3"/>
  <c r="P519" i="3"/>
  <c r="O519" i="3"/>
  <c r="K519" i="3"/>
  <c r="J519" i="3"/>
  <c r="I519" i="3"/>
  <c r="H519" i="3"/>
  <c r="G519" i="3"/>
  <c r="F519" i="3"/>
  <c r="Z518" i="3"/>
  <c r="Y518" i="3"/>
  <c r="U518" i="3"/>
  <c r="T518" i="3"/>
  <c r="P518" i="3"/>
  <c r="O518" i="3"/>
  <c r="K518" i="3"/>
  <c r="J518" i="3"/>
  <c r="I518" i="3"/>
  <c r="AB518" i="3" s="1"/>
  <c r="H518" i="3"/>
  <c r="G518" i="3"/>
  <c r="F518" i="3"/>
  <c r="Z517" i="3"/>
  <c r="Y517" i="3"/>
  <c r="U517" i="3"/>
  <c r="T517" i="3"/>
  <c r="P517" i="3"/>
  <c r="O517" i="3"/>
  <c r="K517" i="3"/>
  <c r="J517" i="3"/>
  <c r="I517" i="3"/>
  <c r="H517" i="3"/>
  <c r="G517" i="3"/>
  <c r="F517" i="3"/>
  <c r="Z516" i="3"/>
  <c r="Y516" i="3"/>
  <c r="U516" i="3"/>
  <c r="T516" i="3"/>
  <c r="P516" i="3"/>
  <c r="O516" i="3"/>
  <c r="K516" i="3"/>
  <c r="J516" i="3"/>
  <c r="I516" i="3"/>
  <c r="AB516" i="3" s="1"/>
  <c r="H516" i="3"/>
  <c r="G516" i="3"/>
  <c r="F516" i="3"/>
  <c r="Z515" i="3"/>
  <c r="Y515" i="3"/>
  <c r="U515" i="3"/>
  <c r="T515" i="3"/>
  <c r="P515" i="3"/>
  <c r="O515" i="3"/>
  <c r="K515" i="3"/>
  <c r="J515" i="3"/>
  <c r="I515" i="3"/>
  <c r="H515" i="3"/>
  <c r="G515" i="3"/>
  <c r="F515" i="3"/>
  <c r="Z514" i="3"/>
  <c r="Y514" i="3"/>
  <c r="U514" i="3"/>
  <c r="T514" i="3"/>
  <c r="P514" i="3"/>
  <c r="O514" i="3"/>
  <c r="K514" i="3"/>
  <c r="J514" i="3"/>
  <c r="I514" i="3"/>
  <c r="H514" i="3"/>
  <c r="G514" i="3"/>
  <c r="F514" i="3"/>
  <c r="Z513" i="3"/>
  <c r="Y513" i="3"/>
  <c r="U513" i="3"/>
  <c r="T513" i="3"/>
  <c r="P513" i="3"/>
  <c r="O513" i="3"/>
  <c r="K513" i="3"/>
  <c r="J513" i="3"/>
  <c r="I513" i="3"/>
  <c r="H513" i="3"/>
  <c r="G513" i="3"/>
  <c r="R513" i="3" s="1"/>
  <c r="F513" i="3"/>
  <c r="Z512" i="3"/>
  <c r="Y512" i="3"/>
  <c r="U512" i="3"/>
  <c r="T512" i="3"/>
  <c r="P512" i="3"/>
  <c r="O512" i="3"/>
  <c r="K512" i="3"/>
  <c r="J512" i="3"/>
  <c r="I512" i="3"/>
  <c r="AB512" i="3" s="1"/>
  <c r="H512" i="3"/>
  <c r="G512" i="3"/>
  <c r="F512" i="3"/>
  <c r="Z511" i="3"/>
  <c r="Y511" i="3"/>
  <c r="U511" i="3"/>
  <c r="T511" i="3"/>
  <c r="P511" i="3"/>
  <c r="O511" i="3"/>
  <c r="K511" i="3"/>
  <c r="J511" i="3"/>
  <c r="I511" i="3"/>
  <c r="H511" i="3"/>
  <c r="G511" i="3"/>
  <c r="F511" i="3"/>
  <c r="Z510" i="3"/>
  <c r="Y510" i="3"/>
  <c r="U510" i="3"/>
  <c r="T510" i="3"/>
  <c r="P510" i="3"/>
  <c r="O510" i="3"/>
  <c r="K510" i="3"/>
  <c r="J510" i="3"/>
  <c r="I510" i="3"/>
  <c r="AB510" i="3" s="1"/>
  <c r="H510" i="3"/>
  <c r="G510" i="3"/>
  <c r="F510" i="3"/>
  <c r="M510" i="3" s="1"/>
  <c r="Z509" i="3"/>
  <c r="Y509" i="3"/>
  <c r="U509" i="3"/>
  <c r="T509" i="3"/>
  <c r="P509" i="3"/>
  <c r="O509" i="3"/>
  <c r="K509" i="3"/>
  <c r="J509" i="3"/>
  <c r="I509" i="3"/>
  <c r="AB509" i="3" s="1"/>
  <c r="H509" i="3"/>
  <c r="G509" i="3"/>
  <c r="F509" i="3"/>
  <c r="Z508" i="3"/>
  <c r="Y508" i="3"/>
  <c r="U508" i="3"/>
  <c r="T508" i="3"/>
  <c r="P508" i="3"/>
  <c r="O508" i="3"/>
  <c r="K508" i="3"/>
  <c r="J508" i="3"/>
  <c r="I508" i="3"/>
  <c r="AB508" i="3" s="1"/>
  <c r="H508" i="3"/>
  <c r="G508" i="3"/>
  <c r="R508" i="3" s="1"/>
  <c r="F508" i="3"/>
  <c r="Z507" i="3"/>
  <c r="Y507" i="3"/>
  <c r="U507" i="3"/>
  <c r="T507" i="3"/>
  <c r="P507" i="3"/>
  <c r="O507" i="3"/>
  <c r="K507" i="3"/>
  <c r="J507" i="3"/>
  <c r="I507" i="3"/>
  <c r="H507" i="3"/>
  <c r="G507" i="3"/>
  <c r="R507" i="3" s="1"/>
  <c r="F507" i="3"/>
  <c r="Z506" i="3"/>
  <c r="Y506" i="3"/>
  <c r="U506" i="3"/>
  <c r="T506" i="3"/>
  <c r="P506" i="3"/>
  <c r="O506" i="3"/>
  <c r="K506" i="3"/>
  <c r="J506" i="3"/>
  <c r="I506" i="3"/>
  <c r="H506" i="3"/>
  <c r="G506" i="3"/>
  <c r="R506" i="3" s="1"/>
  <c r="F506" i="3"/>
  <c r="Z505" i="3"/>
  <c r="Y505" i="3"/>
  <c r="U505" i="3"/>
  <c r="T505" i="3"/>
  <c r="P505" i="3"/>
  <c r="O505" i="3"/>
  <c r="K505" i="3"/>
  <c r="J505" i="3"/>
  <c r="I505" i="3"/>
  <c r="H505" i="3"/>
  <c r="G505" i="3"/>
  <c r="F505" i="3"/>
  <c r="Z504" i="3"/>
  <c r="Y504" i="3"/>
  <c r="U504" i="3"/>
  <c r="T504" i="3"/>
  <c r="P504" i="3"/>
  <c r="O504" i="3"/>
  <c r="K504" i="3"/>
  <c r="J504" i="3"/>
  <c r="I504" i="3"/>
  <c r="AB504" i="3" s="1"/>
  <c r="H504" i="3"/>
  <c r="G504" i="3"/>
  <c r="F504" i="3"/>
  <c r="Z503" i="3"/>
  <c r="Y503" i="3"/>
  <c r="U503" i="3"/>
  <c r="T503" i="3"/>
  <c r="P503" i="3"/>
  <c r="O503" i="3"/>
  <c r="K503" i="3"/>
  <c r="J503" i="3"/>
  <c r="I503" i="3"/>
  <c r="AB503" i="3" s="1"/>
  <c r="H503" i="3"/>
  <c r="G503" i="3"/>
  <c r="F503" i="3"/>
  <c r="Z502" i="3"/>
  <c r="Y502" i="3"/>
  <c r="U502" i="3"/>
  <c r="T502" i="3"/>
  <c r="P502" i="3"/>
  <c r="O502" i="3"/>
  <c r="K502" i="3"/>
  <c r="J502" i="3"/>
  <c r="I502" i="3"/>
  <c r="AB502" i="3" s="1"/>
  <c r="H502" i="3"/>
  <c r="G502" i="3"/>
  <c r="F502" i="3"/>
  <c r="M502" i="3" s="1"/>
  <c r="Z501" i="3"/>
  <c r="Y501" i="3"/>
  <c r="U501" i="3"/>
  <c r="T501" i="3"/>
  <c r="P501" i="3"/>
  <c r="O501" i="3"/>
  <c r="K501" i="3"/>
  <c r="J501" i="3"/>
  <c r="I501" i="3"/>
  <c r="AB501" i="3" s="1"/>
  <c r="H501" i="3"/>
  <c r="G501" i="3"/>
  <c r="F501" i="3"/>
  <c r="Z500" i="3"/>
  <c r="Y500" i="3"/>
  <c r="U500" i="3"/>
  <c r="T500" i="3"/>
  <c r="P500" i="3"/>
  <c r="O500" i="3"/>
  <c r="K500" i="3"/>
  <c r="J500" i="3"/>
  <c r="I500" i="3"/>
  <c r="AB500" i="3" s="1"/>
  <c r="H500" i="3"/>
  <c r="G500" i="3"/>
  <c r="F500" i="3"/>
  <c r="Z499" i="3"/>
  <c r="Y499" i="3"/>
  <c r="U499" i="3"/>
  <c r="T499" i="3"/>
  <c r="P499" i="3"/>
  <c r="O499" i="3"/>
  <c r="K499" i="3"/>
  <c r="J499" i="3"/>
  <c r="I499" i="3"/>
  <c r="AB499" i="3" s="1"/>
  <c r="H499" i="3"/>
  <c r="G499" i="3"/>
  <c r="F499" i="3"/>
  <c r="Z498" i="3"/>
  <c r="Y498" i="3"/>
  <c r="U498" i="3"/>
  <c r="T498" i="3"/>
  <c r="P498" i="3"/>
  <c r="O498" i="3"/>
  <c r="K498" i="3"/>
  <c r="J498" i="3"/>
  <c r="I498" i="3"/>
  <c r="AB498" i="3" s="1"/>
  <c r="H498" i="3"/>
  <c r="G498" i="3"/>
  <c r="F498" i="3"/>
  <c r="M498" i="3" s="1"/>
  <c r="Z497" i="3"/>
  <c r="Y497" i="3"/>
  <c r="U497" i="3"/>
  <c r="T497" i="3"/>
  <c r="P497" i="3"/>
  <c r="O497" i="3"/>
  <c r="K497" i="3"/>
  <c r="J497" i="3"/>
  <c r="I497" i="3"/>
  <c r="AB497" i="3" s="1"/>
  <c r="H497" i="3"/>
  <c r="G497" i="3"/>
  <c r="R497" i="3" s="1"/>
  <c r="F497" i="3"/>
  <c r="Z496" i="3"/>
  <c r="Y496" i="3"/>
  <c r="U496" i="3"/>
  <c r="T496" i="3"/>
  <c r="P496" i="3"/>
  <c r="O496" i="3"/>
  <c r="K496" i="3"/>
  <c r="J496" i="3"/>
  <c r="I496" i="3"/>
  <c r="AB496" i="3" s="1"/>
  <c r="H496" i="3"/>
  <c r="G496" i="3"/>
  <c r="R496" i="3" s="1"/>
  <c r="F496" i="3"/>
  <c r="Z495" i="3"/>
  <c r="Y495" i="3"/>
  <c r="U495" i="3"/>
  <c r="T495" i="3"/>
  <c r="P495" i="3"/>
  <c r="O495" i="3"/>
  <c r="K495" i="3"/>
  <c r="J495" i="3"/>
  <c r="I495" i="3"/>
  <c r="AB495" i="3" s="1"/>
  <c r="H495" i="3"/>
  <c r="G495" i="3"/>
  <c r="F495" i="3"/>
  <c r="Z494" i="3"/>
  <c r="Y494" i="3"/>
  <c r="U494" i="3"/>
  <c r="T494" i="3"/>
  <c r="P494" i="3"/>
  <c r="O494" i="3"/>
  <c r="K494" i="3"/>
  <c r="J494" i="3"/>
  <c r="I494" i="3"/>
  <c r="AB494" i="3" s="1"/>
  <c r="H494" i="3"/>
  <c r="G494" i="3"/>
  <c r="F494" i="3"/>
  <c r="Z493" i="3"/>
  <c r="Y493" i="3"/>
  <c r="U493" i="3"/>
  <c r="T493" i="3"/>
  <c r="P493" i="3"/>
  <c r="O493" i="3"/>
  <c r="K493" i="3"/>
  <c r="J493" i="3"/>
  <c r="I493" i="3"/>
  <c r="AB493" i="3" s="1"/>
  <c r="H493" i="3"/>
  <c r="G493" i="3"/>
  <c r="F493" i="3"/>
  <c r="Z492" i="3"/>
  <c r="Y492" i="3"/>
  <c r="U492" i="3"/>
  <c r="T492" i="3"/>
  <c r="P492" i="3"/>
  <c r="O492" i="3"/>
  <c r="K492" i="3"/>
  <c r="J492" i="3"/>
  <c r="I492" i="3"/>
  <c r="AB492" i="3" s="1"/>
  <c r="H492" i="3"/>
  <c r="G492" i="3"/>
  <c r="F492" i="3"/>
  <c r="Z491" i="3"/>
  <c r="Y491" i="3"/>
  <c r="U491" i="3"/>
  <c r="T491" i="3"/>
  <c r="P491" i="3"/>
  <c r="O491" i="3"/>
  <c r="K491" i="3"/>
  <c r="J491" i="3"/>
  <c r="I491" i="3"/>
  <c r="AB491" i="3" s="1"/>
  <c r="H491" i="3"/>
  <c r="G491" i="3"/>
  <c r="F491" i="3"/>
  <c r="Z490" i="3"/>
  <c r="Y490" i="3"/>
  <c r="U490" i="3"/>
  <c r="T490" i="3"/>
  <c r="P490" i="3"/>
  <c r="O490" i="3"/>
  <c r="K490" i="3"/>
  <c r="J490" i="3"/>
  <c r="I490" i="3"/>
  <c r="AB490" i="3" s="1"/>
  <c r="H490" i="3"/>
  <c r="G490" i="3"/>
  <c r="F490" i="3"/>
  <c r="Z489" i="3"/>
  <c r="Y489" i="3"/>
  <c r="U489" i="3"/>
  <c r="T489" i="3"/>
  <c r="P489" i="3"/>
  <c r="O489" i="3"/>
  <c r="K489" i="3"/>
  <c r="J489" i="3"/>
  <c r="I489" i="3"/>
  <c r="AB489" i="3" s="1"/>
  <c r="H489" i="3"/>
  <c r="G489" i="3"/>
  <c r="F489" i="3"/>
  <c r="Z488" i="3"/>
  <c r="Y488" i="3"/>
  <c r="U488" i="3"/>
  <c r="T488" i="3"/>
  <c r="P488" i="3"/>
  <c r="O488" i="3"/>
  <c r="K488" i="3"/>
  <c r="J488" i="3"/>
  <c r="I488" i="3"/>
  <c r="AB488" i="3" s="1"/>
  <c r="H488" i="3"/>
  <c r="G488" i="3"/>
  <c r="F488" i="3"/>
  <c r="Z487" i="3"/>
  <c r="Y487" i="3"/>
  <c r="U487" i="3"/>
  <c r="T487" i="3"/>
  <c r="P487" i="3"/>
  <c r="O487" i="3"/>
  <c r="K487" i="3"/>
  <c r="J487" i="3"/>
  <c r="I487" i="3"/>
  <c r="AB487" i="3" s="1"/>
  <c r="H487" i="3"/>
  <c r="G487" i="3"/>
  <c r="F487" i="3"/>
  <c r="Z486" i="3"/>
  <c r="Y486" i="3"/>
  <c r="U486" i="3"/>
  <c r="T486" i="3"/>
  <c r="P486" i="3"/>
  <c r="O486" i="3"/>
  <c r="K486" i="3"/>
  <c r="J486" i="3"/>
  <c r="I486" i="3"/>
  <c r="AB486" i="3" s="1"/>
  <c r="H486" i="3"/>
  <c r="G486" i="3"/>
  <c r="F486" i="3"/>
  <c r="Z485" i="3"/>
  <c r="Y485" i="3"/>
  <c r="U485" i="3"/>
  <c r="T485" i="3"/>
  <c r="P485" i="3"/>
  <c r="O485" i="3"/>
  <c r="K485" i="3"/>
  <c r="J485" i="3"/>
  <c r="I485" i="3"/>
  <c r="AB485" i="3" s="1"/>
  <c r="H485" i="3"/>
  <c r="G485" i="3"/>
  <c r="F485" i="3"/>
  <c r="Z484" i="3"/>
  <c r="Y484" i="3"/>
  <c r="U484" i="3"/>
  <c r="T484" i="3"/>
  <c r="P484" i="3"/>
  <c r="O484" i="3"/>
  <c r="K484" i="3"/>
  <c r="J484" i="3"/>
  <c r="I484" i="3"/>
  <c r="AB484" i="3" s="1"/>
  <c r="H484" i="3"/>
  <c r="G484" i="3"/>
  <c r="F484" i="3"/>
  <c r="Z483" i="3"/>
  <c r="Y483" i="3"/>
  <c r="U483" i="3"/>
  <c r="T483" i="3"/>
  <c r="P483" i="3"/>
  <c r="O483" i="3"/>
  <c r="K483" i="3"/>
  <c r="J483" i="3"/>
  <c r="I483" i="3"/>
  <c r="AB483" i="3" s="1"/>
  <c r="H483" i="3"/>
  <c r="G483" i="3"/>
  <c r="F483" i="3"/>
  <c r="Z482" i="3"/>
  <c r="Y482" i="3"/>
  <c r="U482" i="3"/>
  <c r="T482" i="3"/>
  <c r="P482" i="3"/>
  <c r="O482" i="3"/>
  <c r="K482" i="3"/>
  <c r="J482" i="3"/>
  <c r="I482" i="3"/>
  <c r="AB482" i="3" s="1"/>
  <c r="H482" i="3"/>
  <c r="G482" i="3"/>
  <c r="F482" i="3"/>
  <c r="Z481" i="3"/>
  <c r="Y481" i="3"/>
  <c r="U481" i="3"/>
  <c r="T481" i="3"/>
  <c r="P481" i="3"/>
  <c r="O481" i="3"/>
  <c r="K481" i="3"/>
  <c r="J481" i="3"/>
  <c r="I481" i="3"/>
  <c r="AB481" i="3" s="1"/>
  <c r="H481" i="3"/>
  <c r="G481" i="3"/>
  <c r="F481" i="3"/>
  <c r="Z480" i="3"/>
  <c r="Y480" i="3"/>
  <c r="U480" i="3"/>
  <c r="T480" i="3"/>
  <c r="P480" i="3"/>
  <c r="O480" i="3"/>
  <c r="K480" i="3"/>
  <c r="J480" i="3"/>
  <c r="I480" i="3"/>
  <c r="AB480" i="3" s="1"/>
  <c r="H480" i="3"/>
  <c r="G480" i="3"/>
  <c r="F480" i="3"/>
  <c r="Z479" i="3"/>
  <c r="Y479" i="3"/>
  <c r="U479" i="3"/>
  <c r="T479" i="3"/>
  <c r="P479" i="3"/>
  <c r="O479" i="3"/>
  <c r="K479" i="3"/>
  <c r="J479" i="3"/>
  <c r="I479" i="3"/>
  <c r="AB479" i="3" s="1"/>
  <c r="H479" i="3"/>
  <c r="G479" i="3"/>
  <c r="F479" i="3"/>
  <c r="Z478" i="3"/>
  <c r="Y478" i="3"/>
  <c r="U478" i="3"/>
  <c r="T478" i="3"/>
  <c r="P478" i="3"/>
  <c r="O478" i="3"/>
  <c r="K478" i="3"/>
  <c r="J478" i="3"/>
  <c r="I478" i="3"/>
  <c r="AB478" i="3" s="1"/>
  <c r="H478" i="3"/>
  <c r="G478" i="3"/>
  <c r="F478" i="3"/>
  <c r="Z477" i="3"/>
  <c r="Y477" i="3"/>
  <c r="U477" i="3"/>
  <c r="T477" i="3"/>
  <c r="P477" i="3"/>
  <c r="O477" i="3"/>
  <c r="K477" i="3"/>
  <c r="J477" i="3"/>
  <c r="I477" i="3"/>
  <c r="AB477" i="3" s="1"/>
  <c r="H477" i="3"/>
  <c r="G477" i="3"/>
  <c r="F477" i="3"/>
  <c r="Z476" i="3"/>
  <c r="Y476" i="3"/>
  <c r="U476" i="3"/>
  <c r="T476" i="3"/>
  <c r="P476" i="3"/>
  <c r="O476" i="3"/>
  <c r="K476" i="3"/>
  <c r="J476" i="3"/>
  <c r="I476" i="3"/>
  <c r="AB476" i="3" s="1"/>
  <c r="H476" i="3"/>
  <c r="G476" i="3"/>
  <c r="F476" i="3"/>
  <c r="Z475" i="3"/>
  <c r="Y475" i="3"/>
  <c r="U475" i="3"/>
  <c r="T475" i="3"/>
  <c r="P475" i="3"/>
  <c r="O475" i="3"/>
  <c r="K475" i="3"/>
  <c r="J475" i="3"/>
  <c r="I475" i="3"/>
  <c r="AB475" i="3" s="1"/>
  <c r="H475" i="3"/>
  <c r="G475" i="3"/>
  <c r="F475" i="3"/>
  <c r="Z474" i="3"/>
  <c r="Y474" i="3"/>
  <c r="U474" i="3"/>
  <c r="T474" i="3"/>
  <c r="P474" i="3"/>
  <c r="O474" i="3"/>
  <c r="K474" i="3"/>
  <c r="J474" i="3"/>
  <c r="I474" i="3"/>
  <c r="AB474" i="3" s="1"/>
  <c r="M31" i="4" s="1"/>
  <c r="H474" i="3"/>
  <c r="G474" i="3"/>
  <c r="F474" i="3"/>
  <c r="Z473" i="3"/>
  <c r="Y473" i="3"/>
  <c r="U473" i="3"/>
  <c r="T473" i="3"/>
  <c r="P473" i="3"/>
  <c r="O473" i="3"/>
  <c r="K473" i="3"/>
  <c r="J473" i="3"/>
  <c r="I473" i="3"/>
  <c r="AB473" i="3" s="1"/>
  <c r="H473" i="3"/>
  <c r="G473" i="3"/>
  <c r="F473" i="3"/>
  <c r="Z472" i="3"/>
  <c r="Y472" i="3"/>
  <c r="U472" i="3"/>
  <c r="T472" i="3"/>
  <c r="P472" i="3"/>
  <c r="O472" i="3"/>
  <c r="K472" i="3"/>
  <c r="J472" i="3"/>
  <c r="I472" i="3"/>
  <c r="AB472" i="3" s="1"/>
  <c r="H472" i="3"/>
  <c r="G472" i="3"/>
  <c r="F472" i="3"/>
  <c r="Z471" i="3"/>
  <c r="Y471" i="3"/>
  <c r="U471" i="3"/>
  <c r="T471" i="3"/>
  <c r="P471" i="3"/>
  <c r="O471" i="3"/>
  <c r="K471" i="3"/>
  <c r="J471" i="3"/>
  <c r="I471" i="3"/>
  <c r="AB471" i="3" s="1"/>
  <c r="H471" i="3"/>
  <c r="G471" i="3"/>
  <c r="F471" i="3"/>
  <c r="Z470" i="3"/>
  <c r="Y470" i="3"/>
  <c r="U470" i="3"/>
  <c r="T470" i="3"/>
  <c r="P470" i="3"/>
  <c r="O470" i="3"/>
  <c r="K470" i="3"/>
  <c r="J470" i="3"/>
  <c r="I470" i="3"/>
  <c r="AB470" i="3" s="1"/>
  <c r="H470" i="3"/>
  <c r="G470" i="3"/>
  <c r="F470" i="3"/>
  <c r="M470" i="3" s="1"/>
  <c r="Z469" i="3"/>
  <c r="Y469" i="3"/>
  <c r="U469" i="3"/>
  <c r="T469" i="3"/>
  <c r="P469" i="3"/>
  <c r="O469" i="3"/>
  <c r="K469" i="3"/>
  <c r="J469" i="3"/>
  <c r="I469" i="3"/>
  <c r="AB469" i="3" s="1"/>
  <c r="H469" i="3"/>
  <c r="G469" i="3"/>
  <c r="F469" i="3"/>
  <c r="Z468" i="3"/>
  <c r="Y468" i="3"/>
  <c r="U468" i="3"/>
  <c r="T468" i="3"/>
  <c r="P468" i="3"/>
  <c r="O468" i="3"/>
  <c r="K468" i="3"/>
  <c r="J468" i="3"/>
  <c r="I468" i="3"/>
  <c r="AB468" i="3" s="1"/>
  <c r="H468" i="3"/>
  <c r="G468" i="3"/>
  <c r="F468" i="3"/>
  <c r="Z467" i="3"/>
  <c r="Y467" i="3"/>
  <c r="U467" i="3"/>
  <c r="T467" i="3"/>
  <c r="P467" i="3"/>
  <c r="O467" i="3"/>
  <c r="K467" i="3"/>
  <c r="J467" i="3"/>
  <c r="I467" i="3"/>
  <c r="AB467" i="3" s="1"/>
  <c r="H467" i="3"/>
  <c r="G467" i="3"/>
  <c r="F467" i="3"/>
  <c r="Z466" i="3"/>
  <c r="Y466" i="3"/>
  <c r="U466" i="3"/>
  <c r="T466" i="3"/>
  <c r="P466" i="3"/>
  <c r="O466" i="3"/>
  <c r="K466" i="3"/>
  <c r="J466" i="3"/>
  <c r="I466" i="3"/>
  <c r="AB466" i="3" s="1"/>
  <c r="H466" i="3"/>
  <c r="G466" i="3"/>
  <c r="F466" i="3"/>
  <c r="M466" i="3" s="1"/>
  <c r="Z465" i="3"/>
  <c r="Y465" i="3"/>
  <c r="U465" i="3"/>
  <c r="T465" i="3"/>
  <c r="P465" i="3"/>
  <c r="O465" i="3"/>
  <c r="K465" i="3"/>
  <c r="J465" i="3"/>
  <c r="I465" i="3"/>
  <c r="AB465" i="3" s="1"/>
  <c r="H465" i="3"/>
  <c r="G465" i="3"/>
  <c r="F465" i="3"/>
  <c r="Z464" i="3"/>
  <c r="Y464" i="3"/>
  <c r="U464" i="3"/>
  <c r="T464" i="3"/>
  <c r="P464" i="3"/>
  <c r="O464" i="3"/>
  <c r="K464" i="3"/>
  <c r="J464" i="3"/>
  <c r="I464" i="3"/>
  <c r="AB464" i="3" s="1"/>
  <c r="H464" i="3"/>
  <c r="G464" i="3"/>
  <c r="F464" i="3"/>
  <c r="Z463" i="3"/>
  <c r="Y463" i="3"/>
  <c r="U463" i="3"/>
  <c r="T463" i="3"/>
  <c r="P463" i="3"/>
  <c r="O463" i="3"/>
  <c r="K463" i="3"/>
  <c r="J463" i="3"/>
  <c r="I463" i="3"/>
  <c r="AB463" i="3" s="1"/>
  <c r="H463" i="3"/>
  <c r="G463" i="3"/>
  <c r="F463" i="3"/>
  <c r="Z462" i="3"/>
  <c r="Y462" i="3"/>
  <c r="U462" i="3"/>
  <c r="T462" i="3"/>
  <c r="P462" i="3"/>
  <c r="O462" i="3"/>
  <c r="K462" i="3"/>
  <c r="J462" i="3"/>
  <c r="I462" i="3"/>
  <c r="AB462" i="3" s="1"/>
  <c r="H462" i="3"/>
  <c r="G462" i="3"/>
  <c r="F462" i="3"/>
  <c r="Z461" i="3"/>
  <c r="Y461" i="3"/>
  <c r="U461" i="3"/>
  <c r="T461" i="3"/>
  <c r="P461" i="3"/>
  <c r="O461" i="3"/>
  <c r="K461" i="3"/>
  <c r="J461" i="3"/>
  <c r="I461" i="3"/>
  <c r="AB461" i="3" s="1"/>
  <c r="H461" i="3"/>
  <c r="G461" i="3"/>
  <c r="F461" i="3"/>
  <c r="Z460" i="3"/>
  <c r="Y460" i="3"/>
  <c r="U460" i="3"/>
  <c r="T460" i="3"/>
  <c r="P460" i="3"/>
  <c r="O460" i="3"/>
  <c r="K460" i="3"/>
  <c r="J460" i="3"/>
  <c r="I460" i="3"/>
  <c r="AB460" i="3" s="1"/>
  <c r="H460" i="3"/>
  <c r="G460" i="3"/>
  <c r="F460" i="3"/>
  <c r="Z459" i="3"/>
  <c r="Y459" i="3"/>
  <c r="U459" i="3"/>
  <c r="T459" i="3"/>
  <c r="P459" i="3"/>
  <c r="O459" i="3"/>
  <c r="K459" i="3"/>
  <c r="J459" i="3"/>
  <c r="I459" i="3"/>
  <c r="AB459" i="3" s="1"/>
  <c r="H459" i="3"/>
  <c r="G459" i="3"/>
  <c r="F459" i="3"/>
  <c r="Z458" i="3"/>
  <c r="Y458" i="3"/>
  <c r="U458" i="3"/>
  <c r="T458" i="3"/>
  <c r="P458" i="3"/>
  <c r="O458" i="3"/>
  <c r="K458" i="3"/>
  <c r="J458" i="3"/>
  <c r="I458" i="3"/>
  <c r="AB458" i="3" s="1"/>
  <c r="H458" i="3"/>
  <c r="G458" i="3"/>
  <c r="F458" i="3"/>
  <c r="Z457" i="3"/>
  <c r="Y457" i="3"/>
  <c r="U457" i="3"/>
  <c r="T457" i="3"/>
  <c r="P457" i="3"/>
  <c r="O457" i="3"/>
  <c r="K457" i="3"/>
  <c r="J457" i="3"/>
  <c r="I457" i="3"/>
  <c r="AB457" i="3" s="1"/>
  <c r="H457" i="3"/>
  <c r="G457" i="3"/>
  <c r="F457" i="3"/>
  <c r="Z456" i="3"/>
  <c r="Y456" i="3"/>
  <c r="U456" i="3"/>
  <c r="T456" i="3"/>
  <c r="P456" i="3"/>
  <c r="O456" i="3"/>
  <c r="K456" i="3"/>
  <c r="J456" i="3"/>
  <c r="I456" i="3"/>
  <c r="AB456" i="3" s="1"/>
  <c r="M30" i="4" s="1"/>
  <c r="H456" i="3"/>
  <c r="G456" i="3"/>
  <c r="F456" i="3"/>
  <c r="Z455" i="3"/>
  <c r="Y455" i="3"/>
  <c r="U455" i="3"/>
  <c r="T455" i="3"/>
  <c r="P455" i="3"/>
  <c r="O455" i="3"/>
  <c r="K455" i="3"/>
  <c r="J455" i="3"/>
  <c r="I455" i="3"/>
  <c r="AB455" i="3" s="1"/>
  <c r="H455" i="3"/>
  <c r="G455" i="3"/>
  <c r="F455" i="3"/>
  <c r="Z454" i="3"/>
  <c r="Y454" i="3"/>
  <c r="U454" i="3"/>
  <c r="T454" i="3"/>
  <c r="P454" i="3"/>
  <c r="O454" i="3"/>
  <c r="K454" i="3"/>
  <c r="J454" i="3"/>
  <c r="I454" i="3"/>
  <c r="AB454" i="3" s="1"/>
  <c r="H454" i="3"/>
  <c r="G454" i="3"/>
  <c r="F454" i="3"/>
  <c r="Z453" i="3"/>
  <c r="Y453" i="3"/>
  <c r="U453" i="3"/>
  <c r="T453" i="3"/>
  <c r="P453" i="3"/>
  <c r="O453" i="3"/>
  <c r="K453" i="3"/>
  <c r="J453" i="3"/>
  <c r="I453" i="3"/>
  <c r="AB453" i="3" s="1"/>
  <c r="H453" i="3"/>
  <c r="G453" i="3"/>
  <c r="F453" i="3"/>
  <c r="Z452" i="3"/>
  <c r="Y452" i="3"/>
  <c r="U452" i="3"/>
  <c r="T452" i="3"/>
  <c r="P452" i="3"/>
  <c r="O452" i="3"/>
  <c r="K452" i="3"/>
  <c r="J452" i="3"/>
  <c r="I452" i="3"/>
  <c r="AB452" i="3" s="1"/>
  <c r="H452" i="3"/>
  <c r="G452" i="3"/>
  <c r="F452" i="3"/>
  <c r="Z451" i="3"/>
  <c r="Y451" i="3"/>
  <c r="U451" i="3"/>
  <c r="T451" i="3"/>
  <c r="P451" i="3"/>
  <c r="O451" i="3"/>
  <c r="K451" i="3"/>
  <c r="J451" i="3"/>
  <c r="I451" i="3"/>
  <c r="AB451" i="3" s="1"/>
  <c r="H451" i="3"/>
  <c r="G451" i="3"/>
  <c r="F451" i="3"/>
  <c r="Z450" i="3"/>
  <c r="Y450" i="3"/>
  <c r="U450" i="3"/>
  <c r="T450" i="3"/>
  <c r="P450" i="3"/>
  <c r="O450" i="3"/>
  <c r="K450" i="3"/>
  <c r="J450" i="3"/>
  <c r="I450" i="3"/>
  <c r="AB450" i="3" s="1"/>
  <c r="H450" i="3"/>
  <c r="G450" i="3"/>
  <c r="F450" i="3"/>
  <c r="Z449" i="3"/>
  <c r="Y449" i="3"/>
  <c r="U449" i="3"/>
  <c r="T449" i="3"/>
  <c r="P449" i="3"/>
  <c r="O449" i="3"/>
  <c r="K449" i="3"/>
  <c r="J449" i="3"/>
  <c r="I449" i="3"/>
  <c r="AB449" i="3" s="1"/>
  <c r="H449" i="3"/>
  <c r="G449" i="3"/>
  <c r="F449" i="3"/>
  <c r="Z448" i="3"/>
  <c r="Y448" i="3"/>
  <c r="U448" i="3"/>
  <c r="T448" i="3"/>
  <c r="P448" i="3"/>
  <c r="O448" i="3"/>
  <c r="K448" i="3"/>
  <c r="J448" i="3"/>
  <c r="I448" i="3"/>
  <c r="AB448" i="3" s="1"/>
  <c r="H448" i="3"/>
  <c r="G448" i="3"/>
  <c r="F448" i="3"/>
  <c r="Z447" i="3"/>
  <c r="Y447" i="3"/>
  <c r="U447" i="3"/>
  <c r="T447" i="3"/>
  <c r="P447" i="3"/>
  <c r="O447" i="3"/>
  <c r="K447" i="3"/>
  <c r="J447" i="3"/>
  <c r="I447" i="3"/>
  <c r="AB447" i="3" s="1"/>
  <c r="H447" i="3"/>
  <c r="G447" i="3"/>
  <c r="F447" i="3"/>
  <c r="Z446" i="3"/>
  <c r="Y446" i="3"/>
  <c r="U446" i="3"/>
  <c r="T446" i="3"/>
  <c r="P446" i="3"/>
  <c r="O446" i="3"/>
  <c r="K446" i="3"/>
  <c r="J446" i="3"/>
  <c r="I446" i="3"/>
  <c r="AB446" i="3" s="1"/>
  <c r="H446" i="3"/>
  <c r="G446" i="3"/>
  <c r="F446" i="3"/>
  <c r="Z445" i="3"/>
  <c r="Y445" i="3"/>
  <c r="U445" i="3"/>
  <c r="T445" i="3"/>
  <c r="P445" i="3"/>
  <c r="O445" i="3"/>
  <c r="K445" i="3"/>
  <c r="J445" i="3"/>
  <c r="I445" i="3"/>
  <c r="AB445" i="3" s="1"/>
  <c r="H445" i="3"/>
  <c r="G445" i="3"/>
  <c r="F445" i="3"/>
  <c r="Z444" i="3"/>
  <c r="Y444" i="3"/>
  <c r="U444" i="3"/>
  <c r="T444" i="3"/>
  <c r="P444" i="3"/>
  <c r="O444" i="3"/>
  <c r="K444" i="3"/>
  <c r="J444" i="3"/>
  <c r="I444" i="3"/>
  <c r="AB444" i="3" s="1"/>
  <c r="H444" i="3"/>
  <c r="G444" i="3"/>
  <c r="F444" i="3"/>
  <c r="Z443" i="3"/>
  <c r="Y443" i="3"/>
  <c r="U443" i="3"/>
  <c r="T443" i="3"/>
  <c r="P443" i="3"/>
  <c r="O443" i="3"/>
  <c r="K443" i="3"/>
  <c r="J443" i="3"/>
  <c r="I443" i="3"/>
  <c r="AB443" i="3" s="1"/>
  <c r="H443" i="3"/>
  <c r="G443" i="3"/>
  <c r="F443" i="3"/>
  <c r="Z442" i="3"/>
  <c r="Y442" i="3"/>
  <c r="U442" i="3"/>
  <c r="T442" i="3"/>
  <c r="P442" i="3"/>
  <c r="O442" i="3"/>
  <c r="K442" i="3"/>
  <c r="J442" i="3"/>
  <c r="I442" i="3"/>
  <c r="AB442" i="3" s="1"/>
  <c r="H442" i="3"/>
  <c r="G442" i="3"/>
  <c r="F442" i="3"/>
  <c r="Z441" i="3"/>
  <c r="Y441" i="3"/>
  <c r="U441" i="3"/>
  <c r="T441" i="3"/>
  <c r="P441" i="3"/>
  <c r="O441" i="3"/>
  <c r="K441" i="3"/>
  <c r="J441" i="3"/>
  <c r="I441" i="3"/>
  <c r="AB441" i="3" s="1"/>
  <c r="H441" i="3"/>
  <c r="G441" i="3"/>
  <c r="F441" i="3"/>
  <c r="Z440" i="3"/>
  <c r="Y440" i="3"/>
  <c r="U440" i="3"/>
  <c r="T440" i="3"/>
  <c r="P440" i="3"/>
  <c r="O440" i="3"/>
  <c r="K440" i="3"/>
  <c r="J440" i="3"/>
  <c r="I440" i="3"/>
  <c r="AB440" i="3" s="1"/>
  <c r="H440" i="3"/>
  <c r="G440" i="3"/>
  <c r="F440" i="3"/>
  <c r="Z439" i="3"/>
  <c r="Y439" i="3"/>
  <c r="U439" i="3"/>
  <c r="T439" i="3"/>
  <c r="P439" i="3"/>
  <c r="O439" i="3"/>
  <c r="K439" i="3"/>
  <c r="J439" i="3"/>
  <c r="I439" i="3"/>
  <c r="AB439" i="3" s="1"/>
  <c r="H439" i="3"/>
  <c r="G439" i="3"/>
  <c r="F439" i="3"/>
  <c r="Z438" i="3"/>
  <c r="Y438" i="3"/>
  <c r="U438" i="3"/>
  <c r="T438" i="3"/>
  <c r="P438" i="3"/>
  <c r="O438" i="3"/>
  <c r="K438" i="3"/>
  <c r="J438" i="3"/>
  <c r="I438" i="3"/>
  <c r="AB438" i="3" s="1"/>
  <c r="M29" i="4" s="1"/>
  <c r="H438" i="3"/>
  <c r="G438" i="3"/>
  <c r="F438" i="3"/>
  <c r="Z437" i="3"/>
  <c r="Y437" i="3"/>
  <c r="U437" i="3"/>
  <c r="T437" i="3"/>
  <c r="P437" i="3"/>
  <c r="O437" i="3"/>
  <c r="K437" i="3"/>
  <c r="J437" i="3"/>
  <c r="I437" i="3"/>
  <c r="AB437" i="3" s="1"/>
  <c r="H437" i="3"/>
  <c r="G437" i="3"/>
  <c r="F437" i="3"/>
  <c r="Z436" i="3"/>
  <c r="Y436" i="3"/>
  <c r="U436" i="3"/>
  <c r="T436" i="3"/>
  <c r="P436" i="3"/>
  <c r="O436" i="3"/>
  <c r="K436" i="3"/>
  <c r="J436" i="3"/>
  <c r="I436" i="3"/>
  <c r="AB436" i="3" s="1"/>
  <c r="H436" i="3"/>
  <c r="G436" i="3"/>
  <c r="F436" i="3"/>
  <c r="Z435" i="3"/>
  <c r="U435" i="3"/>
  <c r="T435" i="3"/>
  <c r="P435" i="3"/>
  <c r="O435" i="3"/>
  <c r="K435" i="3"/>
  <c r="J435" i="3"/>
  <c r="I435" i="3"/>
  <c r="H435" i="3"/>
  <c r="G435" i="3"/>
  <c r="F435" i="3"/>
  <c r="Z434" i="3"/>
  <c r="Y434" i="3"/>
  <c r="U434" i="3"/>
  <c r="P434" i="3"/>
  <c r="O434" i="3"/>
  <c r="K434" i="3"/>
  <c r="J434" i="3"/>
  <c r="I434" i="3"/>
  <c r="H434" i="3"/>
  <c r="G434" i="3"/>
  <c r="F434" i="3"/>
  <c r="Z433" i="3"/>
  <c r="U433" i="3"/>
  <c r="T433" i="3"/>
  <c r="P433" i="3"/>
  <c r="O433" i="3"/>
  <c r="K433" i="3"/>
  <c r="J433" i="3"/>
  <c r="I433" i="3"/>
  <c r="H433" i="3"/>
  <c r="G433" i="3"/>
  <c r="F433" i="3"/>
  <c r="Z432" i="3"/>
  <c r="Y432" i="3"/>
  <c r="U432" i="3"/>
  <c r="T432" i="3"/>
  <c r="P432" i="3"/>
  <c r="O432" i="3"/>
  <c r="K432" i="3"/>
  <c r="J432" i="3"/>
  <c r="I432" i="3"/>
  <c r="AB432" i="3" s="1"/>
  <c r="H432" i="3"/>
  <c r="G432" i="3"/>
  <c r="F432" i="3"/>
  <c r="Z431" i="3"/>
  <c r="Y431" i="3"/>
  <c r="U431" i="3"/>
  <c r="T431" i="3"/>
  <c r="P431" i="3"/>
  <c r="O431" i="3"/>
  <c r="K431" i="3"/>
  <c r="J431" i="3"/>
  <c r="I431" i="3"/>
  <c r="AB431" i="3" s="1"/>
  <c r="H431" i="3"/>
  <c r="G431" i="3"/>
  <c r="F431" i="3"/>
  <c r="Z430" i="3"/>
  <c r="Y430" i="3"/>
  <c r="U430" i="3"/>
  <c r="P430" i="3"/>
  <c r="O430" i="3"/>
  <c r="K430" i="3"/>
  <c r="J430" i="3"/>
  <c r="I430" i="3"/>
  <c r="H430" i="3"/>
  <c r="G430" i="3"/>
  <c r="F430" i="3"/>
  <c r="Z429" i="3"/>
  <c r="U429" i="3"/>
  <c r="T429" i="3"/>
  <c r="P429" i="3"/>
  <c r="O429" i="3"/>
  <c r="K429" i="3"/>
  <c r="J429" i="3"/>
  <c r="I429" i="3"/>
  <c r="H429" i="3"/>
  <c r="G429" i="3"/>
  <c r="F429" i="3"/>
  <c r="Z428" i="3"/>
  <c r="Y428" i="3"/>
  <c r="U428" i="3"/>
  <c r="T428" i="3"/>
  <c r="P428" i="3"/>
  <c r="O428" i="3"/>
  <c r="K428" i="3"/>
  <c r="J428" i="3"/>
  <c r="I428" i="3"/>
  <c r="AB428" i="3" s="1"/>
  <c r="H428" i="3"/>
  <c r="G428" i="3"/>
  <c r="F428" i="3"/>
  <c r="Z427" i="3"/>
  <c r="Y427" i="3"/>
  <c r="U427" i="3"/>
  <c r="T427" i="3"/>
  <c r="P427" i="3"/>
  <c r="O427" i="3"/>
  <c r="K427" i="3"/>
  <c r="J427" i="3"/>
  <c r="I427" i="3"/>
  <c r="AB427" i="3" s="1"/>
  <c r="H427" i="3"/>
  <c r="G427" i="3"/>
  <c r="F427" i="3"/>
  <c r="Z426" i="3"/>
  <c r="Y426" i="3"/>
  <c r="U426" i="3"/>
  <c r="P426" i="3"/>
  <c r="O426" i="3"/>
  <c r="K426" i="3"/>
  <c r="J426" i="3"/>
  <c r="I426" i="3"/>
  <c r="H426" i="3"/>
  <c r="G426" i="3"/>
  <c r="F426" i="3"/>
  <c r="Z425" i="3"/>
  <c r="U425" i="3"/>
  <c r="T425" i="3"/>
  <c r="P425" i="3"/>
  <c r="O425" i="3"/>
  <c r="K425" i="3"/>
  <c r="J425" i="3"/>
  <c r="I425" i="3"/>
  <c r="H425" i="3"/>
  <c r="G425" i="3"/>
  <c r="F425" i="3"/>
  <c r="Z424" i="3"/>
  <c r="Y424" i="3"/>
  <c r="U424" i="3"/>
  <c r="T424" i="3"/>
  <c r="P424" i="3"/>
  <c r="O424" i="3"/>
  <c r="K424" i="3"/>
  <c r="J424" i="3"/>
  <c r="I424" i="3"/>
  <c r="AB424" i="3" s="1"/>
  <c r="H424" i="3"/>
  <c r="G424" i="3"/>
  <c r="F424" i="3"/>
  <c r="Z423" i="3"/>
  <c r="Y423" i="3"/>
  <c r="U423" i="3"/>
  <c r="T423" i="3"/>
  <c r="P423" i="3"/>
  <c r="O423" i="3"/>
  <c r="K423" i="3"/>
  <c r="J423" i="3"/>
  <c r="I423" i="3"/>
  <c r="AB423" i="3" s="1"/>
  <c r="H423" i="3"/>
  <c r="G423" i="3"/>
  <c r="F423" i="3"/>
  <c r="Z422" i="3"/>
  <c r="Y422" i="3"/>
  <c r="U422" i="3"/>
  <c r="P422" i="3"/>
  <c r="O422" i="3"/>
  <c r="K422" i="3"/>
  <c r="J422" i="3"/>
  <c r="I422" i="3"/>
  <c r="H422" i="3"/>
  <c r="G422" i="3"/>
  <c r="F422" i="3"/>
  <c r="Z421" i="3"/>
  <c r="U421" i="3"/>
  <c r="T421" i="3"/>
  <c r="P421" i="3"/>
  <c r="O421" i="3"/>
  <c r="K421" i="3"/>
  <c r="J421" i="3"/>
  <c r="I421" i="3"/>
  <c r="H421" i="3"/>
  <c r="G421" i="3"/>
  <c r="F421" i="3"/>
  <c r="Z420" i="3"/>
  <c r="Y420" i="3"/>
  <c r="U420" i="3"/>
  <c r="T420" i="3"/>
  <c r="P420" i="3"/>
  <c r="O420" i="3"/>
  <c r="K420" i="3"/>
  <c r="J420" i="3"/>
  <c r="I420" i="3"/>
  <c r="AB420" i="3" s="1"/>
  <c r="H420" i="3"/>
  <c r="G420" i="3"/>
  <c r="F420" i="3"/>
  <c r="Z419" i="3"/>
  <c r="Y419" i="3"/>
  <c r="U419" i="3"/>
  <c r="P419" i="3"/>
  <c r="O419" i="3"/>
  <c r="K419" i="3"/>
  <c r="J419" i="3"/>
  <c r="I419" i="3"/>
  <c r="H419" i="3"/>
  <c r="G419" i="3"/>
  <c r="F419" i="3"/>
  <c r="Z418" i="3"/>
  <c r="Y418" i="3"/>
  <c r="U418" i="3"/>
  <c r="P418" i="3"/>
  <c r="O418" i="3"/>
  <c r="K418" i="3"/>
  <c r="J418" i="3"/>
  <c r="I418" i="3"/>
  <c r="H418" i="3"/>
  <c r="G418" i="3"/>
  <c r="F418" i="3"/>
  <c r="Z417" i="3"/>
  <c r="Y417" i="3"/>
  <c r="U417" i="3"/>
  <c r="T417" i="3"/>
  <c r="P417" i="3"/>
  <c r="O417" i="3"/>
  <c r="K417" i="3"/>
  <c r="J417" i="3"/>
  <c r="I417" i="3"/>
  <c r="AB417" i="3" s="1"/>
  <c r="H417" i="3"/>
  <c r="G417" i="3"/>
  <c r="F417" i="3"/>
  <c r="Z416" i="3"/>
  <c r="Y416" i="3"/>
  <c r="U416" i="3"/>
  <c r="T416" i="3"/>
  <c r="P416" i="3"/>
  <c r="O416" i="3"/>
  <c r="K416" i="3"/>
  <c r="J416" i="3"/>
  <c r="I416" i="3"/>
  <c r="AB416" i="3" s="1"/>
  <c r="H416" i="3"/>
  <c r="G416" i="3"/>
  <c r="F416" i="3"/>
  <c r="Z415" i="3"/>
  <c r="Y415" i="3"/>
  <c r="U415" i="3"/>
  <c r="P415" i="3"/>
  <c r="O415" i="3"/>
  <c r="K415" i="3"/>
  <c r="J415" i="3"/>
  <c r="I415" i="3"/>
  <c r="H415" i="3"/>
  <c r="G415" i="3"/>
  <c r="F415" i="3"/>
  <c r="Z414" i="3"/>
  <c r="Y414" i="3"/>
  <c r="U414" i="3"/>
  <c r="P414" i="3"/>
  <c r="O414" i="3"/>
  <c r="K414" i="3"/>
  <c r="J414" i="3"/>
  <c r="I414" i="3"/>
  <c r="H414" i="3"/>
  <c r="G414" i="3"/>
  <c r="F414" i="3"/>
  <c r="Z413" i="3"/>
  <c r="U413" i="3"/>
  <c r="T413" i="3"/>
  <c r="P413" i="3"/>
  <c r="O413" i="3"/>
  <c r="K413" i="3"/>
  <c r="J413" i="3"/>
  <c r="I413" i="3"/>
  <c r="H413" i="3"/>
  <c r="G413" i="3"/>
  <c r="F413" i="3"/>
  <c r="Z412" i="3"/>
  <c r="Y412" i="3"/>
  <c r="U412" i="3"/>
  <c r="T412" i="3"/>
  <c r="P412" i="3"/>
  <c r="O412" i="3"/>
  <c r="K412" i="3"/>
  <c r="J412" i="3"/>
  <c r="I412" i="3"/>
  <c r="AB412" i="3" s="1"/>
  <c r="H412" i="3"/>
  <c r="G412" i="3"/>
  <c r="F412" i="3"/>
  <c r="Z411" i="3"/>
  <c r="Y411" i="3"/>
  <c r="U411" i="3"/>
  <c r="P411" i="3"/>
  <c r="O411" i="3"/>
  <c r="K411" i="3"/>
  <c r="J411" i="3"/>
  <c r="I411" i="3"/>
  <c r="H411" i="3"/>
  <c r="G411" i="3"/>
  <c r="F411" i="3"/>
  <c r="Z410" i="3"/>
  <c r="Y410" i="3"/>
  <c r="U410" i="3"/>
  <c r="T410" i="3"/>
  <c r="P410" i="3"/>
  <c r="O410" i="3"/>
  <c r="K410" i="3"/>
  <c r="J410" i="3"/>
  <c r="I410" i="3"/>
  <c r="AB410" i="3" s="1"/>
  <c r="H410" i="3"/>
  <c r="G410" i="3"/>
  <c r="F410" i="3"/>
  <c r="Z409" i="3"/>
  <c r="U409" i="3"/>
  <c r="T409" i="3"/>
  <c r="P409" i="3"/>
  <c r="O409" i="3"/>
  <c r="K409" i="3"/>
  <c r="J409" i="3"/>
  <c r="I409" i="3"/>
  <c r="H409" i="3"/>
  <c r="G409" i="3"/>
  <c r="F409" i="3"/>
  <c r="Z408" i="3"/>
  <c r="Y408" i="3"/>
  <c r="U408" i="3"/>
  <c r="T408" i="3"/>
  <c r="P408" i="3"/>
  <c r="O408" i="3"/>
  <c r="K408" i="3"/>
  <c r="J408" i="3"/>
  <c r="I408" i="3"/>
  <c r="AB408" i="3" s="1"/>
  <c r="H408" i="3"/>
  <c r="G408" i="3"/>
  <c r="F408" i="3"/>
  <c r="Z407" i="3"/>
  <c r="Y407" i="3"/>
  <c r="U407" i="3"/>
  <c r="P407" i="3"/>
  <c r="O407" i="3"/>
  <c r="K407" i="3"/>
  <c r="J407" i="3"/>
  <c r="I407" i="3"/>
  <c r="H407" i="3"/>
  <c r="G407" i="3"/>
  <c r="F407" i="3"/>
  <c r="Z406" i="3"/>
  <c r="Y406" i="3"/>
  <c r="U406" i="3"/>
  <c r="T406" i="3"/>
  <c r="P406" i="3"/>
  <c r="O406" i="3"/>
  <c r="K406" i="3"/>
  <c r="J406" i="3"/>
  <c r="I406" i="3"/>
  <c r="AB406" i="3" s="1"/>
  <c r="H406" i="3"/>
  <c r="G406" i="3"/>
  <c r="F406" i="3"/>
  <c r="Z405" i="3"/>
  <c r="Y405" i="3"/>
  <c r="U405" i="3"/>
  <c r="T405" i="3"/>
  <c r="P405" i="3"/>
  <c r="O405" i="3"/>
  <c r="K405" i="3"/>
  <c r="J405" i="3"/>
  <c r="I405" i="3"/>
  <c r="AB405" i="3" s="1"/>
  <c r="H405" i="3"/>
  <c r="G405" i="3"/>
  <c r="F405" i="3"/>
  <c r="Z404" i="3"/>
  <c r="Y404" i="3"/>
  <c r="U404" i="3"/>
  <c r="T404" i="3"/>
  <c r="P404" i="3"/>
  <c r="O404" i="3"/>
  <c r="K404" i="3"/>
  <c r="J404" i="3"/>
  <c r="I404" i="3"/>
  <c r="AB404" i="3" s="1"/>
  <c r="H404" i="3"/>
  <c r="G404" i="3"/>
  <c r="F404" i="3"/>
  <c r="Z403" i="3"/>
  <c r="Y403" i="3"/>
  <c r="U403" i="3"/>
  <c r="P403" i="3"/>
  <c r="O403" i="3"/>
  <c r="K403" i="3"/>
  <c r="J403" i="3"/>
  <c r="I403" i="3"/>
  <c r="H403" i="3"/>
  <c r="G403" i="3"/>
  <c r="F403" i="3"/>
  <c r="Z402" i="3"/>
  <c r="Y402" i="3"/>
  <c r="U402" i="3"/>
  <c r="T402" i="3"/>
  <c r="P402" i="3"/>
  <c r="O402" i="3"/>
  <c r="K402" i="3"/>
  <c r="J402" i="3"/>
  <c r="I402" i="3"/>
  <c r="H402" i="3"/>
  <c r="G402" i="3"/>
  <c r="F402" i="3"/>
  <c r="Z401" i="3"/>
  <c r="Y401" i="3"/>
  <c r="U401" i="3"/>
  <c r="T401" i="3"/>
  <c r="P401" i="3"/>
  <c r="O401" i="3"/>
  <c r="K401" i="3"/>
  <c r="J401" i="3"/>
  <c r="I401" i="3"/>
  <c r="AB401" i="3" s="1"/>
  <c r="H401" i="3"/>
  <c r="G401" i="3"/>
  <c r="F401" i="3"/>
  <c r="Z400" i="3"/>
  <c r="Y400" i="3"/>
  <c r="U400" i="3"/>
  <c r="T400" i="3"/>
  <c r="P400" i="3"/>
  <c r="O400" i="3"/>
  <c r="K400" i="3"/>
  <c r="J400" i="3"/>
  <c r="I400" i="3"/>
  <c r="AB400" i="3" s="1"/>
  <c r="H400" i="3"/>
  <c r="G400" i="3"/>
  <c r="F400" i="3"/>
  <c r="Z399" i="3"/>
  <c r="Y399" i="3"/>
  <c r="U399" i="3"/>
  <c r="T399" i="3"/>
  <c r="P399" i="3"/>
  <c r="O399" i="3"/>
  <c r="K399" i="3"/>
  <c r="J399" i="3"/>
  <c r="I399" i="3"/>
  <c r="AB399" i="3" s="1"/>
  <c r="H399" i="3"/>
  <c r="G399" i="3"/>
  <c r="F399" i="3"/>
  <c r="Z398" i="3"/>
  <c r="Y398" i="3"/>
  <c r="U398" i="3"/>
  <c r="T398" i="3"/>
  <c r="P398" i="3"/>
  <c r="O398" i="3"/>
  <c r="K398" i="3"/>
  <c r="J398" i="3"/>
  <c r="I398" i="3"/>
  <c r="AB398" i="3" s="1"/>
  <c r="H398" i="3"/>
  <c r="G398" i="3"/>
  <c r="F398" i="3"/>
  <c r="Z397" i="3"/>
  <c r="Y397" i="3"/>
  <c r="U397" i="3"/>
  <c r="T397" i="3"/>
  <c r="P397" i="3"/>
  <c r="O397" i="3"/>
  <c r="K397" i="3"/>
  <c r="J397" i="3"/>
  <c r="I397" i="3"/>
  <c r="AB397" i="3" s="1"/>
  <c r="H397" i="3"/>
  <c r="G397" i="3"/>
  <c r="F397" i="3"/>
  <c r="Z396" i="3"/>
  <c r="Y396" i="3"/>
  <c r="U396" i="3"/>
  <c r="T396" i="3"/>
  <c r="P396" i="3"/>
  <c r="O396" i="3"/>
  <c r="K396" i="3"/>
  <c r="J396" i="3"/>
  <c r="I396" i="3"/>
  <c r="AB396" i="3" s="1"/>
  <c r="H396" i="3"/>
  <c r="G396" i="3"/>
  <c r="F396" i="3"/>
  <c r="Z395" i="3"/>
  <c r="Y395" i="3"/>
  <c r="U395" i="3"/>
  <c r="T395" i="3"/>
  <c r="P395" i="3"/>
  <c r="O395" i="3"/>
  <c r="K395" i="3"/>
  <c r="J395" i="3"/>
  <c r="I395" i="3"/>
  <c r="AB395" i="3" s="1"/>
  <c r="H395" i="3"/>
  <c r="G395" i="3"/>
  <c r="F395" i="3"/>
  <c r="Z394" i="3"/>
  <c r="Y394" i="3"/>
  <c r="U394" i="3"/>
  <c r="T394" i="3"/>
  <c r="P394" i="3"/>
  <c r="O394" i="3"/>
  <c r="K394" i="3"/>
  <c r="J394" i="3"/>
  <c r="I394" i="3"/>
  <c r="AB394" i="3" s="1"/>
  <c r="H394" i="3"/>
  <c r="G394" i="3"/>
  <c r="F394" i="3"/>
  <c r="Z393" i="3"/>
  <c r="Y393" i="3"/>
  <c r="U393" i="3"/>
  <c r="T393" i="3"/>
  <c r="P393" i="3"/>
  <c r="O393" i="3"/>
  <c r="K393" i="3"/>
  <c r="J393" i="3"/>
  <c r="I393" i="3"/>
  <c r="AB393" i="3" s="1"/>
  <c r="H393" i="3"/>
  <c r="G393" i="3"/>
  <c r="F393" i="3"/>
  <c r="Z392" i="3"/>
  <c r="Y392" i="3"/>
  <c r="U392" i="3"/>
  <c r="T392" i="3"/>
  <c r="P392" i="3"/>
  <c r="O392" i="3"/>
  <c r="K392" i="3"/>
  <c r="J392" i="3"/>
  <c r="I392" i="3"/>
  <c r="H392" i="3"/>
  <c r="G392" i="3"/>
  <c r="F392" i="3"/>
  <c r="Z391" i="3"/>
  <c r="Y391" i="3"/>
  <c r="U391" i="3"/>
  <c r="T391" i="3"/>
  <c r="P391" i="3"/>
  <c r="O391" i="3"/>
  <c r="K391" i="3"/>
  <c r="J391" i="3"/>
  <c r="I391" i="3"/>
  <c r="AB391" i="3" s="1"/>
  <c r="H391" i="3"/>
  <c r="G391" i="3"/>
  <c r="F391" i="3"/>
  <c r="Z390" i="3"/>
  <c r="Y390" i="3"/>
  <c r="U390" i="3"/>
  <c r="T390" i="3"/>
  <c r="P390" i="3"/>
  <c r="O390" i="3"/>
  <c r="K390" i="3"/>
  <c r="J390" i="3"/>
  <c r="I390" i="3"/>
  <c r="AB390" i="3" s="1"/>
  <c r="H390" i="3"/>
  <c r="G390" i="3"/>
  <c r="F390" i="3"/>
  <c r="Z389" i="3"/>
  <c r="Y389" i="3"/>
  <c r="U389" i="3"/>
  <c r="T389" i="3"/>
  <c r="P389" i="3"/>
  <c r="O389" i="3"/>
  <c r="K389" i="3"/>
  <c r="J389" i="3"/>
  <c r="I389" i="3"/>
  <c r="AB389" i="3" s="1"/>
  <c r="H389" i="3"/>
  <c r="G389" i="3"/>
  <c r="F389" i="3"/>
  <c r="Z388" i="3"/>
  <c r="Y388" i="3"/>
  <c r="U388" i="3"/>
  <c r="T388" i="3"/>
  <c r="P388" i="3"/>
  <c r="O388" i="3"/>
  <c r="K388" i="3"/>
  <c r="J388" i="3"/>
  <c r="I388" i="3"/>
  <c r="AB388" i="3" s="1"/>
  <c r="H388" i="3"/>
  <c r="G388" i="3"/>
  <c r="F388" i="3"/>
  <c r="Z387" i="3"/>
  <c r="Y387" i="3"/>
  <c r="U387" i="3"/>
  <c r="T387" i="3"/>
  <c r="P387" i="3"/>
  <c r="O387" i="3"/>
  <c r="K387" i="3"/>
  <c r="J387" i="3"/>
  <c r="I387" i="3"/>
  <c r="AB387" i="3" s="1"/>
  <c r="H387" i="3"/>
  <c r="G387" i="3"/>
  <c r="F387" i="3"/>
  <c r="Z386" i="3"/>
  <c r="Y386" i="3"/>
  <c r="U386" i="3"/>
  <c r="T386" i="3"/>
  <c r="P386" i="3"/>
  <c r="O386" i="3"/>
  <c r="K386" i="3"/>
  <c r="J386" i="3"/>
  <c r="I386" i="3"/>
  <c r="AB386" i="3" s="1"/>
  <c r="H386" i="3"/>
  <c r="G386" i="3"/>
  <c r="F386" i="3"/>
  <c r="Z385" i="3"/>
  <c r="Y385" i="3"/>
  <c r="U385" i="3"/>
  <c r="T385" i="3"/>
  <c r="P385" i="3"/>
  <c r="O385" i="3"/>
  <c r="K385" i="3"/>
  <c r="J385" i="3"/>
  <c r="I385" i="3"/>
  <c r="AB385" i="3" s="1"/>
  <c r="H385" i="3"/>
  <c r="G385" i="3"/>
  <c r="F385" i="3"/>
  <c r="Z384" i="3"/>
  <c r="Y384" i="3"/>
  <c r="U384" i="3"/>
  <c r="T384" i="3"/>
  <c r="P384" i="3"/>
  <c r="O384" i="3"/>
  <c r="K384" i="3"/>
  <c r="J384" i="3"/>
  <c r="I384" i="3"/>
  <c r="AB384" i="3" s="1"/>
  <c r="H384" i="3"/>
  <c r="G384" i="3"/>
  <c r="F384" i="3"/>
  <c r="Z383" i="3"/>
  <c r="Y383" i="3"/>
  <c r="U383" i="3"/>
  <c r="T383" i="3"/>
  <c r="P383" i="3"/>
  <c r="O383" i="3"/>
  <c r="K383" i="3"/>
  <c r="J383" i="3"/>
  <c r="I383" i="3"/>
  <c r="AB383" i="3" s="1"/>
  <c r="H383" i="3"/>
  <c r="G383" i="3"/>
  <c r="F383" i="3"/>
  <c r="Z382" i="3"/>
  <c r="Y382" i="3"/>
  <c r="U382" i="3"/>
  <c r="T382" i="3"/>
  <c r="P382" i="3"/>
  <c r="O382" i="3"/>
  <c r="K382" i="3"/>
  <c r="J382" i="3"/>
  <c r="I382" i="3"/>
  <c r="H382" i="3"/>
  <c r="G382" i="3"/>
  <c r="F382" i="3"/>
  <c r="Z381" i="3"/>
  <c r="Y381" i="3"/>
  <c r="U381" i="3"/>
  <c r="T381" i="3"/>
  <c r="P381" i="3"/>
  <c r="O381" i="3"/>
  <c r="K381" i="3"/>
  <c r="J381" i="3"/>
  <c r="I381" i="3"/>
  <c r="AB381" i="3" s="1"/>
  <c r="H381" i="3"/>
  <c r="G381" i="3"/>
  <c r="F381" i="3"/>
  <c r="Z380" i="3"/>
  <c r="Y380" i="3"/>
  <c r="U380" i="3"/>
  <c r="T380" i="3"/>
  <c r="P380" i="3"/>
  <c r="O380" i="3"/>
  <c r="K380" i="3"/>
  <c r="J380" i="3"/>
  <c r="I380" i="3"/>
  <c r="AB380" i="3" s="1"/>
  <c r="H380" i="3"/>
  <c r="G380" i="3"/>
  <c r="F380" i="3"/>
  <c r="Z379" i="3"/>
  <c r="Y379" i="3"/>
  <c r="U379" i="3"/>
  <c r="T379" i="3"/>
  <c r="P379" i="3"/>
  <c r="O379" i="3"/>
  <c r="K379" i="3"/>
  <c r="J379" i="3"/>
  <c r="I379" i="3"/>
  <c r="AB379" i="3" s="1"/>
  <c r="H379" i="3"/>
  <c r="G379" i="3"/>
  <c r="F379" i="3"/>
  <c r="Z378" i="3"/>
  <c r="U378" i="3"/>
  <c r="T378" i="3"/>
  <c r="P378" i="3"/>
  <c r="O378" i="3"/>
  <c r="K378" i="3"/>
  <c r="J378" i="3"/>
  <c r="I378" i="3"/>
  <c r="H378" i="3"/>
  <c r="G378" i="3"/>
  <c r="F378" i="3"/>
  <c r="Z377" i="3"/>
  <c r="Y377" i="3"/>
  <c r="U377" i="3"/>
  <c r="T377" i="3"/>
  <c r="P377" i="3"/>
  <c r="O377" i="3"/>
  <c r="K377" i="3"/>
  <c r="J377" i="3"/>
  <c r="I377" i="3"/>
  <c r="AB377" i="3" s="1"/>
  <c r="H377" i="3"/>
  <c r="G377" i="3"/>
  <c r="F377" i="3"/>
  <c r="Z376" i="3"/>
  <c r="Y376" i="3"/>
  <c r="U376" i="3"/>
  <c r="T376" i="3"/>
  <c r="P376" i="3"/>
  <c r="O376" i="3"/>
  <c r="K376" i="3"/>
  <c r="J376" i="3"/>
  <c r="I376" i="3"/>
  <c r="AB376" i="3" s="1"/>
  <c r="H376" i="3"/>
  <c r="G376" i="3"/>
  <c r="F376" i="3"/>
  <c r="Z375" i="3"/>
  <c r="Y375" i="3"/>
  <c r="U375" i="3"/>
  <c r="T375" i="3"/>
  <c r="P375" i="3"/>
  <c r="O375" i="3"/>
  <c r="K375" i="3"/>
  <c r="J375" i="3"/>
  <c r="I375" i="3"/>
  <c r="AB375" i="3" s="1"/>
  <c r="H375" i="3"/>
  <c r="G375" i="3"/>
  <c r="F375" i="3"/>
  <c r="Z374" i="3"/>
  <c r="Y374" i="3"/>
  <c r="U374" i="3"/>
  <c r="T374" i="3"/>
  <c r="P374" i="3"/>
  <c r="O374" i="3"/>
  <c r="K374" i="3"/>
  <c r="J374" i="3"/>
  <c r="I374" i="3"/>
  <c r="AB374" i="3" s="1"/>
  <c r="H374" i="3"/>
  <c r="G374" i="3"/>
  <c r="F374" i="3"/>
  <c r="Z373" i="3"/>
  <c r="Y373" i="3"/>
  <c r="U373" i="3"/>
  <c r="T373" i="3"/>
  <c r="P373" i="3"/>
  <c r="O373" i="3"/>
  <c r="K373" i="3"/>
  <c r="J373" i="3"/>
  <c r="I373" i="3"/>
  <c r="AB373" i="3" s="1"/>
  <c r="H373" i="3"/>
  <c r="G373" i="3"/>
  <c r="F373" i="3"/>
  <c r="Z372" i="3"/>
  <c r="Y372" i="3"/>
  <c r="U372" i="3"/>
  <c r="T372" i="3"/>
  <c r="P372" i="3"/>
  <c r="O372" i="3"/>
  <c r="K372" i="3"/>
  <c r="J372" i="3"/>
  <c r="I372" i="3"/>
  <c r="AB372" i="3" s="1"/>
  <c r="H372" i="3"/>
  <c r="G372" i="3"/>
  <c r="F372" i="3"/>
  <c r="Z371" i="3"/>
  <c r="Y371" i="3"/>
  <c r="U371" i="3"/>
  <c r="T371" i="3"/>
  <c r="P371" i="3"/>
  <c r="O371" i="3"/>
  <c r="K371" i="3"/>
  <c r="J371" i="3"/>
  <c r="I371" i="3"/>
  <c r="AB371" i="3" s="1"/>
  <c r="H371" i="3"/>
  <c r="G371" i="3"/>
  <c r="F371" i="3"/>
  <c r="Z370" i="3"/>
  <c r="Y370" i="3"/>
  <c r="U370" i="3"/>
  <c r="T370" i="3"/>
  <c r="P370" i="3"/>
  <c r="O370" i="3"/>
  <c r="K370" i="3"/>
  <c r="J370" i="3"/>
  <c r="I370" i="3"/>
  <c r="H370" i="3"/>
  <c r="G370" i="3"/>
  <c r="F370" i="3"/>
  <c r="Z369" i="3"/>
  <c r="Y369" i="3"/>
  <c r="U369" i="3"/>
  <c r="T369" i="3"/>
  <c r="P369" i="3"/>
  <c r="O369" i="3"/>
  <c r="K369" i="3"/>
  <c r="J369" i="3"/>
  <c r="I369" i="3"/>
  <c r="AB369" i="3" s="1"/>
  <c r="H369" i="3"/>
  <c r="G369" i="3"/>
  <c r="F369" i="3"/>
  <c r="Z368" i="3"/>
  <c r="Y368" i="3"/>
  <c r="U368" i="3"/>
  <c r="T368" i="3"/>
  <c r="P368" i="3"/>
  <c r="O368" i="3"/>
  <c r="K368" i="3"/>
  <c r="J368" i="3"/>
  <c r="I368" i="3"/>
  <c r="AB368" i="3" s="1"/>
  <c r="H368" i="3"/>
  <c r="G368" i="3"/>
  <c r="F368" i="3"/>
  <c r="Z367" i="3"/>
  <c r="Y367" i="3"/>
  <c r="U367" i="3"/>
  <c r="T367" i="3"/>
  <c r="P367" i="3"/>
  <c r="O367" i="3"/>
  <c r="K367" i="3"/>
  <c r="J367" i="3"/>
  <c r="I367" i="3"/>
  <c r="AB367" i="3" s="1"/>
  <c r="H367" i="3"/>
  <c r="G367" i="3"/>
  <c r="F367" i="3"/>
  <c r="Z366" i="3"/>
  <c r="Y366" i="3"/>
  <c r="U366" i="3"/>
  <c r="T366" i="3"/>
  <c r="P366" i="3"/>
  <c r="O366" i="3"/>
  <c r="K366" i="3"/>
  <c r="J366" i="3"/>
  <c r="I366" i="3"/>
  <c r="H366" i="3"/>
  <c r="G366" i="3"/>
  <c r="F366" i="3"/>
  <c r="Z365" i="3"/>
  <c r="Y365" i="3"/>
  <c r="U365" i="3"/>
  <c r="P365" i="3"/>
  <c r="O365" i="3"/>
  <c r="K365" i="3"/>
  <c r="J365" i="3"/>
  <c r="I365" i="3"/>
  <c r="H365" i="3"/>
  <c r="G365" i="3"/>
  <c r="R365" i="3" s="1"/>
  <c r="F365" i="3"/>
  <c r="Z364" i="3"/>
  <c r="Y364" i="3"/>
  <c r="U364" i="3"/>
  <c r="T364" i="3"/>
  <c r="P364" i="3"/>
  <c r="O364" i="3"/>
  <c r="K364" i="3"/>
  <c r="J364" i="3"/>
  <c r="I364" i="3"/>
  <c r="AB364" i="3" s="1"/>
  <c r="H364" i="3"/>
  <c r="G364" i="3"/>
  <c r="F364" i="3"/>
  <c r="Z363" i="3"/>
  <c r="Y363" i="3"/>
  <c r="U363" i="3"/>
  <c r="T363" i="3"/>
  <c r="P363" i="3"/>
  <c r="O363" i="3"/>
  <c r="K363" i="3"/>
  <c r="J363" i="3"/>
  <c r="I363" i="3"/>
  <c r="AB363" i="3" s="1"/>
  <c r="H363" i="3"/>
  <c r="G363" i="3"/>
  <c r="F363" i="3"/>
  <c r="Z362" i="3"/>
  <c r="U362" i="3"/>
  <c r="P362" i="3"/>
  <c r="O362" i="3"/>
  <c r="K362" i="3"/>
  <c r="J362" i="3"/>
  <c r="I362" i="3"/>
  <c r="H362" i="3"/>
  <c r="G362" i="3"/>
  <c r="F362" i="3"/>
  <c r="Z361" i="3"/>
  <c r="U361" i="3"/>
  <c r="P361" i="3"/>
  <c r="O361" i="3"/>
  <c r="K361" i="3"/>
  <c r="J361" i="3"/>
  <c r="I361" i="3"/>
  <c r="H361" i="3"/>
  <c r="G361" i="3"/>
  <c r="F361" i="3"/>
  <c r="Z360" i="3"/>
  <c r="Y360" i="3"/>
  <c r="U360" i="3"/>
  <c r="T360" i="3"/>
  <c r="P360" i="3"/>
  <c r="O360" i="3"/>
  <c r="K360" i="3"/>
  <c r="J360" i="3"/>
  <c r="I360" i="3"/>
  <c r="AB360" i="3" s="1"/>
  <c r="H360" i="3"/>
  <c r="G360" i="3"/>
  <c r="F360" i="3"/>
  <c r="Z359" i="3"/>
  <c r="Y359" i="3"/>
  <c r="U359" i="3"/>
  <c r="T359" i="3"/>
  <c r="P359" i="3"/>
  <c r="O359" i="3"/>
  <c r="K359" i="3"/>
  <c r="J359" i="3"/>
  <c r="I359" i="3"/>
  <c r="H359" i="3"/>
  <c r="G359" i="3"/>
  <c r="F359" i="3"/>
  <c r="Z358" i="3"/>
  <c r="U358" i="3"/>
  <c r="P358" i="3"/>
  <c r="O358" i="3"/>
  <c r="K358" i="3"/>
  <c r="J358" i="3"/>
  <c r="I358" i="3"/>
  <c r="H358" i="3"/>
  <c r="G358" i="3"/>
  <c r="F358" i="3"/>
  <c r="Z357" i="3"/>
  <c r="U357" i="3"/>
  <c r="T357" i="3"/>
  <c r="P357" i="3"/>
  <c r="O357" i="3"/>
  <c r="K357" i="3"/>
  <c r="J357" i="3"/>
  <c r="I357" i="3"/>
  <c r="H357" i="3"/>
  <c r="G357" i="3"/>
  <c r="F357" i="3"/>
  <c r="Z356" i="3"/>
  <c r="Y356" i="3"/>
  <c r="U356" i="3"/>
  <c r="T356" i="3"/>
  <c r="P356" i="3"/>
  <c r="O356" i="3"/>
  <c r="K356" i="3"/>
  <c r="J356" i="3"/>
  <c r="I356" i="3"/>
  <c r="H356" i="3"/>
  <c r="G356" i="3"/>
  <c r="F356" i="3"/>
  <c r="Z355" i="3"/>
  <c r="Y355" i="3"/>
  <c r="U355" i="3"/>
  <c r="T355" i="3"/>
  <c r="P355" i="3"/>
  <c r="O355" i="3"/>
  <c r="K355" i="3"/>
  <c r="J355" i="3"/>
  <c r="I355" i="3"/>
  <c r="AB355" i="3" s="1"/>
  <c r="H355" i="3"/>
  <c r="G355" i="3"/>
  <c r="F355" i="3"/>
  <c r="Z354" i="3"/>
  <c r="Y354" i="3"/>
  <c r="U354" i="3"/>
  <c r="P354" i="3"/>
  <c r="O354" i="3"/>
  <c r="K354" i="3"/>
  <c r="J354" i="3"/>
  <c r="I354" i="3"/>
  <c r="H354" i="3"/>
  <c r="G354" i="3"/>
  <c r="F354" i="3"/>
  <c r="Z353" i="3"/>
  <c r="U353" i="3"/>
  <c r="T353" i="3"/>
  <c r="P353" i="3"/>
  <c r="O353" i="3"/>
  <c r="K353" i="3"/>
  <c r="J353" i="3"/>
  <c r="I353" i="3"/>
  <c r="H353" i="3"/>
  <c r="G353" i="3"/>
  <c r="F353" i="3"/>
  <c r="Z352" i="3"/>
  <c r="Y352" i="3"/>
  <c r="U352" i="3"/>
  <c r="T352" i="3"/>
  <c r="P352" i="3"/>
  <c r="O352" i="3"/>
  <c r="K352" i="3"/>
  <c r="J352" i="3"/>
  <c r="I352" i="3"/>
  <c r="AB352" i="3" s="1"/>
  <c r="H352" i="3"/>
  <c r="G352" i="3"/>
  <c r="F352" i="3"/>
  <c r="Z351" i="3"/>
  <c r="Y351" i="3"/>
  <c r="U351" i="3"/>
  <c r="T351" i="3"/>
  <c r="P351" i="3"/>
  <c r="O351" i="3"/>
  <c r="K351" i="3"/>
  <c r="J351" i="3"/>
  <c r="I351" i="3"/>
  <c r="H351" i="3"/>
  <c r="G351" i="3"/>
  <c r="F351" i="3"/>
  <c r="Z350" i="3"/>
  <c r="U350" i="3"/>
  <c r="P350" i="3"/>
  <c r="O350" i="3"/>
  <c r="K350" i="3"/>
  <c r="J350" i="3"/>
  <c r="I350" i="3"/>
  <c r="H350" i="3"/>
  <c r="G350" i="3"/>
  <c r="F350" i="3"/>
  <c r="Z349" i="3"/>
  <c r="Y349" i="3"/>
  <c r="U349" i="3"/>
  <c r="T349" i="3"/>
  <c r="P349" i="3"/>
  <c r="O349" i="3"/>
  <c r="K349" i="3"/>
  <c r="J349" i="3"/>
  <c r="I349" i="3"/>
  <c r="H349" i="3"/>
  <c r="G349" i="3"/>
  <c r="F349" i="3"/>
  <c r="Z348" i="3"/>
  <c r="Y348" i="3"/>
  <c r="U348" i="3"/>
  <c r="T348" i="3"/>
  <c r="P348" i="3"/>
  <c r="O348" i="3"/>
  <c r="K348" i="3"/>
  <c r="J348" i="3"/>
  <c r="I348" i="3"/>
  <c r="AB348" i="3" s="1"/>
  <c r="H348" i="3"/>
  <c r="G348" i="3"/>
  <c r="F348" i="3"/>
  <c r="Z347" i="3"/>
  <c r="Y347" i="3"/>
  <c r="U347" i="3"/>
  <c r="T347" i="3"/>
  <c r="P347" i="3"/>
  <c r="O347" i="3"/>
  <c r="K347" i="3"/>
  <c r="J347" i="3"/>
  <c r="I347" i="3"/>
  <c r="H347" i="3"/>
  <c r="G347" i="3"/>
  <c r="F347" i="3"/>
  <c r="Z346" i="3"/>
  <c r="U346" i="3"/>
  <c r="T346" i="3"/>
  <c r="P346" i="3"/>
  <c r="O346" i="3"/>
  <c r="K346" i="3"/>
  <c r="J346" i="3"/>
  <c r="I346" i="3"/>
  <c r="H346" i="3"/>
  <c r="G346" i="3"/>
  <c r="F346" i="3"/>
  <c r="M346" i="3" s="1"/>
  <c r="Z345" i="3"/>
  <c r="U345" i="3"/>
  <c r="T345" i="3"/>
  <c r="P345" i="3"/>
  <c r="O345" i="3"/>
  <c r="K345" i="3"/>
  <c r="J345" i="3"/>
  <c r="I345" i="3"/>
  <c r="AB345" i="3" s="1"/>
  <c r="H345" i="3"/>
  <c r="G345" i="3"/>
  <c r="F345" i="3"/>
  <c r="Z344" i="3"/>
  <c r="Y344" i="3"/>
  <c r="U344" i="3"/>
  <c r="T344" i="3"/>
  <c r="P344" i="3"/>
  <c r="O344" i="3"/>
  <c r="K344" i="3"/>
  <c r="J344" i="3"/>
  <c r="I344" i="3"/>
  <c r="AB344" i="3" s="1"/>
  <c r="H344" i="3"/>
  <c r="G344" i="3"/>
  <c r="F344" i="3"/>
  <c r="Z343" i="3"/>
  <c r="Y343" i="3"/>
  <c r="U343" i="3"/>
  <c r="T343" i="3"/>
  <c r="P343" i="3"/>
  <c r="O343" i="3"/>
  <c r="K343" i="3"/>
  <c r="J343" i="3"/>
  <c r="I343" i="3"/>
  <c r="H343" i="3"/>
  <c r="G343" i="3"/>
  <c r="F343" i="3"/>
  <c r="Z342" i="3"/>
  <c r="Y342" i="3"/>
  <c r="U342" i="3"/>
  <c r="T342" i="3"/>
  <c r="P342" i="3"/>
  <c r="O342" i="3"/>
  <c r="K342" i="3"/>
  <c r="J342" i="3"/>
  <c r="I342" i="3"/>
  <c r="H342" i="3"/>
  <c r="G342" i="3"/>
  <c r="F342" i="3"/>
  <c r="Z341" i="3"/>
  <c r="Y341" i="3"/>
  <c r="U341" i="3"/>
  <c r="T341" i="3"/>
  <c r="P341" i="3"/>
  <c r="O341" i="3"/>
  <c r="K341" i="3"/>
  <c r="J341" i="3"/>
  <c r="I341" i="3"/>
  <c r="H341" i="3"/>
  <c r="G341" i="3"/>
  <c r="F341" i="3"/>
  <c r="Z340" i="3"/>
  <c r="Y340" i="3"/>
  <c r="U340" i="3"/>
  <c r="T340" i="3"/>
  <c r="P340" i="3"/>
  <c r="O340" i="3"/>
  <c r="K340" i="3"/>
  <c r="J340" i="3"/>
  <c r="I340" i="3"/>
  <c r="AB340" i="3" s="1"/>
  <c r="H340" i="3"/>
  <c r="G340" i="3"/>
  <c r="F340" i="3"/>
  <c r="Z339" i="3"/>
  <c r="Y339" i="3"/>
  <c r="U339" i="3"/>
  <c r="T339" i="3"/>
  <c r="P339" i="3"/>
  <c r="O339" i="3"/>
  <c r="K339" i="3"/>
  <c r="J339" i="3"/>
  <c r="I339" i="3"/>
  <c r="H339" i="3"/>
  <c r="G339" i="3"/>
  <c r="F339" i="3"/>
  <c r="Z338" i="3"/>
  <c r="Y338" i="3"/>
  <c r="U338" i="3"/>
  <c r="T338" i="3"/>
  <c r="P338" i="3"/>
  <c r="O338" i="3"/>
  <c r="K338" i="3"/>
  <c r="J338" i="3"/>
  <c r="I338" i="3"/>
  <c r="H338" i="3"/>
  <c r="G338" i="3"/>
  <c r="F338" i="3"/>
  <c r="Z337" i="3"/>
  <c r="Y337" i="3"/>
  <c r="U337" i="3"/>
  <c r="T337" i="3"/>
  <c r="P337" i="3"/>
  <c r="O337" i="3"/>
  <c r="K337" i="3"/>
  <c r="J337" i="3"/>
  <c r="I337" i="3"/>
  <c r="AB337" i="3" s="1"/>
  <c r="H337" i="3"/>
  <c r="G337" i="3"/>
  <c r="F337" i="3"/>
  <c r="Z336" i="3"/>
  <c r="Y336" i="3"/>
  <c r="U336" i="3"/>
  <c r="T336" i="3"/>
  <c r="P336" i="3"/>
  <c r="O336" i="3"/>
  <c r="K336" i="3"/>
  <c r="J336" i="3"/>
  <c r="I336" i="3"/>
  <c r="AB336" i="3" s="1"/>
  <c r="H336" i="3"/>
  <c r="G336" i="3"/>
  <c r="F336" i="3"/>
  <c r="Z335" i="3"/>
  <c r="Y335" i="3"/>
  <c r="U335" i="3"/>
  <c r="T335" i="3"/>
  <c r="P335" i="3"/>
  <c r="O335" i="3"/>
  <c r="K335" i="3"/>
  <c r="J335" i="3"/>
  <c r="I335" i="3"/>
  <c r="H335" i="3"/>
  <c r="G335" i="3"/>
  <c r="F335" i="3"/>
  <c r="Z334" i="3"/>
  <c r="U334" i="3"/>
  <c r="T334" i="3"/>
  <c r="P334" i="3"/>
  <c r="O334" i="3"/>
  <c r="K334" i="3"/>
  <c r="J334" i="3"/>
  <c r="I334" i="3"/>
  <c r="H334" i="3"/>
  <c r="G334" i="3"/>
  <c r="F334" i="3"/>
  <c r="Z333" i="3"/>
  <c r="Y333" i="3"/>
  <c r="U333" i="3"/>
  <c r="T333" i="3"/>
  <c r="P333" i="3"/>
  <c r="O333" i="3"/>
  <c r="K333" i="3"/>
  <c r="J333" i="3"/>
  <c r="I333" i="3"/>
  <c r="H333" i="3"/>
  <c r="W333" i="3" s="1"/>
  <c r="G333" i="3"/>
  <c r="F333" i="3"/>
  <c r="Z332" i="3"/>
  <c r="Y332" i="3"/>
  <c r="U332" i="3"/>
  <c r="T332" i="3"/>
  <c r="P332" i="3"/>
  <c r="O332" i="3"/>
  <c r="K332" i="3"/>
  <c r="J332" i="3"/>
  <c r="I332" i="3"/>
  <c r="AB332" i="3" s="1"/>
  <c r="H332" i="3"/>
  <c r="G332" i="3"/>
  <c r="F332" i="3"/>
  <c r="Z331" i="3"/>
  <c r="Y331" i="3"/>
  <c r="U331" i="3"/>
  <c r="T331" i="3"/>
  <c r="P331" i="3"/>
  <c r="O331" i="3"/>
  <c r="K331" i="3"/>
  <c r="J331" i="3"/>
  <c r="I331" i="3"/>
  <c r="H331" i="3"/>
  <c r="G331" i="3"/>
  <c r="F331" i="3"/>
  <c r="Z330" i="3"/>
  <c r="U330" i="3"/>
  <c r="T330" i="3"/>
  <c r="P330" i="3"/>
  <c r="O330" i="3"/>
  <c r="K330" i="3"/>
  <c r="J330" i="3"/>
  <c r="I330" i="3"/>
  <c r="H330" i="3"/>
  <c r="G330" i="3"/>
  <c r="F330" i="3"/>
  <c r="Z329" i="3"/>
  <c r="Y329" i="3"/>
  <c r="U329" i="3"/>
  <c r="T329" i="3"/>
  <c r="P329" i="3"/>
  <c r="O329" i="3"/>
  <c r="K329" i="3"/>
  <c r="J329" i="3"/>
  <c r="I329" i="3"/>
  <c r="H329" i="3"/>
  <c r="G329" i="3"/>
  <c r="F329" i="3"/>
  <c r="Z328" i="3"/>
  <c r="Y328" i="3"/>
  <c r="U328" i="3"/>
  <c r="T328" i="3"/>
  <c r="P328" i="3"/>
  <c r="O328" i="3"/>
  <c r="K328" i="3"/>
  <c r="J328" i="3"/>
  <c r="I328" i="3"/>
  <c r="H328" i="3"/>
  <c r="G328" i="3"/>
  <c r="F328" i="3"/>
  <c r="Z327" i="3"/>
  <c r="Y327" i="3"/>
  <c r="U327" i="3"/>
  <c r="T327" i="3"/>
  <c r="P327" i="3"/>
  <c r="O327" i="3"/>
  <c r="K327" i="3"/>
  <c r="J327" i="3"/>
  <c r="I327" i="3"/>
  <c r="AB327" i="3" s="1"/>
  <c r="H327" i="3"/>
  <c r="G327" i="3"/>
  <c r="F327" i="3"/>
  <c r="Z326" i="3"/>
  <c r="Y326" i="3"/>
  <c r="U326" i="3"/>
  <c r="T326" i="3"/>
  <c r="P326" i="3"/>
  <c r="O326" i="3"/>
  <c r="K326" i="3"/>
  <c r="J326" i="3"/>
  <c r="I326" i="3"/>
  <c r="H326" i="3"/>
  <c r="G326" i="3"/>
  <c r="F326" i="3"/>
  <c r="Z325" i="3"/>
  <c r="Y325" i="3"/>
  <c r="U325" i="3"/>
  <c r="T325" i="3"/>
  <c r="P325" i="3"/>
  <c r="O325" i="3"/>
  <c r="K325" i="3"/>
  <c r="J325" i="3"/>
  <c r="I325" i="3"/>
  <c r="H325" i="3"/>
  <c r="G325" i="3"/>
  <c r="F325" i="3"/>
  <c r="Z324" i="3"/>
  <c r="Y324" i="3"/>
  <c r="U324" i="3"/>
  <c r="T324" i="3"/>
  <c r="P324" i="3"/>
  <c r="O324" i="3"/>
  <c r="K324" i="3"/>
  <c r="J324" i="3"/>
  <c r="I324" i="3"/>
  <c r="AB324" i="3" s="1"/>
  <c r="H324" i="3"/>
  <c r="G324" i="3"/>
  <c r="F324" i="3"/>
  <c r="Z323" i="3"/>
  <c r="Y323" i="3"/>
  <c r="U323" i="3"/>
  <c r="T323" i="3"/>
  <c r="P323" i="3"/>
  <c r="O323" i="3"/>
  <c r="K323" i="3"/>
  <c r="J323" i="3"/>
  <c r="I323" i="3"/>
  <c r="AB323" i="3" s="1"/>
  <c r="H323" i="3"/>
  <c r="G323" i="3"/>
  <c r="F323" i="3"/>
  <c r="Z322" i="3"/>
  <c r="Y322" i="3"/>
  <c r="U322" i="3"/>
  <c r="T322" i="3"/>
  <c r="P322" i="3"/>
  <c r="O322" i="3"/>
  <c r="K322" i="3"/>
  <c r="J322" i="3"/>
  <c r="I322" i="3"/>
  <c r="AB322" i="3" s="1"/>
  <c r="H322" i="3"/>
  <c r="G322" i="3"/>
  <c r="F322" i="3"/>
  <c r="Z321" i="3"/>
  <c r="Y321" i="3"/>
  <c r="U321" i="3"/>
  <c r="T321" i="3"/>
  <c r="P321" i="3"/>
  <c r="O321" i="3"/>
  <c r="K321" i="3"/>
  <c r="J321" i="3"/>
  <c r="I321" i="3"/>
  <c r="H321" i="3"/>
  <c r="G321" i="3"/>
  <c r="F321" i="3"/>
  <c r="Z320" i="3"/>
  <c r="Y320" i="3"/>
  <c r="U320" i="3"/>
  <c r="T320" i="3"/>
  <c r="P320" i="3"/>
  <c r="O320" i="3"/>
  <c r="K320" i="3"/>
  <c r="J320" i="3"/>
  <c r="I320" i="3"/>
  <c r="H320" i="3"/>
  <c r="G320" i="3"/>
  <c r="F320" i="3"/>
  <c r="Z319" i="3"/>
  <c r="Y319" i="3"/>
  <c r="U319" i="3"/>
  <c r="T319" i="3"/>
  <c r="P319" i="3"/>
  <c r="O319" i="3"/>
  <c r="K319" i="3"/>
  <c r="J319" i="3"/>
  <c r="I319" i="3"/>
  <c r="AB319" i="3" s="1"/>
  <c r="H319" i="3"/>
  <c r="G319" i="3"/>
  <c r="F319" i="3"/>
  <c r="Z318" i="3"/>
  <c r="Y318" i="3"/>
  <c r="U318" i="3"/>
  <c r="T318" i="3"/>
  <c r="P318" i="3"/>
  <c r="O318" i="3"/>
  <c r="K318" i="3"/>
  <c r="J318" i="3"/>
  <c r="I318" i="3"/>
  <c r="H318" i="3"/>
  <c r="G318" i="3"/>
  <c r="F318" i="3"/>
  <c r="Z317" i="3"/>
  <c r="Y317" i="3"/>
  <c r="U317" i="3"/>
  <c r="T317" i="3"/>
  <c r="P317" i="3"/>
  <c r="O317" i="3"/>
  <c r="K317" i="3"/>
  <c r="J317" i="3"/>
  <c r="I317" i="3"/>
  <c r="H317" i="3"/>
  <c r="G317" i="3"/>
  <c r="F317" i="3"/>
  <c r="Z316" i="3"/>
  <c r="Y316" i="3"/>
  <c r="U316" i="3"/>
  <c r="T316" i="3"/>
  <c r="P316" i="3"/>
  <c r="O316" i="3"/>
  <c r="K316" i="3"/>
  <c r="J316" i="3"/>
  <c r="I316" i="3"/>
  <c r="AB316" i="3" s="1"/>
  <c r="H316" i="3"/>
  <c r="G316" i="3"/>
  <c r="F316" i="3"/>
  <c r="Z315" i="3"/>
  <c r="Y315" i="3"/>
  <c r="U315" i="3"/>
  <c r="T315" i="3"/>
  <c r="P315" i="3"/>
  <c r="O315" i="3"/>
  <c r="K315" i="3"/>
  <c r="J315" i="3"/>
  <c r="I315" i="3"/>
  <c r="H315" i="3"/>
  <c r="G315" i="3"/>
  <c r="F315" i="3"/>
  <c r="Z314" i="3"/>
  <c r="Y314" i="3"/>
  <c r="U314" i="3"/>
  <c r="T314" i="3"/>
  <c r="P314" i="3"/>
  <c r="O314" i="3"/>
  <c r="K314" i="3"/>
  <c r="J314" i="3"/>
  <c r="I314" i="3"/>
  <c r="AB314" i="3" s="1"/>
  <c r="H314" i="3"/>
  <c r="G314" i="3"/>
  <c r="F314" i="3"/>
  <c r="Z313" i="3"/>
  <c r="Y313" i="3"/>
  <c r="P313" i="3"/>
  <c r="I313" i="3"/>
  <c r="H313" i="3"/>
  <c r="W313" i="3" s="1"/>
  <c r="G313" i="3"/>
  <c r="F313" i="3"/>
  <c r="Z312" i="3"/>
  <c r="Y312" i="3"/>
  <c r="U312" i="3"/>
  <c r="T312" i="3"/>
  <c r="P312" i="3"/>
  <c r="O312" i="3"/>
  <c r="K312" i="3"/>
  <c r="J312" i="3"/>
  <c r="I312" i="3"/>
  <c r="H312" i="3"/>
  <c r="G312" i="3"/>
  <c r="F312" i="3"/>
  <c r="Z311" i="3"/>
  <c r="Y311" i="3"/>
  <c r="U311" i="3"/>
  <c r="T311" i="3"/>
  <c r="P311" i="3"/>
  <c r="O311" i="3"/>
  <c r="K311" i="3"/>
  <c r="J311" i="3"/>
  <c r="I311" i="3"/>
  <c r="H311" i="3"/>
  <c r="G311" i="3"/>
  <c r="F311" i="3"/>
  <c r="Z310" i="3"/>
  <c r="Y310" i="3"/>
  <c r="U310" i="3"/>
  <c r="T310" i="3"/>
  <c r="P310" i="3"/>
  <c r="O310" i="3"/>
  <c r="K310" i="3"/>
  <c r="J310" i="3"/>
  <c r="I310" i="3"/>
  <c r="H310" i="3"/>
  <c r="G310" i="3"/>
  <c r="F310" i="3"/>
  <c r="Z309" i="3"/>
  <c r="Y309" i="3"/>
  <c r="U309" i="3"/>
  <c r="T309" i="3"/>
  <c r="P309" i="3"/>
  <c r="O309" i="3"/>
  <c r="K309" i="3"/>
  <c r="J309" i="3"/>
  <c r="I309" i="3"/>
  <c r="H309" i="3"/>
  <c r="G309" i="3"/>
  <c r="F309" i="3"/>
  <c r="Z308" i="3"/>
  <c r="Y308" i="3"/>
  <c r="U308" i="3"/>
  <c r="T308" i="3"/>
  <c r="P308" i="3"/>
  <c r="O308" i="3"/>
  <c r="K308" i="3"/>
  <c r="J308" i="3"/>
  <c r="I308" i="3"/>
  <c r="AB308" i="3" s="1"/>
  <c r="H308" i="3"/>
  <c r="G308" i="3"/>
  <c r="F308" i="3"/>
  <c r="Z307" i="3"/>
  <c r="Y307" i="3"/>
  <c r="U307" i="3"/>
  <c r="T307" i="3"/>
  <c r="P307" i="3"/>
  <c r="O307" i="3"/>
  <c r="K307" i="3"/>
  <c r="J307" i="3"/>
  <c r="I307" i="3"/>
  <c r="H307" i="3"/>
  <c r="G307" i="3"/>
  <c r="F307" i="3"/>
  <c r="Z306" i="3"/>
  <c r="Y306" i="3"/>
  <c r="U306" i="3"/>
  <c r="T306" i="3"/>
  <c r="P306" i="3"/>
  <c r="O306" i="3"/>
  <c r="K306" i="3"/>
  <c r="J306" i="3"/>
  <c r="I306" i="3"/>
  <c r="AB306" i="3" s="1"/>
  <c r="H306" i="3"/>
  <c r="G306" i="3"/>
  <c r="F306" i="3"/>
  <c r="Z305" i="3"/>
  <c r="Y305" i="3"/>
  <c r="U305" i="3"/>
  <c r="T305" i="3"/>
  <c r="P305" i="3"/>
  <c r="O305" i="3"/>
  <c r="K305" i="3"/>
  <c r="J305" i="3"/>
  <c r="I305" i="3"/>
  <c r="AB305" i="3" s="1"/>
  <c r="H305" i="3"/>
  <c r="G305" i="3"/>
  <c r="F305" i="3"/>
  <c r="Z304" i="3"/>
  <c r="Y304" i="3"/>
  <c r="U304" i="3"/>
  <c r="T304" i="3"/>
  <c r="P304" i="3"/>
  <c r="O304" i="3"/>
  <c r="K304" i="3"/>
  <c r="J304" i="3"/>
  <c r="I304" i="3"/>
  <c r="AB304" i="3" s="1"/>
  <c r="H304" i="3"/>
  <c r="G304" i="3"/>
  <c r="F304" i="3"/>
  <c r="Z303" i="3"/>
  <c r="Y303" i="3"/>
  <c r="U303" i="3"/>
  <c r="T303" i="3"/>
  <c r="P303" i="3"/>
  <c r="O303" i="3"/>
  <c r="K303" i="3"/>
  <c r="J303" i="3"/>
  <c r="I303" i="3"/>
  <c r="H303" i="3"/>
  <c r="G303" i="3"/>
  <c r="F303" i="3"/>
  <c r="Z302" i="3"/>
  <c r="Y302" i="3"/>
  <c r="U302" i="3"/>
  <c r="T302" i="3"/>
  <c r="P302" i="3"/>
  <c r="O302" i="3"/>
  <c r="K302" i="3"/>
  <c r="J302" i="3"/>
  <c r="I302" i="3"/>
  <c r="AB302" i="3" s="1"/>
  <c r="H302" i="3"/>
  <c r="G302" i="3"/>
  <c r="F302" i="3"/>
  <c r="Z301" i="3"/>
  <c r="Y301" i="3"/>
  <c r="AA301" i="3" s="1"/>
  <c r="U301" i="3"/>
  <c r="T301" i="3"/>
  <c r="P301" i="3"/>
  <c r="O301" i="3"/>
  <c r="K301" i="3"/>
  <c r="J301" i="3"/>
  <c r="L301" i="3" s="1"/>
  <c r="I301" i="3"/>
  <c r="H301" i="3"/>
  <c r="G301" i="3"/>
  <c r="F301" i="3"/>
  <c r="M301" i="3" s="1"/>
  <c r="Z300" i="3"/>
  <c r="Y300" i="3"/>
  <c r="U300" i="3"/>
  <c r="T300" i="3"/>
  <c r="P300" i="3"/>
  <c r="O300" i="3"/>
  <c r="K300" i="3"/>
  <c r="J300" i="3"/>
  <c r="I300" i="3"/>
  <c r="AB300" i="3" s="1"/>
  <c r="H300" i="3"/>
  <c r="G300" i="3"/>
  <c r="F300" i="3"/>
  <c r="M300" i="3" s="1"/>
  <c r="Z299" i="3"/>
  <c r="Y299" i="3"/>
  <c r="U299" i="3"/>
  <c r="T299" i="3"/>
  <c r="P299" i="3"/>
  <c r="O299" i="3"/>
  <c r="K299" i="3"/>
  <c r="J299" i="3"/>
  <c r="I299" i="3"/>
  <c r="H299" i="3"/>
  <c r="G299" i="3"/>
  <c r="F299" i="3"/>
  <c r="M299" i="3" s="1"/>
  <c r="Z298" i="3"/>
  <c r="Y298" i="3"/>
  <c r="U298" i="3"/>
  <c r="T298" i="3"/>
  <c r="P298" i="3"/>
  <c r="O298" i="3"/>
  <c r="K298" i="3"/>
  <c r="J298" i="3"/>
  <c r="I298" i="3"/>
  <c r="AB298" i="3" s="1"/>
  <c r="H298" i="3"/>
  <c r="G298" i="3"/>
  <c r="R298" i="3" s="1"/>
  <c r="F298" i="3"/>
  <c r="M298" i="3" s="1"/>
  <c r="Z297" i="3"/>
  <c r="Y297" i="3"/>
  <c r="AA297" i="3" s="1"/>
  <c r="U297" i="3"/>
  <c r="T297" i="3"/>
  <c r="P297" i="3"/>
  <c r="O297" i="3"/>
  <c r="K297" i="3"/>
  <c r="J297" i="3"/>
  <c r="I297" i="3"/>
  <c r="H297" i="3"/>
  <c r="G297" i="3"/>
  <c r="R297" i="3" s="1"/>
  <c r="F297" i="3"/>
  <c r="Z296" i="3"/>
  <c r="Y296" i="3"/>
  <c r="U296" i="3"/>
  <c r="T296" i="3"/>
  <c r="P296" i="3"/>
  <c r="O296" i="3"/>
  <c r="K296" i="3"/>
  <c r="J296" i="3"/>
  <c r="I296" i="3"/>
  <c r="AB296" i="3" s="1"/>
  <c r="H296" i="3"/>
  <c r="G296" i="3"/>
  <c r="R296" i="3" s="1"/>
  <c r="F296" i="3"/>
  <c r="Z295" i="3"/>
  <c r="Y295" i="3"/>
  <c r="U295" i="3"/>
  <c r="T295" i="3"/>
  <c r="P295" i="3"/>
  <c r="O295" i="3"/>
  <c r="K295" i="3"/>
  <c r="J295" i="3"/>
  <c r="I295" i="3"/>
  <c r="H295" i="3"/>
  <c r="G295" i="3"/>
  <c r="F295" i="3"/>
  <c r="Z294" i="3"/>
  <c r="Y294" i="3"/>
  <c r="U294" i="3"/>
  <c r="T294" i="3"/>
  <c r="P294" i="3"/>
  <c r="O294" i="3"/>
  <c r="K294" i="3"/>
  <c r="J294" i="3"/>
  <c r="I294" i="3"/>
  <c r="AB294" i="3" s="1"/>
  <c r="H294" i="3"/>
  <c r="G294" i="3"/>
  <c r="F294" i="3"/>
  <c r="M294" i="3" s="1"/>
  <c r="Z293" i="3"/>
  <c r="Y293" i="3"/>
  <c r="U293" i="3"/>
  <c r="T293" i="3"/>
  <c r="P293" i="3"/>
  <c r="O293" i="3"/>
  <c r="K293" i="3"/>
  <c r="J293" i="3"/>
  <c r="I293" i="3"/>
  <c r="AB293" i="3" s="1"/>
  <c r="H293" i="3"/>
  <c r="G293" i="3"/>
  <c r="F293" i="3"/>
  <c r="M293" i="3" s="1"/>
  <c r="Z292" i="3"/>
  <c r="Y292" i="3"/>
  <c r="U292" i="3"/>
  <c r="T292" i="3"/>
  <c r="P292" i="3"/>
  <c r="O292" i="3"/>
  <c r="K292" i="3"/>
  <c r="J292" i="3"/>
  <c r="I292" i="3"/>
  <c r="AB292" i="3" s="1"/>
  <c r="H292" i="3"/>
  <c r="G292" i="3"/>
  <c r="F292" i="3"/>
  <c r="M292" i="3" s="1"/>
  <c r="Z291" i="3"/>
  <c r="Y291" i="3"/>
  <c r="U291" i="3"/>
  <c r="T291" i="3"/>
  <c r="P291" i="3"/>
  <c r="O291" i="3"/>
  <c r="K291" i="3"/>
  <c r="J291" i="3"/>
  <c r="I291" i="3"/>
  <c r="H291" i="3"/>
  <c r="G291" i="3"/>
  <c r="F291" i="3"/>
  <c r="M291" i="3" s="1"/>
  <c r="Z290" i="3"/>
  <c r="Y290" i="3"/>
  <c r="U290" i="3"/>
  <c r="T290" i="3"/>
  <c r="P290" i="3"/>
  <c r="O290" i="3"/>
  <c r="K290" i="3"/>
  <c r="J290" i="3"/>
  <c r="I290" i="3"/>
  <c r="AB290" i="3" s="1"/>
  <c r="H290" i="3"/>
  <c r="G290" i="3"/>
  <c r="R290" i="3" s="1"/>
  <c r="F290" i="3"/>
  <c r="M290" i="3" s="1"/>
  <c r="Z289" i="3"/>
  <c r="Y289" i="3"/>
  <c r="AA289" i="3" s="1"/>
  <c r="U289" i="3"/>
  <c r="T289" i="3"/>
  <c r="P289" i="3"/>
  <c r="O289" i="3"/>
  <c r="K289" i="3"/>
  <c r="J289" i="3"/>
  <c r="I289" i="3"/>
  <c r="H289" i="3"/>
  <c r="G289" i="3"/>
  <c r="R289" i="3" s="1"/>
  <c r="F289" i="3"/>
  <c r="Z288" i="3"/>
  <c r="Y288" i="3"/>
  <c r="U288" i="3"/>
  <c r="T288" i="3"/>
  <c r="P288" i="3"/>
  <c r="O288" i="3"/>
  <c r="K288" i="3"/>
  <c r="J288" i="3"/>
  <c r="I288" i="3"/>
  <c r="AB288" i="3" s="1"/>
  <c r="H288" i="3"/>
  <c r="G288" i="3"/>
  <c r="R288" i="3" s="1"/>
  <c r="F288" i="3"/>
  <c r="Z287" i="3"/>
  <c r="Y287" i="3"/>
  <c r="U287" i="3"/>
  <c r="T287" i="3"/>
  <c r="P287" i="3"/>
  <c r="O287" i="3"/>
  <c r="K287" i="3"/>
  <c r="J287" i="3"/>
  <c r="I287" i="3"/>
  <c r="H287" i="3"/>
  <c r="G287" i="3"/>
  <c r="F287" i="3"/>
  <c r="Z286" i="3"/>
  <c r="Y286" i="3"/>
  <c r="U286" i="3"/>
  <c r="T286" i="3"/>
  <c r="P286" i="3"/>
  <c r="O286" i="3"/>
  <c r="K286" i="3"/>
  <c r="J286" i="3"/>
  <c r="I286" i="3"/>
  <c r="AB286" i="3" s="1"/>
  <c r="H286" i="3"/>
  <c r="G286" i="3"/>
  <c r="F286" i="3"/>
  <c r="M286" i="3" s="1"/>
  <c r="Z285" i="3"/>
  <c r="Y285" i="3"/>
  <c r="U285" i="3"/>
  <c r="T285" i="3"/>
  <c r="P285" i="3"/>
  <c r="O285" i="3"/>
  <c r="K285" i="3"/>
  <c r="J285" i="3"/>
  <c r="I285" i="3"/>
  <c r="AB285" i="3" s="1"/>
  <c r="H285" i="3"/>
  <c r="G285" i="3"/>
  <c r="F285" i="3"/>
  <c r="M285" i="3" s="1"/>
  <c r="Z284" i="3"/>
  <c r="Y284" i="3"/>
  <c r="U284" i="3"/>
  <c r="T284" i="3"/>
  <c r="P284" i="3"/>
  <c r="O284" i="3"/>
  <c r="K284" i="3"/>
  <c r="J284" i="3"/>
  <c r="I284" i="3"/>
  <c r="H284" i="3"/>
  <c r="G284" i="3"/>
  <c r="F284" i="3"/>
  <c r="M284" i="3" s="1"/>
  <c r="Z283" i="3"/>
  <c r="Y283" i="3"/>
  <c r="U283" i="3"/>
  <c r="T283" i="3"/>
  <c r="P283" i="3"/>
  <c r="O283" i="3"/>
  <c r="K283" i="3"/>
  <c r="J283" i="3"/>
  <c r="I283" i="3"/>
  <c r="AB283" i="3" s="1"/>
  <c r="H283" i="3"/>
  <c r="G283" i="3"/>
  <c r="R283" i="3" s="1"/>
  <c r="F283" i="3"/>
  <c r="M283" i="3" s="1"/>
  <c r="Z282" i="3"/>
  <c r="Y282" i="3"/>
  <c r="U282" i="3"/>
  <c r="T282" i="3"/>
  <c r="P282" i="3"/>
  <c r="O282" i="3"/>
  <c r="Q282" i="3" s="1"/>
  <c r="K282" i="3"/>
  <c r="J282" i="3"/>
  <c r="I282" i="3"/>
  <c r="AB282" i="3" s="1"/>
  <c r="H282" i="3"/>
  <c r="G282" i="3"/>
  <c r="R282" i="3" s="1"/>
  <c r="F282" i="3"/>
  <c r="Z281" i="3"/>
  <c r="Y281" i="3"/>
  <c r="U281" i="3"/>
  <c r="T281" i="3"/>
  <c r="P281" i="3"/>
  <c r="O281" i="3"/>
  <c r="K281" i="3"/>
  <c r="J281" i="3"/>
  <c r="I281" i="3"/>
  <c r="H281" i="3"/>
  <c r="G281" i="3"/>
  <c r="F281" i="3"/>
  <c r="Z280" i="3"/>
  <c r="Y280" i="3"/>
  <c r="U280" i="3"/>
  <c r="T280" i="3"/>
  <c r="P280" i="3"/>
  <c r="O280" i="3"/>
  <c r="K280" i="3"/>
  <c r="J280" i="3"/>
  <c r="I280" i="3"/>
  <c r="H280" i="3"/>
  <c r="G280" i="3"/>
  <c r="F280" i="3"/>
  <c r="Z279" i="3"/>
  <c r="Y279" i="3"/>
  <c r="U279" i="3"/>
  <c r="T279" i="3"/>
  <c r="P279" i="3"/>
  <c r="O279" i="3"/>
  <c r="K279" i="3"/>
  <c r="J279" i="3"/>
  <c r="I279" i="3"/>
  <c r="H279" i="3"/>
  <c r="G279" i="3"/>
  <c r="F279" i="3"/>
  <c r="Z278" i="3"/>
  <c r="Y278" i="3"/>
  <c r="U278" i="3"/>
  <c r="T278" i="3"/>
  <c r="P278" i="3"/>
  <c r="O278" i="3"/>
  <c r="K278" i="3"/>
  <c r="J278" i="3"/>
  <c r="I278" i="3"/>
  <c r="AB278" i="3" s="1"/>
  <c r="H278" i="3"/>
  <c r="G278" i="3"/>
  <c r="F278" i="3"/>
  <c r="M278" i="3" s="1"/>
  <c r="Z277" i="3"/>
  <c r="Y277" i="3"/>
  <c r="U277" i="3"/>
  <c r="T277" i="3"/>
  <c r="P277" i="3"/>
  <c r="O277" i="3"/>
  <c r="K277" i="3"/>
  <c r="J277" i="3"/>
  <c r="I277" i="3"/>
  <c r="AB277" i="3" s="1"/>
  <c r="H277" i="3"/>
  <c r="G277" i="3"/>
  <c r="F277" i="3"/>
  <c r="M277" i="3" s="1"/>
  <c r="Z276" i="3"/>
  <c r="Y276" i="3"/>
  <c r="U276" i="3"/>
  <c r="T276" i="3"/>
  <c r="P276" i="3"/>
  <c r="O276" i="3"/>
  <c r="K276" i="3"/>
  <c r="J276" i="3"/>
  <c r="I276" i="3"/>
  <c r="H276" i="3"/>
  <c r="G276" i="3"/>
  <c r="F276" i="3"/>
  <c r="M276" i="3" s="1"/>
  <c r="Z275" i="3"/>
  <c r="Y275" i="3"/>
  <c r="U275" i="3"/>
  <c r="T275" i="3"/>
  <c r="P275" i="3"/>
  <c r="O275" i="3"/>
  <c r="K275" i="3"/>
  <c r="J275" i="3"/>
  <c r="I275" i="3"/>
  <c r="AB275" i="3" s="1"/>
  <c r="H275" i="3"/>
  <c r="G275" i="3"/>
  <c r="F275" i="3"/>
  <c r="Z274" i="3"/>
  <c r="U274" i="3"/>
  <c r="T274" i="3"/>
  <c r="P274" i="3"/>
  <c r="O274" i="3"/>
  <c r="K274" i="3"/>
  <c r="J274" i="3"/>
  <c r="I274" i="3"/>
  <c r="H274" i="3"/>
  <c r="G274" i="3"/>
  <c r="F274" i="3"/>
  <c r="Z273" i="3"/>
  <c r="Y273" i="3"/>
  <c r="U273" i="3"/>
  <c r="P273" i="3"/>
  <c r="O273" i="3"/>
  <c r="K273" i="3"/>
  <c r="J273" i="3"/>
  <c r="I273" i="3"/>
  <c r="H273" i="3"/>
  <c r="G273" i="3"/>
  <c r="F273" i="3"/>
  <c r="Z272" i="3"/>
  <c r="Y272" i="3"/>
  <c r="U272" i="3"/>
  <c r="T272" i="3"/>
  <c r="P272" i="3"/>
  <c r="O272" i="3"/>
  <c r="K272" i="3"/>
  <c r="J272" i="3"/>
  <c r="I272" i="3"/>
  <c r="H272" i="3"/>
  <c r="G272" i="3"/>
  <c r="F272" i="3"/>
  <c r="Z271" i="3"/>
  <c r="Y271" i="3"/>
  <c r="U271" i="3"/>
  <c r="T271" i="3"/>
  <c r="P271" i="3"/>
  <c r="O271" i="3"/>
  <c r="K271" i="3"/>
  <c r="J271" i="3"/>
  <c r="I271" i="3"/>
  <c r="H271" i="3"/>
  <c r="G271" i="3"/>
  <c r="F271" i="3"/>
  <c r="Z270" i="3"/>
  <c r="U270" i="3"/>
  <c r="T270" i="3"/>
  <c r="P270" i="3"/>
  <c r="O270" i="3"/>
  <c r="K270" i="3"/>
  <c r="J270" i="3"/>
  <c r="I270" i="3"/>
  <c r="H270" i="3"/>
  <c r="G270" i="3"/>
  <c r="F270" i="3"/>
  <c r="Z269" i="3"/>
  <c r="U269" i="3"/>
  <c r="T269" i="3"/>
  <c r="P269" i="3"/>
  <c r="O269" i="3"/>
  <c r="K269" i="3"/>
  <c r="J269" i="3"/>
  <c r="I269" i="3"/>
  <c r="H269" i="3"/>
  <c r="G269" i="3"/>
  <c r="R269" i="3" s="1"/>
  <c r="F269" i="3"/>
  <c r="Z268" i="3"/>
  <c r="Y268" i="3"/>
  <c r="U268" i="3"/>
  <c r="P268" i="3"/>
  <c r="O268" i="3"/>
  <c r="K268" i="3"/>
  <c r="J268" i="3"/>
  <c r="I268" i="3"/>
  <c r="H268" i="3"/>
  <c r="G268" i="3"/>
  <c r="F268" i="3"/>
  <c r="Z267" i="3"/>
  <c r="Y267" i="3"/>
  <c r="U267" i="3"/>
  <c r="T267" i="3"/>
  <c r="P267" i="3"/>
  <c r="O267" i="3"/>
  <c r="K267" i="3"/>
  <c r="J267" i="3"/>
  <c r="I267" i="3"/>
  <c r="AB267" i="3" s="1"/>
  <c r="H267" i="3"/>
  <c r="G267" i="3"/>
  <c r="F267" i="3"/>
  <c r="Z266" i="3"/>
  <c r="U266" i="3"/>
  <c r="T266" i="3"/>
  <c r="P266" i="3"/>
  <c r="O266" i="3"/>
  <c r="K266" i="3"/>
  <c r="J266" i="3"/>
  <c r="I266" i="3"/>
  <c r="H266" i="3"/>
  <c r="G266" i="3"/>
  <c r="F266" i="3"/>
  <c r="Z265" i="3"/>
  <c r="Y265" i="3"/>
  <c r="U265" i="3"/>
  <c r="P265" i="3"/>
  <c r="O265" i="3"/>
  <c r="K265" i="3"/>
  <c r="J265" i="3"/>
  <c r="I265" i="3"/>
  <c r="H265" i="3"/>
  <c r="G265" i="3"/>
  <c r="F265" i="3"/>
  <c r="Z264" i="3"/>
  <c r="Y264" i="3"/>
  <c r="U264" i="3"/>
  <c r="P264" i="3"/>
  <c r="O264" i="3"/>
  <c r="K264" i="3"/>
  <c r="J264" i="3"/>
  <c r="I264" i="3"/>
  <c r="H264" i="3"/>
  <c r="G264" i="3"/>
  <c r="R264" i="3" s="1"/>
  <c r="F264" i="3"/>
  <c r="Z263" i="3"/>
  <c r="Y263" i="3"/>
  <c r="U263" i="3"/>
  <c r="T263" i="3"/>
  <c r="P263" i="3"/>
  <c r="O263" i="3"/>
  <c r="K263" i="3"/>
  <c r="J263" i="3"/>
  <c r="I263" i="3"/>
  <c r="H263" i="3"/>
  <c r="G263" i="3"/>
  <c r="F263" i="3"/>
  <c r="Z262" i="3"/>
  <c r="U262" i="3"/>
  <c r="T262" i="3"/>
  <c r="P262" i="3"/>
  <c r="O262" i="3"/>
  <c r="K262" i="3"/>
  <c r="J262" i="3"/>
  <c r="I262" i="3"/>
  <c r="H262" i="3"/>
  <c r="G262" i="3"/>
  <c r="F262" i="3"/>
  <c r="Z261" i="3"/>
  <c r="Y261" i="3"/>
  <c r="U261" i="3"/>
  <c r="P261" i="3"/>
  <c r="O261" i="3"/>
  <c r="K261" i="3"/>
  <c r="J261" i="3"/>
  <c r="I261" i="3"/>
  <c r="H261" i="3"/>
  <c r="G261" i="3"/>
  <c r="F261" i="3"/>
  <c r="Z260" i="3"/>
  <c r="Y260" i="3"/>
  <c r="U260" i="3"/>
  <c r="P260" i="3"/>
  <c r="O260" i="3"/>
  <c r="K260" i="3"/>
  <c r="J260" i="3"/>
  <c r="I260" i="3"/>
  <c r="H260" i="3"/>
  <c r="G260" i="3"/>
  <c r="F260" i="3"/>
  <c r="Z259" i="3"/>
  <c r="Y259" i="3"/>
  <c r="U259" i="3"/>
  <c r="T259" i="3"/>
  <c r="P259" i="3"/>
  <c r="O259" i="3"/>
  <c r="K259" i="3"/>
  <c r="J259" i="3"/>
  <c r="I259" i="3"/>
  <c r="H259" i="3"/>
  <c r="G259" i="3"/>
  <c r="F259" i="3"/>
  <c r="Z258" i="3"/>
  <c r="U258" i="3"/>
  <c r="T258" i="3"/>
  <c r="P258" i="3"/>
  <c r="O258" i="3"/>
  <c r="K258" i="3"/>
  <c r="J258" i="3"/>
  <c r="I258" i="3"/>
  <c r="H258" i="3"/>
  <c r="G258" i="3"/>
  <c r="F258" i="3"/>
  <c r="Z257" i="3"/>
  <c r="Y257" i="3"/>
  <c r="U257" i="3"/>
  <c r="T257" i="3"/>
  <c r="P257" i="3"/>
  <c r="O257" i="3"/>
  <c r="K257" i="3"/>
  <c r="J257" i="3"/>
  <c r="I257" i="3"/>
  <c r="H257" i="3"/>
  <c r="W257" i="3" s="1"/>
  <c r="G257" i="3"/>
  <c r="F257" i="3"/>
  <c r="Z256" i="3"/>
  <c r="Y256" i="3"/>
  <c r="U256" i="3"/>
  <c r="T256" i="3"/>
  <c r="P256" i="3"/>
  <c r="O256" i="3"/>
  <c r="K256" i="3"/>
  <c r="J256" i="3"/>
  <c r="I256" i="3"/>
  <c r="H256" i="3"/>
  <c r="G256" i="3"/>
  <c r="F256" i="3"/>
  <c r="M256" i="3" s="1"/>
  <c r="Z255" i="3"/>
  <c r="Y255" i="3"/>
  <c r="U255" i="3"/>
  <c r="P255" i="3"/>
  <c r="O255" i="3"/>
  <c r="K255" i="3"/>
  <c r="J255" i="3"/>
  <c r="I255" i="3"/>
  <c r="H255" i="3"/>
  <c r="G255" i="3"/>
  <c r="F255" i="3"/>
  <c r="Z254" i="3"/>
  <c r="Y254" i="3"/>
  <c r="U254" i="3"/>
  <c r="T254" i="3"/>
  <c r="P254" i="3"/>
  <c r="O254" i="3"/>
  <c r="K254" i="3"/>
  <c r="J254" i="3"/>
  <c r="I254" i="3"/>
  <c r="AB254" i="3" s="1"/>
  <c r="H254" i="3"/>
  <c r="G254" i="3"/>
  <c r="F254" i="3"/>
  <c r="Z253" i="3"/>
  <c r="Y253" i="3"/>
  <c r="U253" i="3"/>
  <c r="T253" i="3"/>
  <c r="P253" i="3"/>
  <c r="O253" i="3"/>
  <c r="K253" i="3"/>
  <c r="J253" i="3"/>
  <c r="I253" i="3"/>
  <c r="AB253" i="3" s="1"/>
  <c r="H253" i="3"/>
  <c r="G253" i="3"/>
  <c r="F253" i="3"/>
  <c r="Z252" i="3"/>
  <c r="Y252" i="3"/>
  <c r="U252" i="3"/>
  <c r="T252" i="3"/>
  <c r="P252" i="3"/>
  <c r="O252" i="3"/>
  <c r="K252" i="3"/>
  <c r="J252" i="3"/>
  <c r="I252" i="3"/>
  <c r="AB252" i="3" s="1"/>
  <c r="H252" i="3"/>
  <c r="G252" i="3"/>
  <c r="F252" i="3"/>
  <c r="Z251" i="3"/>
  <c r="Y251" i="3"/>
  <c r="U251" i="3"/>
  <c r="P251" i="3"/>
  <c r="O251" i="3"/>
  <c r="K251" i="3"/>
  <c r="J251" i="3"/>
  <c r="I251" i="3"/>
  <c r="H251" i="3"/>
  <c r="G251" i="3"/>
  <c r="F251" i="3"/>
  <c r="Z250" i="3"/>
  <c r="Y250" i="3"/>
  <c r="U250" i="3"/>
  <c r="T250" i="3"/>
  <c r="P250" i="3"/>
  <c r="O250" i="3"/>
  <c r="K250" i="3"/>
  <c r="J250" i="3"/>
  <c r="I250" i="3"/>
  <c r="AB250" i="3" s="1"/>
  <c r="H250" i="3"/>
  <c r="G250" i="3"/>
  <c r="F250" i="3"/>
  <c r="Z249" i="3"/>
  <c r="Y249" i="3"/>
  <c r="U249" i="3"/>
  <c r="T249" i="3"/>
  <c r="P249" i="3"/>
  <c r="O249" i="3"/>
  <c r="K249" i="3"/>
  <c r="J249" i="3"/>
  <c r="I249" i="3"/>
  <c r="H249" i="3"/>
  <c r="G249" i="3"/>
  <c r="F249" i="3"/>
  <c r="Z248" i="3"/>
  <c r="Y248" i="3"/>
  <c r="U248" i="3"/>
  <c r="T248" i="3"/>
  <c r="P248" i="3"/>
  <c r="O248" i="3"/>
  <c r="K248" i="3"/>
  <c r="J248" i="3"/>
  <c r="I248" i="3"/>
  <c r="H248" i="3"/>
  <c r="G248" i="3"/>
  <c r="F248" i="3"/>
  <c r="Z247" i="3"/>
  <c r="Y247" i="3"/>
  <c r="U247" i="3"/>
  <c r="P247" i="3"/>
  <c r="O247" i="3"/>
  <c r="K247" i="3"/>
  <c r="J247" i="3"/>
  <c r="I247" i="3"/>
  <c r="H247" i="3"/>
  <c r="G247" i="3"/>
  <c r="F247" i="3"/>
  <c r="Z246" i="3"/>
  <c r="Y246" i="3"/>
  <c r="U246" i="3"/>
  <c r="T246" i="3"/>
  <c r="P246" i="3"/>
  <c r="O246" i="3"/>
  <c r="K246" i="3"/>
  <c r="J246" i="3"/>
  <c r="I246" i="3"/>
  <c r="AB246" i="3" s="1"/>
  <c r="H246" i="3"/>
  <c r="G246" i="3"/>
  <c r="F246" i="3"/>
  <c r="Z245" i="3"/>
  <c r="Y245" i="3"/>
  <c r="U245" i="3"/>
  <c r="T245" i="3"/>
  <c r="P245" i="3"/>
  <c r="O245" i="3"/>
  <c r="K245" i="3"/>
  <c r="J245" i="3"/>
  <c r="I245" i="3"/>
  <c r="AB245" i="3" s="1"/>
  <c r="H245" i="3"/>
  <c r="G245" i="3"/>
  <c r="F245" i="3"/>
  <c r="Z244" i="3"/>
  <c r="Y244" i="3"/>
  <c r="U244" i="3"/>
  <c r="T244" i="3"/>
  <c r="P244" i="3"/>
  <c r="O244" i="3"/>
  <c r="K244" i="3"/>
  <c r="J244" i="3"/>
  <c r="I244" i="3"/>
  <c r="H244" i="3"/>
  <c r="G244" i="3"/>
  <c r="F244" i="3"/>
  <c r="Z243" i="3"/>
  <c r="Y243" i="3"/>
  <c r="U243" i="3"/>
  <c r="T243" i="3"/>
  <c r="P243" i="3"/>
  <c r="O243" i="3"/>
  <c r="K243" i="3"/>
  <c r="J243" i="3"/>
  <c r="I243" i="3"/>
  <c r="AB243" i="3" s="1"/>
  <c r="H243" i="3"/>
  <c r="G243" i="3"/>
  <c r="F243" i="3"/>
  <c r="Z242" i="3"/>
  <c r="Y242" i="3"/>
  <c r="U242" i="3"/>
  <c r="T242" i="3"/>
  <c r="P242" i="3"/>
  <c r="O242" i="3"/>
  <c r="K242" i="3"/>
  <c r="J242" i="3"/>
  <c r="I242" i="3"/>
  <c r="AB242" i="3" s="1"/>
  <c r="H242" i="3"/>
  <c r="G242" i="3"/>
  <c r="F242" i="3"/>
  <c r="Z241" i="3"/>
  <c r="Y241" i="3"/>
  <c r="U241" i="3"/>
  <c r="T241" i="3"/>
  <c r="P241" i="3"/>
  <c r="O241" i="3"/>
  <c r="K241" i="3"/>
  <c r="J241" i="3"/>
  <c r="I241" i="3"/>
  <c r="H241" i="3"/>
  <c r="G241" i="3"/>
  <c r="F241" i="3"/>
  <c r="Z240" i="3"/>
  <c r="Y240" i="3"/>
  <c r="U240" i="3"/>
  <c r="T240" i="3"/>
  <c r="P240" i="3"/>
  <c r="O240" i="3"/>
  <c r="K240" i="3"/>
  <c r="J240" i="3"/>
  <c r="I240" i="3"/>
  <c r="AB240" i="3" s="1"/>
  <c r="H240" i="3"/>
  <c r="G240" i="3"/>
  <c r="F240" i="3"/>
  <c r="Z239" i="3"/>
  <c r="Y239" i="3"/>
  <c r="U239" i="3"/>
  <c r="T239" i="3"/>
  <c r="P239" i="3"/>
  <c r="O239" i="3"/>
  <c r="K239" i="3"/>
  <c r="J239" i="3"/>
  <c r="I239" i="3"/>
  <c r="H239" i="3"/>
  <c r="G239" i="3"/>
  <c r="F239" i="3"/>
  <c r="Z238" i="3"/>
  <c r="U238" i="3"/>
  <c r="T238" i="3"/>
  <c r="P238" i="3"/>
  <c r="O238" i="3"/>
  <c r="K238" i="3"/>
  <c r="J238" i="3"/>
  <c r="I238" i="3"/>
  <c r="H238" i="3"/>
  <c r="G238" i="3"/>
  <c r="F238" i="3"/>
  <c r="Z237" i="3"/>
  <c r="Y237" i="3"/>
  <c r="U237" i="3"/>
  <c r="T237" i="3"/>
  <c r="P237" i="3"/>
  <c r="O237" i="3"/>
  <c r="K237" i="3"/>
  <c r="J237" i="3"/>
  <c r="I237" i="3"/>
  <c r="H237" i="3"/>
  <c r="G237" i="3"/>
  <c r="F237" i="3"/>
  <c r="Z236" i="3"/>
  <c r="Y236" i="3"/>
  <c r="U236" i="3"/>
  <c r="T236" i="3"/>
  <c r="P236" i="3"/>
  <c r="O236" i="3"/>
  <c r="K236" i="3"/>
  <c r="J236" i="3"/>
  <c r="I236" i="3"/>
  <c r="H236" i="3"/>
  <c r="G236" i="3"/>
  <c r="F236" i="3"/>
  <c r="Z235" i="3"/>
  <c r="Y235" i="3"/>
  <c r="U235" i="3"/>
  <c r="T235" i="3"/>
  <c r="P235" i="3"/>
  <c r="O235" i="3"/>
  <c r="K235" i="3"/>
  <c r="J235" i="3"/>
  <c r="I235" i="3"/>
  <c r="H235" i="3"/>
  <c r="G235" i="3"/>
  <c r="F235" i="3"/>
  <c r="Z234" i="3"/>
  <c r="Y234" i="3"/>
  <c r="U234" i="3"/>
  <c r="T234" i="3"/>
  <c r="P234" i="3"/>
  <c r="O234" i="3"/>
  <c r="K234" i="3"/>
  <c r="J234" i="3"/>
  <c r="I234" i="3"/>
  <c r="AB234" i="3" s="1"/>
  <c r="H234" i="3"/>
  <c r="G234" i="3"/>
  <c r="F234" i="3"/>
  <c r="Z233" i="3"/>
  <c r="Y233" i="3"/>
  <c r="U233" i="3"/>
  <c r="T233" i="3"/>
  <c r="P233" i="3"/>
  <c r="O233" i="3"/>
  <c r="K233" i="3"/>
  <c r="J233" i="3"/>
  <c r="I233" i="3"/>
  <c r="H233" i="3"/>
  <c r="G233" i="3"/>
  <c r="F233" i="3"/>
  <c r="Z232" i="3"/>
  <c r="Y232" i="3"/>
  <c r="U232" i="3"/>
  <c r="T232" i="3"/>
  <c r="P232" i="3"/>
  <c r="O232" i="3"/>
  <c r="K232" i="3"/>
  <c r="J232" i="3"/>
  <c r="I232" i="3"/>
  <c r="AB232" i="3" s="1"/>
  <c r="H232" i="3"/>
  <c r="G232" i="3"/>
  <c r="F232" i="3"/>
  <c r="Z231" i="3"/>
  <c r="Y231" i="3"/>
  <c r="U231" i="3"/>
  <c r="T231" i="3"/>
  <c r="P231" i="3"/>
  <c r="O231" i="3"/>
  <c r="K231" i="3"/>
  <c r="J231" i="3"/>
  <c r="I231" i="3"/>
  <c r="AB231" i="3" s="1"/>
  <c r="H231" i="3"/>
  <c r="G231" i="3"/>
  <c r="F231" i="3"/>
  <c r="Z230" i="3"/>
  <c r="Y230" i="3"/>
  <c r="U230" i="3"/>
  <c r="T230" i="3"/>
  <c r="P230" i="3"/>
  <c r="O230" i="3"/>
  <c r="K230" i="3"/>
  <c r="J230" i="3"/>
  <c r="I230" i="3"/>
  <c r="AB230" i="3" s="1"/>
  <c r="H230" i="3"/>
  <c r="G230" i="3"/>
  <c r="F230" i="3"/>
  <c r="Z229" i="3"/>
  <c r="Y229" i="3"/>
  <c r="U229" i="3"/>
  <c r="T229" i="3"/>
  <c r="P229" i="3"/>
  <c r="O229" i="3"/>
  <c r="K229" i="3"/>
  <c r="J229" i="3"/>
  <c r="I229" i="3"/>
  <c r="H229" i="3"/>
  <c r="G229" i="3"/>
  <c r="F229" i="3"/>
  <c r="Z228" i="3"/>
  <c r="Y228" i="3"/>
  <c r="U228" i="3"/>
  <c r="T228" i="3"/>
  <c r="P228" i="3"/>
  <c r="O228" i="3"/>
  <c r="K228" i="3"/>
  <c r="J228" i="3"/>
  <c r="I228" i="3"/>
  <c r="H228" i="3"/>
  <c r="G228" i="3"/>
  <c r="F228" i="3"/>
  <c r="Z227" i="3"/>
  <c r="Y227" i="3"/>
  <c r="U227" i="3"/>
  <c r="T227" i="3"/>
  <c r="P227" i="3"/>
  <c r="O227" i="3"/>
  <c r="K227" i="3"/>
  <c r="J227" i="3"/>
  <c r="I227" i="3"/>
  <c r="H227" i="3"/>
  <c r="G227" i="3"/>
  <c r="F227" i="3"/>
  <c r="Z226" i="3"/>
  <c r="Y226" i="3"/>
  <c r="U226" i="3"/>
  <c r="T226" i="3"/>
  <c r="P226" i="3"/>
  <c r="O226" i="3"/>
  <c r="K226" i="3"/>
  <c r="J226" i="3"/>
  <c r="I226" i="3"/>
  <c r="AB226" i="3" s="1"/>
  <c r="H226" i="3"/>
  <c r="G226" i="3"/>
  <c r="F226" i="3"/>
  <c r="Z225" i="3"/>
  <c r="U225" i="3"/>
  <c r="T225" i="3"/>
  <c r="P225" i="3"/>
  <c r="O225" i="3"/>
  <c r="K225" i="3"/>
  <c r="J225" i="3"/>
  <c r="I225" i="3"/>
  <c r="H225" i="3"/>
  <c r="G225" i="3"/>
  <c r="F225" i="3"/>
  <c r="Z224" i="3"/>
  <c r="Y224" i="3"/>
  <c r="U224" i="3"/>
  <c r="T224" i="3"/>
  <c r="P224" i="3"/>
  <c r="O224" i="3"/>
  <c r="K224" i="3"/>
  <c r="J224" i="3"/>
  <c r="I224" i="3"/>
  <c r="AB224" i="3" s="1"/>
  <c r="H224" i="3"/>
  <c r="G224" i="3"/>
  <c r="F224" i="3"/>
  <c r="Z223" i="3"/>
  <c r="Y223" i="3"/>
  <c r="U223" i="3"/>
  <c r="T223" i="3"/>
  <c r="P223" i="3"/>
  <c r="O223" i="3"/>
  <c r="K223" i="3"/>
  <c r="J223" i="3"/>
  <c r="I223" i="3"/>
  <c r="H223" i="3"/>
  <c r="G223" i="3"/>
  <c r="F223" i="3"/>
  <c r="Z222" i="3"/>
  <c r="Y222" i="3"/>
  <c r="U222" i="3"/>
  <c r="T222" i="3"/>
  <c r="P222" i="3"/>
  <c r="O222" i="3"/>
  <c r="K222" i="3"/>
  <c r="J222" i="3"/>
  <c r="I222" i="3"/>
  <c r="AB222" i="3" s="1"/>
  <c r="H222" i="3"/>
  <c r="G222" i="3"/>
  <c r="F222" i="3"/>
  <c r="Z221" i="3"/>
  <c r="Y221" i="3"/>
  <c r="U221" i="3"/>
  <c r="T221" i="3"/>
  <c r="P221" i="3"/>
  <c r="O221" i="3"/>
  <c r="K221" i="3"/>
  <c r="J221" i="3"/>
  <c r="I221" i="3"/>
  <c r="H221" i="3"/>
  <c r="G221" i="3"/>
  <c r="F221" i="3"/>
  <c r="Z220" i="3"/>
  <c r="Y220" i="3"/>
  <c r="U220" i="3"/>
  <c r="P220" i="3"/>
  <c r="O220" i="3"/>
  <c r="K220" i="3"/>
  <c r="J220" i="3"/>
  <c r="I220" i="3"/>
  <c r="H220" i="3"/>
  <c r="G220" i="3"/>
  <c r="F220" i="3"/>
  <c r="Z219" i="3"/>
  <c r="Y219" i="3"/>
  <c r="U219" i="3"/>
  <c r="T219" i="3"/>
  <c r="P219" i="3"/>
  <c r="O219" i="3"/>
  <c r="K219" i="3"/>
  <c r="J219" i="3"/>
  <c r="I219" i="3"/>
  <c r="H219" i="3"/>
  <c r="G219" i="3"/>
  <c r="F219" i="3"/>
  <c r="Z218" i="3"/>
  <c r="Y218" i="3"/>
  <c r="U218" i="3"/>
  <c r="T218" i="3"/>
  <c r="P218" i="3"/>
  <c r="O218" i="3"/>
  <c r="K218" i="3"/>
  <c r="J218" i="3"/>
  <c r="I218" i="3"/>
  <c r="H218" i="3"/>
  <c r="G218" i="3"/>
  <c r="F218" i="3"/>
  <c r="Z217" i="3"/>
  <c r="Y217" i="3"/>
  <c r="U217" i="3"/>
  <c r="T217" i="3"/>
  <c r="P217" i="3"/>
  <c r="O217" i="3"/>
  <c r="K217" i="3"/>
  <c r="J217" i="3"/>
  <c r="I217" i="3"/>
  <c r="AB217" i="3" s="1"/>
  <c r="H217" i="3"/>
  <c r="G217" i="3"/>
  <c r="F217" i="3"/>
  <c r="Z216" i="3"/>
  <c r="U216" i="3"/>
  <c r="P216" i="3"/>
  <c r="O216" i="3"/>
  <c r="K216" i="3"/>
  <c r="J216" i="3"/>
  <c r="I216" i="3"/>
  <c r="H216" i="3"/>
  <c r="G216" i="3"/>
  <c r="F216" i="3"/>
  <c r="M216" i="3" s="1"/>
  <c r="Z215" i="3"/>
  <c r="Y215" i="3"/>
  <c r="U215" i="3"/>
  <c r="T215" i="3"/>
  <c r="P215" i="3"/>
  <c r="O215" i="3"/>
  <c r="K215" i="3"/>
  <c r="J215" i="3"/>
  <c r="I215" i="3"/>
  <c r="H215" i="3"/>
  <c r="G215" i="3"/>
  <c r="F215" i="3"/>
  <c r="Z214" i="3"/>
  <c r="Y214" i="3"/>
  <c r="U214" i="3"/>
  <c r="T214" i="3"/>
  <c r="P214" i="3"/>
  <c r="O214" i="3"/>
  <c r="K214" i="3"/>
  <c r="J214" i="3"/>
  <c r="I214" i="3"/>
  <c r="H214" i="3"/>
  <c r="G214" i="3"/>
  <c r="F214" i="3"/>
  <c r="Z213" i="3"/>
  <c r="Y213" i="3"/>
  <c r="U213" i="3"/>
  <c r="T213" i="3"/>
  <c r="P213" i="3"/>
  <c r="O213" i="3"/>
  <c r="K213" i="3"/>
  <c r="J213" i="3"/>
  <c r="I213" i="3"/>
  <c r="AB213" i="3" s="1"/>
  <c r="H213" i="3"/>
  <c r="G213" i="3"/>
  <c r="F213" i="3"/>
  <c r="Z212" i="3"/>
  <c r="Y212" i="3"/>
  <c r="U212" i="3"/>
  <c r="P212" i="3"/>
  <c r="O212" i="3"/>
  <c r="K212" i="3"/>
  <c r="J212" i="3"/>
  <c r="I212" i="3"/>
  <c r="AB212" i="3" s="1"/>
  <c r="H212" i="3"/>
  <c r="G212" i="3"/>
  <c r="F212" i="3"/>
  <c r="Z211" i="3"/>
  <c r="Y211" i="3"/>
  <c r="U211" i="3"/>
  <c r="T211" i="3"/>
  <c r="P211" i="3"/>
  <c r="O211" i="3"/>
  <c r="K211" i="3"/>
  <c r="J211" i="3"/>
  <c r="I211" i="3"/>
  <c r="H211" i="3"/>
  <c r="G211" i="3"/>
  <c r="F211" i="3"/>
  <c r="Z210" i="3"/>
  <c r="Y210" i="3"/>
  <c r="U210" i="3"/>
  <c r="T210" i="3"/>
  <c r="P210" i="3"/>
  <c r="O210" i="3"/>
  <c r="K210" i="3"/>
  <c r="J210" i="3"/>
  <c r="I210" i="3"/>
  <c r="AB210" i="3" s="1"/>
  <c r="H210" i="3"/>
  <c r="G210" i="3"/>
  <c r="F210" i="3"/>
  <c r="Z209" i="3"/>
  <c r="Y209" i="3"/>
  <c r="U209" i="3"/>
  <c r="T209" i="3"/>
  <c r="P209" i="3"/>
  <c r="O209" i="3"/>
  <c r="K209" i="3"/>
  <c r="J209" i="3"/>
  <c r="I209" i="3"/>
  <c r="AB209" i="3" s="1"/>
  <c r="H209" i="3"/>
  <c r="G209" i="3"/>
  <c r="F209" i="3"/>
  <c r="Z208" i="3"/>
  <c r="Y208" i="3"/>
  <c r="U208" i="3"/>
  <c r="P208" i="3"/>
  <c r="O208" i="3"/>
  <c r="K208" i="3"/>
  <c r="J208" i="3"/>
  <c r="I208" i="3"/>
  <c r="H208" i="3"/>
  <c r="G208" i="3"/>
  <c r="F208" i="3"/>
  <c r="Z207" i="3"/>
  <c r="Y207" i="3"/>
  <c r="U207" i="3"/>
  <c r="P207" i="3"/>
  <c r="O207" i="3"/>
  <c r="K207" i="3"/>
  <c r="J207" i="3"/>
  <c r="I207" i="3"/>
  <c r="H207" i="3"/>
  <c r="G207" i="3"/>
  <c r="F207" i="3"/>
  <c r="Z206" i="3"/>
  <c r="Y206" i="3"/>
  <c r="U206" i="3"/>
  <c r="T206" i="3"/>
  <c r="P206" i="3"/>
  <c r="O206" i="3"/>
  <c r="K206" i="3"/>
  <c r="J206" i="3"/>
  <c r="I206" i="3"/>
  <c r="AB206" i="3" s="1"/>
  <c r="H206" i="3"/>
  <c r="G206" i="3"/>
  <c r="F206" i="3"/>
  <c r="Z205" i="3"/>
  <c r="Y205" i="3"/>
  <c r="U205" i="3"/>
  <c r="T205" i="3"/>
  <c r="P205" i="3"/>
  <c r="O205" i="3"/>
  <c r="K205" i="3"/>
  <c r="J205" i="3"/>
  <c r="I205" i="3"/>
  <c r="AB205" i="3" s="1"/>
  <c r="H205" i="3"/>
  <c r="G205" i="3"/>
  <c r="F205" i="3"/>
  <c r="Z204" i="3"/>
  <c r="Y204" i="3"/>
  <c r="U204" i="3"/>
  <c r="P204" i="3"/>
  <c r="O204" i="3"/>
  <c r="K204" i="3"/>
  <c r="J204" i="3"/>
  <c r="I204" i="3"/>
  <c r="H204" i="3"/>
  <c r="G204" i="3"/>
  <c r="F204" i="3"/>
  <c r="Z203" i="3"/>
  <c r="Y203" i="3"/>
  <c r="U203" i="3"/>
  <c r="T203" i="3"/>
  <c r="P203" i="3"/>
  <c r="O203" i="3"/>
  <c r="K203" i="3"/>
  <c r="J203" i="3"/>
  <c r="I203" i="3"/>
  <c r="H203" i="3"/>
  <c r="G203" i="3"/>
  <c r="F203" i="3"/>
  <c r="Z202" i="3"/>
  <c r="Y202" i="3"/>
  <c r="U202" i="3"/>
  <c r="T202" i="3"/>
  <c r="P202" i="3"/>
  <c r="O202" i="3"/>
  <c r="K202" i="3"/>
  <c r="J202" i="3"/>
  <c r="I202" i="3"/>
  <c r="AB202" i="3" s="1"/>
  <c r="H202" i="3"/>
  <c r="G202" i="3"/>
  <c r="F202" i="3"/>
  <c r="M202" i="3" s="1"/>
  <c r="Z201" i="3"/>
  <c r="Y201" i="3"/>
  <c r="U201" i="3"/>
  <c r="T201" i="3"/>
  <c r="P201" i="3"/>
  <c r="O201" i="3"/>
  <c r="K201" i="3"/>
  <c r="J201" i="3"/>
  <c r="I201" i="3"/>
  <c r="AB201" i="3" s="1"/>
  <c r="H201" i="3"/>
  <c r="G201" i="3"/>
  <c r="F201" i="3"/>
  <c r="Z200" i="3"/>
  <c r="Y200" i="3"/>
  <c r="U200" i="3"/>
  <c r="T200" i="3"/>
  <c r="P200" i="3"/>
  <c r="O200" i="3"/>
  <c r="K200" i="3"/>
  <c r="J200" i="3"/>
  <c r="I200" i="3"/>
  <c r="AB200" i="3" s="1"/>
  <c r="H200" i="3"/>
  <c r="G200" i="3"/>
  <c r="F200" i="3"/>
  <c r="Z199" i="3"/>
  <c r="Y199" i="3"/>
  <c r="U199" i="3"/>
  <c r="T199" i="3"/>
  <c r="P199" i="3"/>
  <c r="O199" i="3"/>
  <c r="K199" i="3"/>
  <c r="J199" i="3"/>
  <c r="I199" i="3"/>
  <c r="H199" i="3"/>
  <c r="G199" i="3"/>
  <c r="F199" i="3"/>
  <c r="Z198" i="3"/>
  <c r="Y198" i="3"/>
  <c r="U198" i="3"/>
  <c r="T198" i="3"/>
  <c r="P198" i="3"/>
  <c r="O198" i="3"/>
  <c r="K198" i="3"/>
  <c r="J198" i="3"/>
  <c r="I198" i="3"/>
  <c r="H198" i="3"/>
  <c r="G198" i="3"/>
  <c r="F198" i="3"/>
  <c r="Z197" i="3"/>
  <c r="Y197" i="3"/>
  <c r="U197" i="3"/>
  <c r="T197" i="3"/>
  <c r="P197" i="3"/>
  <c r="O197" i="3"/>
  <c r="K197" i="3"/>
  <c r="J197" i="3"/>
  <c r="I197" i="3"/>
  <c r="AB197" i="3" s="1"/>
  <c r="H197" i="3"/>
  <c r="G197" i="3"/>
  <c r="F197" i="3"/>
  <c r="Z196" i="3"/>
  <c r="Y196" i="3"/>
  <c r="U196" i="3"/>
  <c r="P196" i="3"/>
  <c r="O196" i="3"/>
  <c r="K196" i="3"/>
  <c r="J196" i="3"/>
  <c r="I196" i="3"/>
  <c r="H196" i="3"/>
  <c r="G196" i="3"/>
  <c r="F196" i="3"/>
  <c r="Z195" i="3"/>
  <c r="Y195" i="3"/>
  <c r="U195" i="3"/>
  <c r="T195" i="3"/>
  <c r="P195" i="3"/>
  <c r="O195" i="3"/>
  <c r="K195" i="3"/>
  <c r="J195" i="3"/>
  <c r="I195" i="3"/>
  <c r="H195" i="3"/>
  <c r="G195" i="3"/>
  <c r="F195" i="3"/>
  <c r="Z194" i="3"/>
  <c r="Y194" i="3"/>
  <c r="U194" i="3"/>
  <c r="T194" i="3"/>
  <c r="P194" i="3"/>
  <c r="O194" i="3"/>
  <c r="K194" i="3"/>
  <c r="J194" i="3"/>
  <c r="I194" i="3"/>
  <c r="AB194" i="3" s="1"/>
  <c r="H194" i="3"/>
  <c r="G194" i="3"/>
  <c r="F194" i="3"/>
  <c r="Z193" i="3"/>
  <c r="Y193" i="3"/>
  <c r="U193" i="3"/>
  <c r="T193" i="3"/>
  <c r="P193" i="3"/>
  <c r="O193" i="3"/>
  <c r="K193" i="3"/>
  <c r="J193" i="3"/>
  <c r="I193" i="3"/>
  <c r="AB193" i="3" s="1"/>
  <c r="H193" i="3"/>
  <c r="G193" i="3"/>
  <c r="F193" i="3"/>
  <c r="Z192" i="3"/>
  <c r="Y192" i="3"/>
  <c r="U192" i="3"/>
  <c r="T192" i="3"/>
  <c r="P192" i="3"/>
  <c r="O192" i="3"/>
  <c r="K192" i="3"/>
  <c r="J192" i="3"/>
  <c r="I192" i="3"/>
  <c r="AB192" i="3" s="1"/>
  <c r="H192" i="3"/>
  <c r="G192" i="3"/>
  <c r="F192" i="3"/>
  <c r="Z191" i="3"/>
  <c r="U191" i="3"/>
  <c r="T191" i="3"/>
  <c r="P191" i="3"/>
  <c r="O191" i="3"/>
  <c r="K191" i="3"/>
  <c r="J191" i="3"/>
  <c r="I191" i="3"/>
  <c r="H191" i="3"/>
  <c r="W191" i="3" s="1"/>
  <c r="G191" i="3"/>
  <c r="F191" i="3"/>
  <c r="Z190" i="3"/>
  <c r="Y190" i="3"/>
  <c r="U190" i="3"/>
  <c r="T190" i="3"/>
  <c r="P190" i="3"/>
  <c r="O190" i="3"/>
  <c r="K190" i="3"/>
  <c r="J190" i="3"/>
  <c r="I190" i="3"/>
  <c r="H190" i="3"/>
  <c r="G190" i="3"/>
  <c r="F190" i="3"/>
  <c r="Z189" i="3"/>
  <c r="Y189" i="3"/>
  <c r="AA189" i="3" s="1"/>
  <c r="U189" i="3"/>
  <c r="T189" i="3"/>
  <c r="P189" i="3"/>
  <c r="O189" i="3"/>
  <c r="K189" i="3"/>
  <c r="J189" i="3"/>
  <c r="I189" i="3"/>
  <c r="AB189" i="3" s="1"/>
  <c r="H189" i="3"/>
  <c r="W189" i="3" s="1"/>
  <c r="G189" i="3"/>
  <c r="F189" i="3"/>
  <c r="Z188" i="3"/>
  <c r="Y188" i="3"/>
  <c r="U188" i="3"/>
  <c r="P188" i="3"/>
  <c r="O188" i="3"/>
  <c r="K188" i="3"/>
  <c r="J188" i="3"/>
  <c r="I188" i="3"/>
  <c r="H188" i="3"/>
  <c r="G188" i="3"/>
  <c r="F188" i="3"/>
  <c r="Z187" i="3"/>
  <c r="Y187" i="3"/>
  <c r="U187" i="3"/>
  <c r="T187" i="3"/>
  <c r="P187" i="3"/>
  <c r="O187" i="3"/>
  <c r="K187" i="3"/>
  <c r="J187" i="3"/>
  <c r="I187" i="3"/>
  <c r="H187" i="3"/>
  <c r="G187" i="3"/>
  <c r="F187" i="3"/>
  <c r="Z186" i="3"/>
  <c r="Y186" i="3"/>
  <c r="U186" i="3"/>
  <c r="T186" i="3"/>
  <c r="P186" i="3"/>
  <c r="O186" i="3"/>
  <c r="K186" i="3"/>
  <c r="J186" i="3"/>
  <c r="I186" i="3"/>
  <c r="AB186" i="3" s="1"/>
  <c r="H186" i="3"/>
  <c r="G186" i="3"/>
  <c r="F186" i="3"/>
  <c r="Z185" i="3"/>
  <c r="Y185" i="3"/>
  <c r="U185" i="3"/>
  <c r="T185" i="3"/>
  <c r="P185" i="3"/>
  <c r="O185" i="3"/>
  <c r="K185" i="3"/>
  <c r="J185" i="3"/>
  <c r="I185" i="3"/>
  <c r="AB185" i="3" s="1"/>
  <c r="H185" i="3"/>
  <c r="G185" i="3"/>
  <c r="F185" i="3"/>
  <c r="Z184" i="3"/>
  <c r="Y184" i="3"/>
  <c r="U184" i="3"/>
  <c r="T184" i="3"/>
  <c r="P184" i="3"/>
  <c r="O184" i="3"/>
  <c r="K184" i="3"/>
  <c r="J184" i="3"/>
  <c r="I184" i="3"/>
  <c r="AB184" i="3" s="1"/>
  <c r="H184" i="3"/>
  <c r="G184" i="3"/>
  <c r="F184" i="3"/>
  <c r="Z183" i="3"/>
  <c r="Y183" i="3"/>
  <c r="U183" i="3"/>
  <c r="T183" i="3"/>
  <c r="P183" i="3"/>
  <c r="O183" i="3"/>
  <c r="K183" i="3"/>
  <c r="J183" i="3"/>
  <c r="I183" i="3"/>
  <c r="H183" i="3"/>
  <c r="G183" i="3"/>
  <c r="F183" i="3"/>
  <c r="Z182" i="3"/>
  <c r="Y182" i="3"/>
  <c r="U182" i="3"/>
  <c r="T182" i="3"/>
  <c r="P182" i="3"/>
  <c r="O182" i="3"/>
  <c r="K182" i="3"/>
  <c r="J182" i="3"/>
  <c r="I182" i="3"/>
  <c r="AB182" i="3" s="1"/>
  <c r="H182" i="3"/>
  <c r="G182" i="3"/>
  <c r="F182" i="3"/>
  <c r="Z181" i="3"/>
  <c r="Y181" i="3"/>
  <c r="U181" i="3"/>
  <c r="T181" i="3"/>
  <c r="P181" i="3"/>
  <c r="O181" i="3"/>
  <c r="K181" i="3"/>
  <c r="J181" i="3"/>
  <c r="I181" i="3"/>
  <c r="AB181" i="3" s="1"/>
  <c r="H181" i="3"/>
  <c r="G181" i="3"/>
  <c r="F181" i="3"/>
  <c r="Z180" i="3"/>
  <c r="Y180" i="3"/>
  <c r="U180" i="3"/>
  <c r="P180" i="3"/>
  <c r="O180" i="3"/>
  <c r="K180" i="3"/>
  <c r="J180" i="3"/>
  <c r="I180" i="3"/>
  <c r="H180" i="3"/>
  <c r="G180" i="3"/>
  <c r="F180" i="3"/>
  <c r="Z179" i="3"/>
  <c r="Y179" i="3"/>
  <c r="U179" i="3"/>
  <c r="T179" i="3"/>
  <c r="P179" i="3"/>
  <c r="O179" i="3"/>
  <c r="K179" i="3"/>
  <c r="J179" i="3"/>
  <c r="I179" i="3"/>
  <c r="AB179" i="3" s="1"/>
  <c r="H179" i="3"/>
  <c r="G179" i="3"/>
  <c r="F179" i="3"/>
  <c r="Z178" i="3"/>
  <c r="Y178" i="3"/>
  <c r="U178" i="3"/>
  <c r="T178" i="3"/>
  <c r="P178" i="3"/>
  <c r="O178" i="3"/>
  <c r="K178" i="3"/>
  <c r="J178" i="3"/>
  <c r="I178" i="3"/>
  <c r="AB178" i="3" s="1"/>
  <c r="H178" i="3"/>
  <c r="G178" i="3"/>
  <c r="F178" i="3"/>
  <c r="M178" i="3" s="1"/>
  <c r="Z177" i="3"/>
  <c r="Y177" i="3"/>
  <c r="U177" i="3"/>
  <c r="T177" i="3"/>
  <c r="P177" i="3"/>
  <c r="O177" i="3"/>
  <c r="K177" i="3"/>
  <c r="J177" i="3"/>
  <c r="I177" i="3"/>
  <c r="AB177" i="3" s="1"/>
  <c r="H177" i="3"/>
  <c r="G177" i="3"/>
  <c r="F177" i="3"/>
  <c r="M177" i="3" s="1"/>
  <c r="Z176" i="3"/>
  <c r="Y176" i="3"/>
  <c r="U176" i="3"/>
  <c r="P176" i="3"/>
  <c r="O176" i="3"/>
  <c r="K176" i="3"/>
  <c r="J176" i="3"/>
  <c r="I176" i="3"/>
  <c r="H176" i="3"/>
  <c r="G176" i="3"/>
  <c r="F176" i="3"/>
  <c r="Z175" i="3"/>
  <c r="Y175" i="3"/>
  <c r="U175" i="3"/>
  <c r="T175" i="3"/>
  <c r="P175" i="3"/>
  <c r="O175" i="3"/>
  <c r="K175" i="3"/>
  <c r="J175" i="3"/>
  <c r="I175" i="3"/>
  <c r="AB175" i="3" s="1"/>
  <c r="H175" i="3"/>
  <c r="G175" i="3"/>
  <c r="F175" i="3"/>
  <c r="Z174" i="3"/>
  <c r="Y174" i="3"/>
  <c r="U174" i="3"/>
  <c r="T174" i="3"/>
  <c r="P174" i="3"/>
  <c r="O174" i="3"/>
  <c r="K174" i="3"/>
  <c r="J174" i="3"/>
  <c r="I174" i="3"/>
  <c r="AB174" i="3" s="1"/>
  <c r="H174" i="3"/>
  <c r="G174" i="3"/>
  <c r="F174" i="3"/>
  <c r="Z173" i="3"/>
  <c r="Y173" i="3"/>
  <c r="U173" i="3"/>
  <c r="T173" i="3"/>
  <c r="P173" i="3"/>
  <c r="O173" i="3"/>
  <c r="K173" i="3"/>
  <c r="J173" i="3"/>
  <c r="I173" i="3"/>
  <c r="AB173" i="3" s="1"/>
  <c r="H173" i="3"/>
  <c r="G173" i="3"/>
  <c r="F173" i="3"/>
  <c r="Z172" i="3"/>
  <c r="Y172" i="3"/>
  <c r="U172" i="3"/>
  <c r="T172" i="3"/>
  <c r="P172" i="3"/>
  <c r="O172" i="3"/>
  <c r="K172" i="3"/>
  <c r="J172" i="3"/>
  <c r="I172" i="3"/>
  <c r="AB172" i="3" s="1"/>
  <c r="H172" i="3"/>
  <c r="G172" i="3"/>
  <c r="F172" i="3"/>
  <c r="Z171" i="3"/>
  <c r="Y171" i="3"/>
  <c r="U171" i="3"/>
  <c r="T171" i="3"/>
  <c r="P171" i="3"/>
  <c r="O171" i="3"/>
  <c r="K171" i="3"/>
  <c r="J171" i="3"/>
  <c r="I171" i="3"/>
  <c r="AB171" i="3" s="1"/>
  <c r="H171" i="3"/>
  <c r="G171" i="3"/>
  <c r="F171" i="3"/>
  <c r="Z170" i="3"/>
  <c r="U170" i="3"/>
  <c r="T170" i="3"/>
  <c r="P170" i="3"/>
  <c r="O170" i="3"/>
  <c r="K170" i="3"/>
  <c r="J170" i="3"/>
  <c r="I170" i="3"/>
  <c r="H170" i="3"/>
  <c r="G170" i="3"/>
  <c r="F170" i="3"/>
  <c r="Z169" i="3"/>
  <c r="Y169" i="3"/>
  <c r="U169" i="3"/>
  <c r="T169" i="3"/>
  <c r="P169" i="3"/>
  <c r="O169" i="3"/>
  <c r="K169" i="3"/>
  <c r="J169" i="3"/>
  <c r="I169" i="3"/>
  <c r="AB169" i="3" s="1"/>
  <c r="H169" i="3"/>
  <c r="G169" i="3"/>
  <c r="F169" i="3"/>
  <c r="Z168" i="3"/>
  <c r="U168" i="3"/>
  <c r="T168" i="3"/>
  <c r="P168" i="3"/>
  <c r="O168" i="3"/>
  <c r="K168" i="3"/>
  <c r="J168" i="3"/>
  <c r="I168" i="3"/>
  <c r="H168" i="3"/>
  <c r="G168" i="3"/>
  <c r="F168" i="3"/>
  <c r="Z167" i="3"/>
  <c r="Y167" i="3"/>
  <c r="U167" i="3"/>
  <c r="T167" i="3"/>
  <c r="P167" i="3"/>
  <c r="O167" i="3"/>
  <c r="K167" i="3"/>
  <c r="J167" i="3"/>
  <c r="I167" i="3"/>
  <c r="AB167" i="3" s="1"/>
  <c r="H167" i="3"/>
  <c r="G167" i="3"/>
  <c r="F167" i="3"/>
  <c r="Z166" i="3"/>
  <c r="Y166" i="3"/>
  <c r="U166" i="3"/>
  <c r="T166" i="3"/>
  <c r="P166" i="3"/>
  <c r="O166" i="3"/>
  <c r="K166" i="3"/>
  <c r="J166" i="3"/>
  <c r="I166" i="3"/>
  <c r="AB166" i="3" s="1"/>
  <c r="H166" i="3"/>
  <c r="G166" i="3"/>
  <c r="F166" i="3"/>
  <c r="Z165" i="3"/>
  <c r="Y165" i="3"/>
  <c r="U165" i="3"/>
  <c r="T165" i="3"/>
  <c r="P165" i="3"/>
  <c r="O165" i="3"/>
  <c r="K165" i="3"/>
  <c r="J165" i="3"/>
  <c r="L165" i="3" s="1"/>
  <c r="I165" i="3"/>
  <c r="AB165" i="3" s="1"/>
  <c r="H165" i="3"/>
  <c r="G165" i="3"/>
  <c r="F165" i="3"/>
  <c r="Z164" i="3"/>
  <c r="Y164" i="3"/>
  <c r="U164" i="3"/>
  <c r="T164" i="3"/>
  <c r="P164" i="3"/>
  <c r="O164" i="3"/>
  <c r="K164" i="3"/>
  <c r="J164" i="3"/>
  <c r="I164" i="3"/>
  <c r="AB164" i="3" s="1"/>
  <c r="H164" i="3"/>
  <c r="G164" i="3"/>
  <c r="F164" i="3"/>
  <c r="Z163" i="3"/>
  <c r="Y163" i="3"/>
  <c r="U163" i="3"/>
  <c r="T163" i="3"/>
  <c r="P163" i="3"/>
  <c r="O163" i="3"/>
  <c r="K163" i="3"/>
  <c r="J163" i="3"/>
  <c r="I163" i="3"/>
  <c r="AB163" i="3" s="1"/>
  <c r="H163" i="3"/>
  <c r="G163" i="3"/>
  <c r="F163" i="3"/>
  <c r="Z162" i="3"/>
  <c r="U162" i="3"/>
  <c r="T162" i="3"/>
  <c r="P162" i="3"/>
  <c r="O162" i="3"/>
  <c r="K162" i="3"/>
  <c r="J162" i="3"/>
  <c r="I162" i="3"/>
  <c r="H162" i="3"/>
  <c r="G162" i="3"/>
  <c r="F162" i="3"/>
  <c r="Z161" i="3"/>
  <c r="Y161" i="3"/>
  <c r="U161" i="3"/>
  <c r="T161" i="3"/>
  <c r="P161" i="3"/>
  <c r="O161" i="3"/>
  <c r="K161" i="3"/>
  <c r="J161" i="3"/>
  <c r="I161" i="3"/>
  <c r="AB161" i="3" s="1"/>
  <c r="H161" i="3"/>
  <c r="G161" i="3"/>
  <c r="F161" i="3"/>
  <c r="Z160" i="3"/>
  <c r="Y160" i="3"/>
  <c r="U160" i="3"/>
  <c r="T160" i="3"/>
  <c r="P160" i="3"/>
  <c r="O160" i="3"/>
  <c r="K160" i="3"/>
  <c r="J160" i="3"/>
  <c r="I160" i="3"/>
  <c r="AB160" i="3" s="1"/>
  <c r="H160" i="3"/>
  <c r="G160" i="3"/>
  <c r="F160" i="3"/>
  <c r="Z159" i="3"/>
  <c r="Y159" i="3"/>
  <c r="U159" i="3"/>
  <c r="T159" i="3"/>
  <c r="P159" i="3"/>
  <c r="O159" i="3"/>
  <c r="K159" i="3"/>
  <c r="J159" i="3"/>
  <c r="I159" i="3"/>
  <c r="AB159" i="3" s="1"/>
  <c r="H159" i="3"/>
  <c r="G159" i="3"/>
  <c r="F159" i="3"/>
  <c r="Z158" i="3"/>
  <c r="Y158" i="3"/>
  <c r="U158" i="3"/>
  <c r="T158" i="3"/>
  <c r="P158" i="3"/>
  <c r="O158" i="3"/>
  <c r="K158" i="3"/>
  <c r="J158" i="3"/>
  <c r="I158" i="3"/>
  <c r="AB158" i="3" s="1"/>
  <c r="H158" i="3"/>
  <c r="G158" i="3"/>
  <c r="F158" i="3"/>
  <c r="Z157" i="3"/>
  <c r="Y157" i="3"/>
  <c r="U157" i="3"/>
  <c r="T157" i="3"/>
  <c r="P157" i="3"/>
  <c r="O157" i="3"/>
  <c r="K157" i="3"/>
  <c r="J157" i="3"/>
  <c r="I157" i="3"/>
  <c r="AB157" i="3" s="1"/>
  <c r="H157" i="3"/>
  <c r="G157" i="3"/>
  <c r="F157" i="3"/>
  <c r="Z156" i="3"/>
  <c r="Y156" i="3"/>
  <c r="U156" i="3"/>
  <c r="T156" i="3"/>
  <c r="P156" i="3"/>
  <c r="O156" i="3"/>
  <c r="K156" i="3"/>
  <c r="J156" i="3"/>
  <c r="I156" i="3"/>
  <c r="AB156" i="3" s="1"/>
  <c r="H156" i="3"/>
  <c r="G156" i="3"/>
  <c r="F156" i="3"/>
  <c r="Z155" i="3"/>
  <c r="Y155" i="3"/>
  <c r="U155" i="3"/>
  <c r="T155" i="3"/>
  <c r="P155" i="3"/>
  <c r="O155" i="3"/>
  <c r="K155" i="3"/>
  <c r="J155" i="3"/>
  <c r="I155" i="3"/>
  <c r="AB155" i="3" s="1"/>
  <c r="H155" i="3"/>
  <c r="G155" i="3"/>
  <c r="F155" i="3"/>
  <c r="Z154" i="3"/>
  <c r="Y154" i="3"/>
  <c r="U154" i="3"/>
  <c r="T154" i="3"/>
  <c r="P154" i="3"/>
  <c r="O154" i="3"/>
  <c r="K154" i="3"/>
  <c r="J154" i="3"/>
  <c r="I154" i="3"/>
  <c r="AB154" i="3" s="1"/>
  <c r="H154" i="3"/>
  <c r="G154" i="3"/>
  <c r="F154" i="3"/>
  <c r="Z153" i="3"/>
  <c r="Y153" i="3"/>
  <c r="U153" i="3"/>
  <c r="T153" i="3"/>
  <c r="P153" i="3"/>
  <c r="O153" i="3"/>
  <c r="K153" i="3"/>
  <c r="J153" i="3"/>
  <c r="I153" i="3"/>
  <c r="AB153" i="3" s="1"/>
  <c r="H153" i="3"/>
  <c r="G153" i="3"/>
  <c r="F153" i="3"/>
  <c r="Z152" i="3"/>
  <c r="Y152" i="3"/>
  <c r="U152" i="3"/>
  <c r="T152" i="3"/>
  <c r="P152" i="3"/>
  <c r="O152" i="3"/>
  <c r="K152" i="3"/>
  <c r="J152" i="3"/>
  <c r="I152" i="3"/>
  <c r="AB152" i="3" s="1"/>
  <c r="H152" i="3"/>
  <c r="G152" i="3"/>
  <c r="F152" i="3"/>
  <c r="Z151" i="3"/>
  <c r="Y151" i="3"/>
  <c r="U151" i="3"/>
  <c r="T151" i="3"/>
  <c r="P151" i="3"/>
  <c r="O151" i="3"/>
  <c r="K151" i="3"/>
  <c r="J151" i="3"/>
  <c r="I151" i="3"/>
  <c r="AB151" i="3" s="1"/>
  <c r="H151" i="3"/>
  <c r="G151" i="3"/>
  <c r="F151" i="3"/>
  <c r="Z150" i="3"/>
  <c r="Y150" i="3"/>
  <c r="U150" i="3"/>
  <c r="T150" i="3"/>
  <c r="P150" i="3"/>
  <c r="O150" i="3"/>
  <c r="K150" i="3"/>
  <c r="J150" i="3"/>
  <c r="I150" i="3"/>
  <c r="AB150" i="3" s="1"/>
  <c r="H150" i="3"/>
  <c r="G150" i="3"/>
  <c r="F150" i="3"/>
  <c r="Z149" i="3"/>
  <c r="Y149" i="3"/>
  <c r="U149" i="3"/>
  <c r="T149" i="3"/>
  <c r="P149" i="3"/>
  <c r="O149" i="3"/>
  <c r="K149" i="3"/>
  <c r="J149" i="3"/>
  <c r="I149" i="3"/>
  <c r="AB149" i="3" s="1"/>
  <c r="H149" i="3"/>
  <c r="G149" i="3"/>
  <c r="F149" i="3"/>
  <c r="Z148" i="3"/>
  <c r="Y148" i="3"/>
  <c r="U148" i="3"/>
  <c r="T148" i="3"/>
  <c r="P148" i="3"/>
  <c r="O148" i="3"/>
  <c r="K148" i="3"/>
  <c r="J148" i="3"/>
  <c r="I148" i="3"/>
  <c r="AB148" i="3" s="1"/>
  <c r="H148" i="3"/>
  <c r="G148" i="3"/>
  <c r="F148" i="3"/>
  <c r="Z147" i="3"/>
  <c r="Y147" i="3"/>
  <c r="U147" i="3"/>
  <c r="T147" i="3"/>
  <c r="P147" i="3"/>
  <c r="O147" i="3"/>
  <c r="K147" i="3"/>
  <c r="J147" i="3"/>
  <c r="I147" i="3"/>
  <c r="AB147" i="3" s="1"/>
  <c r="H147" i="3"/>
  <c r="G147" i="3"/>
  <c r="F147" i="3"/>
  <c r="Z146" i="3"/>
  <c r="Y146" i="3"/>
  <c r="U146" i="3"/>
  <c r="T146" i="3"/>
  <c r="P146" i="3"/>
  <c r="O146" i="3"/>
  <c r="K146" i="3"/>
  <c r="J146" i="3"/>
  <c r="I146" i="3"/>
  <c r="AB146" i="3" s="1"/>
  <c r="H146" i="3"/>
  <c r="G146" i="3"/>
  <c r="F146" i="3"/>
  <c r="Z145" i="3"/>
  <c r="Y145" i="3"/>
  <c r="U145" i="3"/>
  <c r="T145" i="3"/>
  <c r="P145" i="3"/>
  <c r="O145" i="3"/>
  <c r="K145" i="3"/>
  <c r="J145" i="3"/>
  <c r="I145" i="3"/>
  <c r="AB145" i="3" s="1"/>
  <c r="H145" i="3"/>
  <c r="G145" i="3"/>
  <c r="F145" i="3"/>
  <c r="Z144" i="3"/>
  <c r="Y144" i="3"/>
  <c r="U144" i="3"/>
  <c r="T144" i="3"/>
  <c r="P144" i="3"/>
  <c r="O144" i="3"/>
  <c r="K144" i="3"/>
  <c r="J144" i="3"/>
  <c r="I144" i="3"/>
  <c r="AB144" i="3" s="1"/>
  <c r="H144" i="3"/>
  <c r="G144" i="3"/>
  <c r="F144" i="3"/>
  <c r="Z143" i="3"/>
  <c r="Y143" i="3"/>
  <c r="U143" i="3"/>
  <c r="P143" i="3"/>
  <c r="O143" i="3"/>
  <c r="K143" i="3"/>
  <c r="J143" i="3"/>
  <c r="I143" i="3"/>
  <c r="H143" i="3"/>
  <c r="G143" i="3"/>
  <c r="F143" i="3"/>
  <c r="Z142" i="3"/>
  <c r="Y142" i="3"/>
  <c r="U142" i="3"/>
  <c r="P142" i="3"/>
  <c r="O142" i="3"/>
  <c r="K142" i="3"/>
  <c r="J142" i="3"/>
  <c r="I142" i="3"/>
  <c r="H142" i="3"/>
  <c r="G142" i="3"/>
  <c r="F142" i="3"/>
  <c r="Z141" i="3"/>
  <c r="Y141" i="3"/>
  <c r="U141" i="3"/>
  <c r="T141" i="3"/>
  <c r="P141" i="3"/>
  <c r="O141" i="3"/>
  <c r="K141" i="3"/>
  <c r="J141" i="3"/>
  <c r="L141" i="3" s="1"/>
  <c r="I141" i="3"/>
  <c r="AB141" i="3" s="1"/>
  <c r="H141" i="3"/>
  <c r="G141" i="3"/>
  <c r="F141" i="3"/>
  <c r="M141" i="3" s="1"/>
  <c r="Z140" i="3"/>
  <c r="Y140" i="3"/>
  <c r="U140" i="3"/>
  <c r="T140" i="3"/>
  <c r="P140" i="3"/>
  <c r="O140" i="3"/>
  <c r="K140" i="3"/>
  <c r="J140" i="3"/>
  <c r="I140" i="3"/>
  <c r="AB140" i="3" s="1"/>
  <c r="H140" i="3"/>
  <c r="G140" i="3"/>
  <c r="F140" i="3"/>
  <c r="Z139" i="3"/>
  <c r="Y139" i="3"/>
  <c r="U139" i="3"/>
  <c r="T139" i="3"/>
  <c r="P139" i="3"/>
  <c r="O139" i="3"/>
  <c r="K139" i="3"/>
  <c r="J139" i="3"/>
  <c r="I139" i="3"/>
  <c r="AB139" i="3" s="1"/>
  <c r="H139" i="3"/>
  <c r="G139" i="3"/>
  <c r="F139" i="3"/>
  <c r="Z138" i="3"/>
  <c r="Y138" i="3"/>
  <c r="U138" i="3"/>
  <c r="T138" i="3"/>
  <c r="P138" i="3"/>
  <c r="O138" i="3"/>
  <c r="K138" i="3"/>
  <c r="J138" i="3"/>
  <c r="I138" i="3"/>
  <c r="AB138" i="3" s="1"/>
  <c r="H138" i="3"/>
  <c r="G138" i="3"/>
  <c r="F138" i="3"/>
  <c r="Z137" i="3"/>
  <c r="Y137" i="3"/>
  <c r="U137" i="3"/>
  <c r="T137" i="3"/>
  <c r="P137" i="3"/>
  <c r="O137" i="3"/>
  <c r="K137" i="3"/>
  <c r="J137" i="3"/>
  <c r="I137" i="3"/>
  <c r="AB137" i="3" s="1"/>
  <c r="H137" i="3"/>
  <c r="G137" i="3"/>
  <c r="F137" i="3"/>
  <c r="Z136" i="3"/>
  <c r="Y136" i="3"/>
  <c r="U136" i="3"/>
  <c r="T136" i="3"/>
  <c r="P136" i="3"/>
  <c r="O136" i="3"/>
  <c r="K136" i="3"/>
  <c r="J136" i="3"/>
  <c r="I136" i="3"/>
  <c r="AB136" i="3" s="1"/>
  <c r="H136" i="3"/>
  <c r="G136" i="3"/>
  <c r="F136" i="3"/>
  <c r="Z135" i="3"/>
  <c r="Y135" i="3"/>
  <c r="U135" i="3"/>
  <c r="P135" i="3"/>
  <c r="O135" i="3"/>
  <c r="K135" i="3"/>
  <c r="J135" i="3"/>
  <c r="I135" i="3"/>
  <c r="H135" i="3"/>
  <c r="G135" i="3"/>
  <c r="F135" i="3"/>
  <c r="Z134" i="3"/>
  <c r="Y134" i="3"/>
  <c r="U134" i="3"/>
  <c r="T134" i="3"/>
  <c r="P134" i="3"/>
  <c r="O134" i="3"/>
  <c r="K134" i="3"/>
  <c r="J134" i="3"/>
  <c r="I134" i="3"/>
  <c r="AB134" i="3" s="1"/>
  <c r="H134" i="3"/>
  <c r="G134" i="3"/>
  <c r="F134" i="3"/>
  <c r="Z133" i="3"/>
  <c r="Y133" i="3"/>
  <c r="U133" i="3"/>
  <c r="T133" i="3"/>
  <c r="P133" i="3"/>
  <c r="O133" i="3"/>
  <c r="K133" i="3"/>
  <c r="J133" i="3"/>
  <c r="I133" i="3"/>
  <c r="AB133" i="3" s="1"/>
  <c r="H133" i="3"/>
  <c r="G133" i="3"/>
  <c r="F133" i="3"/>
  <c r="Z132" i="3"/>
  <c r="Y132" i="3"/>
  <c r="U132" i="3"/>
  <c r="T132" i="3"/>
  <c r="P132" i="3"/>
  <c r="O132" i="3"/>
  <c r="K132" i="3"/>
  <c r="J132" i="3"/>
  <c r="I132" i="3"/>
  <c r="AB132" i="3" s="1"/>
  <c r="H132" i="3"/>
  <c r="G132" i="3"/>
  <c r="F132" i="3"/>
  <c r="Z131" i="3"/>
  <c r="Y131" i="3"/>
  <c r="U131" i="3"/>
  <c r="P131" i="3"/>
  <c r="O131" i="3"/>
  <c r="K131" i="3"/>
  <c r="J131" i="3"/>
  <c r="I131" i="3"/>
  <c r="H131" i="3"/>
  <c r="G131" i="3"/>
  <c r="F131" i="3"/>
  <c r="Z130" i="3"/>
  <c r="U130" i="3"/>
  <c r="T130" i="3"/>
  <c r="P130" i="3"/>
  <c r="O130" i="3"/>
  <c r="K130" i="3"/>
  <c r="J130" i="3"/>
  <c r="I130" i="3"/>
  <c r="H130" i="3"/>
  <c r="G130" i="3"/>
  <c r="F130" i="3"/>
  <c r="Z129" i="3"/>
  <c r="Y129" i="3"/>
  <c r="U129" i="3"/>
  <c r="T129" i="3"/>
  <c r="P129" i="3"/>
  <c r="O129" i="3"/>
  <c r="K129" i="3"/>
  <c r="J129" i="3"/>
  <c r="I129" i="3"/>
  <c r="AB129" i="3" s="1"/>
  <c r="H129" i="3"/>
  <c r="G129" i="3"/>
  <c r="F129" i="3"/>
  <c r="Z128" i="3"/>
  <c r="Y128" i="3"/>
  <c r="U128" i="3"/>
  <c r="T128" i="3"/>
  <c r="P128" i="3"/>
  <c r="O128" i="3"/>
  <c r="K128" i="3"/>
  <c r="J128" i="3"/>
  <c r="I128" i="3"/>
  <c r="AB128" i="3" s="1"/>
  <c r="H128" i="3"/>
  <c r="G128" i="3"/>
  <c r="F128" i="3"/>
  <c r="Z127" i="3"/>
  <c r="Y127" i="3"/>
  <c r="U127" i="3"/>
  <c r="P127" i="3"/>
  <c r="O127" i="3"/>
  <c r="K127" i="3"/>
  <c r="J127" i="3"/>
  <c r="I127" i="3"/>
  <c r="H127" i="3"/>
  <c r="G127" i="3"/>
  <c r="F127" i="3"/>
  <c r="Z126" i="3"/>
  <c r="U126" i="3"/>
  <c r="T126" i="3"/>
  <c r="P126" i="3"/>
  <c r="O126" i="3"/>
  <c r="K126" i="3"/>
  <c r="J126" i="3"/>
  <c r="I126" i="3"/>
  <c r="H126" i="3"/>
  <c r="G126" i="3"/>
  <c r="F126" i="3"/>
  <c r="Z125" i="3"/>
  <c r="Y125" i="3"/>
  <c r="U125" i="3"/>
  <c r="T125" i="3"/>
  <c r="P125" i="3"/>
  <c r="O125" i="3"/>
  <c r="K125" i="3"/>
  <c r="J125" i="3"/>
  <c r="I125" i="3"/>
  <c r="AB125" i="3" s="1"/>
  <c r="H125" i="3"/>
  <c r="G125" i="3"/>
  <c r="F125" i="3"/>
  <c r="Z124" i="3"/>
  <c r="Y124" i="3"/>
  <c r="U124" i="3"/>
  <c r="T124" i="3"/>
  <c r="P124" i="3"/>
  <c r="O124" i="3"/>
  <c r="K124" i="3"/>
  <c r="J124" i="3"/>
  <c r="I124" i="3"/>
  <c r="AB124" i="3" s="1"/>
  <c r="H124" i="3"/>
  <c r="G124" i="3"/>
  <c r="F124" i="3"/>
  <c r="Z123" i="3"/>
  <c r="Y123" i="3"/>
  <c r="U123" i="3"/>
  <c r="P123" i="3"/>
  <c r="O123" i="3"/>
  <c r="K123" i="3"/>
  <c r="J123" i="3"/>
  <c r="I123" i="3"/>
  <c r="H123" i="3"/>
  <c r="G123" i="3"/>
  <c r="F123" i="3"/>
  <c r="Z122" i="3"/>
  <c r="U122" i="3"/>
  <c r="T122" i="3"/>
  <c r="P122" i="3"/>
  <c r="O122" i="3"/>
  <c r="K122" i="3"/>
  <c r="J122" i="3"/>
  <c r="I122" i="3"/>
  <c r="H122" i="3"/>
  <c r="G122" i="3"/>
  <c r="F122" i="3"/>
  <c r="Z121" i="3"/>
  <c r="Y121" i="3"/>
  <c r="U121" i="3"/>
  <c r="T121" i="3"/>
  <c r="P121" i="3"/>
  <c r="O121" i="3"/>
  <c r="K121" i="3"/>
  <c r="J121" i="3"/>
  <c r="I121" i="3"/>
  <c r="AB121" i="3" s="1"/>
  <c r="H121" i="3"/>
  <c r="G121" i="3"/>
  <c r="F121" i="3"/>
  <c r="Z120" i="3"/>
  <c r="Y120" i="3"/>
  <c r="U120" i="3"/>
  <c r="T120" i="3"/>
  <c r="P120" i="3"/>
  <c r="O120" i="3"/>
  <c r="K120" i="3"/>
  <c r="J120" i="3"/>
  <c r="I120" i="3"/>
  <c r="AB120" i="3" s="1"/>
  <c r="H120" i="3"/>
  <c r="G120" i="3"/>
  <c r="F120" i="3"/>
  <c r="Z119" i="3"/>
  <c r="Y119" i="3"/>
  <c r="U119" i="3"/>
  <c r="P119" i="3"/>
  <c r="O119" i="3"/>
  <c r="K119" i="3"/>
  <c r="J119" i="3"/>
  <c r="I119" i="3"/>
  <c r="H119" i="3"/>
  <c r="G119" i="3"/>
  <c r="F119" i="3"/>
  <c r="Z118" i="3"/>
  <c r="Y118" i="3"/>
  <c r="U118" i="3"/>
  <c r="T118" i="3"/>
  <c r="P118" i="3"/>
  <c r="O118" i="3"/>
  <c r="K118" i="3"/>
  <c r="I118" i="3"/>
  <c r="AB118" i="3" s="1"/>
  <c r="H118" i="3"/>
  <c r="G118" i="3"/>
  <c r="F118" i="3"/>
  <c r="Z117" i="3"/>
  <c r="Y117" i="3"/>
  <c r="U117" i="3"/>
  <c r="T117" i="3"/>
  <c r="P117" i="3"/>
  <c r="O117" i="3"/>
  <c r="K117" i="3"/>
  <c r="J117" i="3"/>
  <c r="I117" i="3"/>
  <c r="AB117" i="3" s="1"/>
  <c r="H117" i="3"/>
  <c r="G117" i="3"/>
  <c r="F117" i="3"/>
  <c r="Z116" i="3"/>
  <c r="Y116" i="3"/>
  <c r="U116" i="3"/>
  <c r="T116" i="3"/>
  <c r="P116" i="3"/>
  <c r="O116" i="3"/>
  <c r="K116" i="3"/>
  <c r="J116" i="3"/>
  <c r="I116" i="3"/>
  <c r="AB116" i="3" s="1"/>
  <c r="H116" i="3"/>
  <c r="G116" i="3"/>
  <c r="F116" i="3"/>
  <c r="Z115" i="3"/>
  <c r="Y115" i="3"/>
  <c r="U115" i="3"/>
  <c r="P115" i="3"/>
  <c r="O115" i="3"/>
  <c r="K115" i="3"/>
  <c r="J115" i="3"/>
  <c r="I115" i="3"/>
  <c r="H115" i="3"/>
  <c r="G115" i="3"/>
  <c r="F115" i="3"/>
  <c r="Z114" i="3"/>
  <c r="Y114" i="3"/>
  <c r="U114" i="3"/>
  <c r="T114" i="3"/>
  <c r="P114" i="3"/>
  <c r="O114" i="3"/>
  <c r="K114" i="3"/>
  <c r="J114" i="3"/>
  <c r="I114" i="3"/>
  <c r="AB114" i="3" s="1"/>
  <c r="H114" i="3"/>
  <c r="G114" i="3"/>
  <c r="F114" i="3"/>
  <c r="Z113" i="3"/>
  <c r="Y113" i="3"/>
  <c r="U113" i="3"/>
  <c r="T113" i="3"/>
  <c r="P113" i="3"/>
  <c r="O113" i="3"/>
  <c r="K113" i="3"/>
  <c r="J113" i="3"/>
  <c r="I113" i="3"/>
  <c r="AB113" i="3" s="1"/>
  <c r="H113" i="3"/>
  <c r="G113" i="3"/>
  <c r="F113" i="3"/>
  <c r="Z112" i="3"/>
  <c r="Y112" i="3"/>
  <c r="U112" i="3"/>
  <c r="T112" i="3"/>
  <c r="P112" i="3"/>
  <c r="O112" i="3"/>
  <c r="K112" i="3"/>
  <c r="J112" i="3"/>
  <c r="I112" i="3"/>
  <c r="AB112" i="3" s="1"/>
  <c r="H112" i="3"/>
  <c r="G112" i="3"/>
  <c r="F112" i="3"/>
  <c r="Z111" i="3"/>
  <c r="Y111" i="3"/>
  <c r="U111" i="3"/>
  <c r="P111" i="3"/>
  <c r="O111" i="3"/>
  <c r="K111" i="3"/>
  <c r="J111" i="3"/>
  <c r="I111" i="3"/>
  <c r="H111" i="3"/>
  <c r="G111" i="3"/>
  <c r="F111" i="3"/>
  <c r="Z110" i="3"/>
  <c r="U110" i="3"/>
  <c r="P110" i="3"/>
  <c r="O110" i="3"/>
  <c r="K110" i="3"/>
  <c r="J110" i="3"/>
  <c r="I110" i="3"/>
  <c r="H110" i="3"/>
  <c r="G110" i="3"/>
  <c r="F110" i="3"/>
  <c r="Z109" i="3"/>
  <c r="Y109" i="3"/>
  <c r="U109" i="3"/>
  <c r="T109" i="3"/>
  <c r="P109" i="3"/>
  <c r="O109" i="3"/>
  <c r="K109" i="3"/>
  <c r="J109" i="3"/>
  <c r="I109" i="3"/>
  <c r="AB109" i="3" s="1"/>
  <c r="H109" i="3"/>
  <c r="G109" i="3"/>
  <c r="F109" i="3"/>
  <c r="Z108" i="3"/>
  <c r="Y108" i="3"/>
  <c r="U108" i="3"/>
  <c r="T108" i="3"/>
  <c r="P108" i="3"/>
  <c r="O108" i="3"/>
  <c r="K108" i="3"/>
  <c r="J108" i="3"/>
  <c r="I108" i="3"/>
  <c r="AB108" i="3" s="1"/>
  <c r="H108" i="3"/>
  <c r="G108" i="3"/>
  <c r="F108" i="3"/>
  <c r="Z107" i="3"/>
  <c r="Y107" i="3"/>
  <c r="U107" i="3"/>
  <c r="T107" i="3"/>
  <c r="P107" i="3"/>
  <c r="O107" i="3"/>
  <c r="K107" i="3"/>
  <c r="J107" i="3"/>
  <c r="I107" i="3"/>
  <c r="AB107" i="3" s="1"/>
  <c r="H107" i="3"/>
  <c r="G107" i="3"/>
  <c r="F107" i="3"/>
  <c r="Z106" i="3"/>
  <c r="U106" i="3"/>
  <c r="T106" i="3"/>
  <c r="P106" i="3"/>
  <c r="O106" i="3"/>
  <c r="K106" i="3"/>
  <c r="J106" i="3"/>
  <c r="I106" i="3"/>
  <c r="H106" i="3"/>
  <c r="G106" i="3"/>
  <c r="F106" i="3"/>
  <c r="Z105" i="3"/>
  <c r="Y105" i="3"/>
  <c r="U105" i="3"/>
  <c r="T105" i="3"/>
  <c r="P105" i="3"/>
  <c r="O105" i="3"/>
  <c r="K105" i="3"/>
  <c r="J105" i="3"/>
  <c r="I105" i="3"/>
  <c r="H105" i="3"/>
  <c r="G105" i="3"/>
  <c r="F105" i="3"/>
  <c r="Z104" i="3"/>
  <c r="Y104" i="3"/>
  <c r="U104" i="3"/>
  <c r="T104" i="3"/>
  <c r="P104" i="3"/>
  <c r="O104" i="3"/>
  <c r="K104" i="3"/>
  <c r="J104" i="3"/>
  <c r="I104" i="3"/>
  <c r="AB104" i="3" s="1"/>
  <c r="H104" i="3"/>
  <c r="G104" i="3"/>
  <c r="F104" i="3"/>
  <c r="Z103" i="3"/>
  <c r="U103" i="3"/>
  <c r="T103" i="3"/>
  <c r="P103" i="3"/>
  <c r="O103" i="3"/>
  <c r="K103" i="3"/>
  <c r="J103" i="3"/>
  <c r="I103" i="3"/>
  <c r="H103" i="3"/>
  <c r="G103" i="3"/>
  <c r="F103" i="3"/>
  <c r="Z102" i="3"/>
  <c r="U102" i="3"/>
  <c r="T102" i="3"/>
  <c r="P102" i="3"/>
  <c r="O102" i="3"/>
  <c r="K102" i="3"/>
  <c r="J102" i="3"/>
  <c r="I102" i="3"/>
  <c r="H102" i="3"/>
  <c r="G102" i="3"/>
  <c r="F102" i="3"/>
  <c r="Z101" i="3"/>
  <c r="Y101" i="3"/>
  <c r="U101" i="3"/>
  <c r="T101" i="3"/>
  <c r="P101" i="3"/>
  <c r="O101" i="3"/>
  <c r="K101" i="3"/>
  <c r="J101" i="3"/>
  <c r="I101" i="3"/>
  <c r="H101" i="3"/>
  <c r="G101" i="3"/>
  <c r="F101" i="3"/>
  <c r="Z100" i="3"/>
  <c r="Y100" i="3"/>
  <c r="U100" i="3"/>
  <c r="T100" i="3"/>
  <c r="P100" i="3"/>
  <c r="O100" i="3"/>
  <c r="K100" i="3"/>
  <c r="J100" i="3"/>
  <c r="I100" i="3"/>
  <c r="H100" i="3"/>
  <c r="G100" i="3"/>
  <c r="F100" i="3"/>
  <c r="Z99" i="3"/>
  <c r="Y99" i="3"/>
  <c r="U99" i="3"/>
  <c r="T99" i="3"/>
  <c r="P99" i="3"/>
  <c r="O99" i="3"/>
  <c r="K99" i="3"/>
  <c r="J99" i="3"/>
  <c r="I99" i="3"/>
  <c r="H99" i="3"/>
  <c r="G99" i="3"/>
  <c r="F99" i="3"/>
  <c r="Z98" i="3"/>
  <c r="U98" i="3"/>
  <c r="P98" i="3"/>
  <c r="O98" i="3"/>
  <c r="K98" i="3"/>
  <c r="J98" i="3"/>
  <c r="I98" i="3"/>
  <c r="H98" i="3"/>
  <c r="G98" i="3"/>
  <c r="F98" i="3"/>
  <c r="Z97" i="3"/>
  <c r="Y97" i="3"/>
  <c r="U97" i="3"/>
  <c r="T97" i="3"/>
  <c r="P97" i="3"/>
  <c r="O97" i="3"/>
  <c r="K97" i="3"/>
  <c r="J97" i="3"/>
  <c r="I97" i="3"/>
  <c r="H97" i="3"/>
  <c r="G97" i="3"/>
  <c r="F97" i="3"/>
  <c r="Z96" i="3"/>
  <c r="Y96" i="3"/>
  <c r="U96" i="3"/>
  <c r="T96" i="3"/>
  <c r="P96" i="3"/>
  <c r="O96" i="3"/>
  <c r="K96" i="3"/>
  <c r="J96" i="3"/>
  <c r="I96" i="3"/>
  <c r="AB96" i="3" s="1"/>
  <c r="H96" i="3"/>
  <c r="G96" i="3"/>
  <c r="F96" i="3"/>
  <c r="Z95" i="3"/>
  <c r="Y95" i="3"/>
  <c r="U95" i="3"/>
  <c r="T95" i="3"/>
  <c r="P95" i="3"/>
  <c r="O95" i="3"/>
  <c r="K95" i="3"/>
  <c r="J95" i="3"/>
  <c r="I95" i="3"/>
  <c r="H95" i="3"/>
  <c r="G95" i="3"/>
  <c r="F95" i="3"/>
  <c r="Z94" i="3"/>
  <c r="Y94" i="3"/>
  <c r="U94" i="3"/>
  <c r="T94" i="3"/>
  <c r="P94" i="3"/>
  <c r="O94" i="3"/>
  <c r="K94" i="3"/>
  <c r="J94" i="3"/>
  <c r="I94" i="3"/>
  <c r="H94" i="3"/>
  <c r="G94" i="3"/>
  <c r="F94" i="3"/>
  <c r="Z93" i="3"/>
  <c r="Y93" i="3"/>
  <c r="U93" i="3"/>
  <c r="T93" i="3"/>
  <c r="P93" i="3"/>
  <c r="O93" i="3"/>
  <c r="K93" i="3"/>
  <c r="J93" i="3"/>
  <c r="I93" i="3"/>
  <c r="H93" i="3"/>
  <c r="G93" i="3"/>
  <c r="F93" i="3"/>
  <c r="Z92" i="3"/>
  <c r="U92" i="3"/>
  <c r="T92" i="3"/>
  <c r="P92" i="3"/>
  <c r="O92" i="3"/>
  <c r="K92" i="3"/>
  <c r="J92" i="3"/>
  <c r="I92" i="3"/>
  <c r="H92" i="3"/>
  <c r="G92" i="3"/>
  <c r="F92" i="3"/>
  <c r="Z91" i="3"/>
  <c r="Y91" i="3"/>
  <c r="U91" i="3"/>
  <c r="T91" i="3"/>
  <c r="P91" i="3"/>
  <c r="O91" i="3"/>
  <c r="K91" i="3"/>
  <c r="J91" i="3"/>
  <c r="I91" i="3"/>
  <c r="H91" i="3"/>
  <c r="G91" i="3"/>
  <c r="F91" i="3"/>
  <c r="Z90" i="3"/>
  <c r="Y90" i="3"/>
  <c r="U90" i="3"/>
  <c r="T90" i="3"/>
  <c r="P90" i="3"/>
  <c r="O90" i="3"/>
  <c r="K90" i="3"/>
  <c r="J90" i="3"/>
  <c r="I90" i="3"/>
  <c r="AB90" i="3" s="1"/>
  <c r="H90" i="3"/>
  <c r="G90" i="3"/>
  <c r="F90" i="3"/>
  <c r="Z89" i="3"/>
  <c r="Y89" i="3"/>
  <c r="U89" i="3"/>
  <c r="T89" i="3"/>
  <c r="P89" i="3"/>
  <c r="O89" i="3"/>
  <c r="K89" i="3"/>
  <c r="J89" i="3"/>
  <c r="I89" i="3"/>
  <c r="H89" i="3"/>
  <c r="G89" i="3"/>
  <c r="F89" i="3"/>
  <c r="Z88" i="3"/>
  <c r="Y88" i="3"/>
  <c r="U88" i="3"/>
  <c r="T88" i="3"/>
  <c r="P88" i="3"/>
  <c r="O88" i="3"/>
  <c r="K88" i="3"/>
  <c r="J88" i="3"/>
  <c r="I88" i="3"/>
  <c r="AB88" i="3" s="1"/>
  <c r="H88" i="3"/>
  <c r="G88" i="3"/>
  <c r="R88" i="3" s="1"/>
  <c r="F88" i="3"/>
  <c r="Z87" i="3"/>
  <c r="Y87" i="3"/>
  <c r="U87" i="3"/>
  <c r="P87" i="3"/>
  <c r="O87" i="3"/>
  <c r="K87" i="3"/>
  <c r="J87" i="3"/>
  <c r="I87" i="3"/>
  <c r="H87" i="3"/>
  <c r="G87" i="3"/>
  <c r="F87" i="3"/>
  <c r="Z86" i="3"/>
  <c r="Y86" i="3"/>
  <c r="U86" i="3"/>
  <c r="T86" i="3"/>
  <c r="P86" i="3"/>
  <c r="O86" i="3"/>
  <c r="K86" i="3"/>
  <c r="J86" i="3"/>
  <c r="I86" i="3"/>
  <c r="AB86" i="3" s="1"/>
  <c r="H86" i="3"/>
  <c r="G86" i="3"/>
  <c r="F86" i="3"/>
  <c r="Z85" i="3"/>
  <c r="Y85" i="3"/>
  <c r="U85" i="3"/>
  <c r="T85" i="3"/>
  <c r="P85" i="3"/>
  <c r="O85" i="3"/>
  <c r="K85" i="3"/>
  <c r="J85" i="3"/>
  <c r="I85" i="3"/>
  <c r="H85" i="3"/>
  <c r="G85" i="3"/>
  <c r="F85" i="3"/>
  <c r="Z84" i="3"/>
  <c r="Y84" i="3"/>
  <c r="U84" i="3"/>
  <c r="T84" i="3"/>
  <c r="P84" i="3"/>
  <c r="O84" i="3"/>
  <c r="K84" i="3"/>
  <c r="J84" i="3"/>
  <c r="I84" i="3"/>
  <c r="AB84" i="3" s="1"/>
  <c r="H84" i="3"/>
  <c r="G84" i="3"/>
  <c r="F84" i="3"/>
  <c r="Z83" i="3"/>
  <c r="Y83" i="3"/>
  <c r="U83" i="3"/>
  <c r="T83" i="3"/>
  <c r="P83" i="3"/>
  <c r="O83" i="3"/>
  <c r="K83" i="3"/>
  <c r="J83" i="3"/>
  <c r="I83" i="3"/>
  <c r="H83" i="3"/>
  <c r="G83" i="3"/>
  <c r="F83" i="3"/>
  <c r="Z82" i="3"/>
  <c r="Y82" i="3"/>
  <c r="U82" i="3"/>
  <c r="T82" i="3"/>
  <c r="P82" i="3"/>
  <c r="O82" i="3"/>
  <c r="K82" i="3"/>
  <c r="J82" i="3"/>
  <c r="I82" i="3"/>
  <c r="AB82" i="3" s="1"/>
  <c r="H82" i="3"/>
  <c r="G82" i="3"/>
  <c r="F82" i="3"/>
  <c r="M82" i="3" s="1"/>
  <c r="Z81" i="3"/>
  <c r="Y81" i="3"/>
  <c r="U81" i="3"/>
  <c r="T81" i="3"/>
  <c r="P81" i="3"/>
  <c r="O81" i="3"/>
  <c r="K81" i="3"/>
  <c r="J81" i="3"/>
  <c r="I81" i="3"/>
  <c r="H81" i="3"/>
  <c r="G81" i="3"/>
  <c r="F81" i="3"/>
  <c r="M81" i="3" s="1"/>
  <c r="Z80" i="3"/>
  <c r="Y80" i="3"/>
  <c r="U80" i="3"/>
  <c r="T80" i="3"/>
  <c r="P80" i="3"/>
  <c r="O80" i="3"/>
  <c r="K80" i="3"/>
  <c r="J80" i="3"/>
  <c r="I80" i="3"/>
  <c r="H80" i="3"/>
  <c r="G80" i="3"/>
  <c r="F80" i="3"/>
  <c r="Z79" i="3"/>
  <c r="Y79" i="3"/>
  <c r="U79" i="3"/>
  <c r="T79" i="3"/>
  <c r="P79" i="3"/>
  <c r="O79" i="3"/>
  <c r="K79" i="3"/>
  <c r="J79" i="3"/>
  <c r="I79" i="3"/>
  <c r="H79" i="3"/>
  <c r="G79" i="3"/>
  <c r="F79" i="3"/>
  <c r="Z78" i="3"/>
  <c r="U78" i="3"/>
  <c r="T78" i="3"/>
  <c r="P78" i="3"/>
  <c r="O78" i="3"/>
  <c r="K78" i="3"/>
  <c r="J78" i="3"/>
  <c r="I78" i="3"/>
  <c r="H78" i="3"/>
  <c r="G78" i="3"/>
  <c r="F78" i="3"/>
  <c r="Z77" i="3"/>
  <c r="Y77" i="3"/>
  <c r="U77" i="3"/>
  <c r="T77" i="3"/>
  <c r="P77" i="3"/>
  <c r="O77" i="3"/>
  <c r="K77" i="3"/>
  <c r="J77" i="3"/>
  <c r="I77" i="3"/>
  <c r="H77" i="3"/>
  <c r="G77" i="3"/>
  <c r="F77" i="3"/>
  <c r="Z76" i="3"/>
  <c r="U76" i="3"/>
  <c r="P76" i="3"/>
  <c r="O76" i="3"/>
  <c r="K76" i="3"/>
  <c r="J76" i="3"/>
  <c r="I76" i="3"/>
  <c r="H76" i="3"/>
  <c r="G76" i="3"/>
  <c r="F76" i="3"/>
  <c r="Z75" i="3"/>
  <c r="Y75" i="3"/>
  <c r="U75" i="3"/>
  <c r="T75" i="3"/>
  <c r="P75" i="3"/>
  <c r="O75" i="3"/>
  <c r="K75" i="3"/>
  <c r="J75" i="3"/>
  <c r="I75" i="3"/>
  <c r="H75" i="3"/>
  <c r="G75" i="3"/>
  <c r="F75" i="3"/>
  <c r="Z74" i="3"/>
  <c r="Y74" i="3"/>
  <c r="U74" i="3"/>
  <c r="T74" i="3"/>
  <c r="P74" i="3"/>
  <c r="O74" i="3"/>
  <c r="K74" i="3"/>
  <c r="J74" i="3"/>
  <c r="I74" i="3"/>
  <c r="H74" i="3"/>
  <c r="G74" i="3"/>
  <c r="F74" i="3"/>
  <c r="Z73" i="3"/>
  <c r="Y73" i="3"/>
  <c r="U73" i="3"/>
  <c r="T73" i="3"/>
  <c r="P73" i="3"/>
  <c r="O73" i="3"/>
  <c r="K73" i="3"/>
  <c r="J73" i="3"/>
  <c r="I73" i="3"/>
  <c r="H73" i="3"/>
  <c r="G73" i="3"/>
  <c r="F73" i="3"/>
  <c r="Z72" i="3"/>
  <c r="Y72" i="3"/>
  <c r="U72" i="3"/>
  <c r="P72" i="3"/>
  <c r="O72" i="3"/>
  <c r="K72" i="3"/>
  <c r="J72" i="3"/>
  <c r="I72" i="3"/>
  <c r="H72" i="3"/>
  <c r="G72" i="3"/>
  <c r="F72" i="3"/>
  <c r="Z71" i="3"/>
  <c r="Y71" i="3"/>
  <c r="U71" i="3"/>
  <c r="T71" i="3"/>
  <c r="P71" i="3"/>
  <c r="O71" i="3"/>
  <c r="K71" i="3"/>
  <c r="J71" i="3"/>
  <c r="I71" i="3"/>
  <c r="H71" i="3"/>
  <c r="G71" i="3"/>
  <c r="F71" i="3"/>
  <c r="Z70" i="3"/>
  <c r="Y70" i="3"/>
  <c r="U70" i="3"/>
  <c r="T70" i="3"/>
  <c r="P70" i="3"/>
  <c r="O70" i="3"/>
  <c r="K70" i="3"/>
  <c r="J70" i="3"/>
  <c r="I70" i="3"/>
  <c r="AB70" i="3" s="1"/>
  <c r="H70" i="3"/>
  <c r="G70" i="3"/>
  <c r="F70" i="3"/>
  <c r="Z69" i="3"/>
  <c r="Y69" i="3"/>
  <c r="U69" i="3"/>
  <c r="T69" i="3"/>
  <c r="P69" i="3"/>
  <c r="O69" i="3"/>
  <c r="K69" i="3"/>
  <c r="J69" i="3"/>
  <c r="I69" i="3"/>
  <c r="H69" i="3"/>
  <c r="G69" i="3"/>
  <c r="F69" i="3"/>
  <c r="Z68" i="3"/>
  <c r="U68" i="3"/>
  <c r="P68" i="3"/>
  <c r="O68" i="3"/>
  <c r="K68" i="3"/>
  <c r="J68" i="3"/>
  <c r="I68" i="3"/>
  <c r="H68" i="3"/>
  <c r="G68" i="3"/>
  <c r="F68" i="3"/>
  <c r="Z67" i="3"/>
  <c r="Y67" i="3"/>
  <c r="U67" i="3"/>
  <c r="T67" i="3"/>
  <c r="P67" i="3"/>
  <c r="O67" i="3"/>
  <c r="K67" i="3"/>
  <c r="J67" i="3"/>
  <c r="I67" i="3"/>
  <c r="H67" i="3"/>
  <c r="G67" i="3"/>
  <c r="F67" i="3"/>
  <c r="Z66" i="3"/>
  <c r="Y66" i="3"/>
  <c r="U66" i="3"/>
  <c r="T66" i="3"/>
  <c r="P66" i="3"/>
  <c r="O66" i="3"/>
  <c r="K66" i="3"/>
  <c r="J66" i="3"/>
  <c r="I66" i="3"/>
  <c r="AB66" i="3" s="1"/>
  <c r="H66" i="3"/>
  <c r="G66" i="3"/>
  <c r="F66" i="3"/>
  <c r="Z65" i="3"/>
  <c r="Y65" i="3"/>
  <c r="U65" i="3"/>
  <c r="P65" i="3"/>
  <c r="O65" i="3"/>
  <c r="K65" i="3"/>
  <c r="J65" i="3"/>
  <c r="I65" i="3"/>
  <c r="H65" i="3"/>
  <c r="G65" i="3"/>
  <c r="F65" i="3"/>
  <c r="Z64" i="3"/>
  <c r="Y64" i="3"/>
  <c r="U64" i="3"/>
  <c r="T64" i="3"/>
  <c r="P64" i="3"/>
  <c r="O64" i="3"/>
  <c r="K64" i="3"/>
  <c r="J64" i="3"/>
  <c r="I64" i="3"/>
  <c r="AB64" i="3" s="1"/>
  <c r="H64" i="3"/>
  <c r="G64" i="3"/>
  <c r="R64" i="3" s="1"/>
  <c r="F64" i="3"/>
  <c r="Z63" i="3"/>
  <c r="Y63" i="3"/>
  <c r="U63" i="3"/>
  <c r="T63" i="3"/>
  <c r="P63" i="3"/>
  <c r="O63" i="3"/>
  <c r="K63" i="3"/>
  <c r="J63" i="3"/>
  <c r="I63" i="3"/>
  <c r="H63" i="3"/>
  <c r="G63" i="3"/>
  <c r="R63" i="3" s="1"/>
  <c r="F63" i="3"/>
  <c r="Z62" i="3"/>
  <c r="Y62" i="3"/>
  <c r="U62" i="3"/>
  <c r="T62" i="3"/>
  <c r="P62" i="3"/>
  <c r="O62" i="3"/>
  <c r="K62" i="3"/>
  <c r="J62" i="3"/>
  <c r="I62" i="3"/>
  <c r="AB62" i="3" s="1"/>
  <c r="H62" i="3"/>
  <c r="G62" i="3"/>
  <c r="R62" i="3" s="1"/>
  <c r="F62" i="3"/>
  <c r="Z61" i="3"/>
  <c r="U61" i="3"/>
  <c r="P61" i="3"/>
  <c r="O61" i="3"/>
  <c r="K61" i="3"/>
  <c r="J61" i="3"/>
  <c r="I61" i="3"/>
  <c r="H61" i="3"/>
  <c r="G61" i="3"/>
  <c r="F61" i="3"/>
  <c r="Z60" i="3"/>
  <c r="Y60" i="3"/>
  <c r="U60" i="3"/>
  <c r="T60" i="3"/>
  <c r="P60" i="3"/>
  <c r="O60" i="3"/>
  <c r="K60" i="3"/>
  <c r="J60" i="3"/>
  <c r="I60" i="3"/>
  <c r="AB60" i="3" s="1"/>
  <c r="H60" i="3"/>
  <c r="G60" i="3"/>
  <c r="F60" i="3"/>
  <c r="M60" i="3" s="1"/>
  <c r="Z59" i="3"/>
  <c r="Y59" i="3"/>
  <c r="U59" i="3"/>
  <c r="T59" i="3"/>
  <c r="P59" i="3"/>
  <c r="O59" i="3"/>
  <c r="K59" i="3"/>
  <c r="J59" i="3"/>
  <c r="I59" i="3"/>
  <c r="H59" i="3"/>
  <c r="G59" i="3"/>
  <c r="F59" i="3"/>
  <c r="M59" i="3" s="1"/>
  <c r="Z58" i="3"/>
  <c r="U58" i="3"/>
  <c r="T58" i="3"/>
  <c r="P58" i="3"/>
  <c r="O58" i="3"/>
  <c r="K58" i="3"/>
  <c r="J58" i="3"/>
  <c r="I58" i="3"/>
  <c r="H58" i="3"/>
  <c r="G58" i="3"/>
  <c r="F58" i="3"/>
  <c r="Z57" i="3"/>
  <c r="Y57" i="3"/>
  <c r="U57" i="3"/>
  <c r="P57" i="3"/>
  <c r="O57" i="3"/>
  <c r="K57" i="3"/>
  <c r="J57" i="3"/>
  <c r="I57" i="3"/>
  <c r="H57" i="3"/>
  <c r="G57" i="3"/>
  <c r="F57" i="3"/>
  <c r="Z56" i="3"/>
  <c r="Y56" i="3"/>
  <c r="U56" i="3"/>
  <c r="T56" i="3"/>
  <c r="P56" i="3"/>
  <c r="O56" i="3"/>
  <c r="I56" i="3"/>
  <c r="H56" i="3"/>
  <c r="G56" i="3"/>
  <c r="R56" i="3" s="1"/>
  <c r="F56" i="3"/>
  <c r="Z55" i="3"/>
  <c r="Y55" i="3"/>
  <c r="U55" i="3"/>
  <c r="T55" i="3"/>
  <c r="P55" i="3"/>
  <c r="O55" i="3"/>
  <c r="K55" i="3"/>
  <c r="I55" i="3"/>
  <c r="H55" i="3"/>
  <c r="G55" i="3"/>
  <c r="F55" i="3"/>
  <c r="Z54" i="3"/>
  <c r="Y54" i="3"/>
  <c r="U54" i="3"/>
  <c r="T54" i="3"/>
  <c r="P54" i="3"/>
  <c r="O54" i="3"/>
  <c r="I54" i="3"/>
  <c r="H54" i="3"/>
  <c r="G54" i="3"/>
  <c r="R54" i="3" s="1"/>
  <c r="F54" i="3"/>
  <c r="Z53" i="3"/>
  <c r="Y53" i="3"/>
  <c r="U53" i="3"/>
  <c r="P53" i="3"/>
  <c r="O53" i="3"/>
  <c r="K53" i="3"/>
  <c r="J53" i="3"/>
  <c r="I53" i="3"/>
  <c r="H53" i="3"/>
  <c r="G53" i="3"/>
  <c r="F53" i="3"/>
  <c r="Z52" i="3"/>
  <c r="Y52" i="3"/>
  <c r="U52" i="3"/>
  <c r="T52" i="3"/>
  <c r="P52" i="3"/>
  <c r="O52" i="3"/>
  <c r="K52" i="3"/>
  <c r="J52" i="3"/>
  <c r="I52" i="3"/>
  <c r="AB52" i="3" s="1"/>
  <c r="H52" i="3"/>
  <c r="G52" i="3"/>
  <c r="F52" i="3"/>
  <c r="Z51" i="3"/>
  <c r="Y51" i="3"/>
  <c r="U51" i="3"/>
  <c r="T51" i="3"/>
  <c r="P51" i="3"/>
  <c r="O51" i="3"/>
  <c r="K51" i="3"/>
  <c r="J51" i="3"/>
  <c r="I51" i="3"/>
  <c r="H51" i="3"/>
  <c r="G51" i="3"/>
  <c r="F51" i="3"/>
  <c r="Z50" i="3"/>
  <c r="U50" i="3"/>
  <c r="T50" i="3"/>
  <c r="P50" i="3"/>
  <c r="O50" i="3"/>
  <c r="K50" i="3"/>
  <c r="J50" i="3"/>
  <c r="I50" i="3"/>
  <c r="H50" i="3"/>
  <c r="G50" i="3"/>
  <c r="F50" i="3"/>
  <c r="Z49" i="3"/>
  <c r="Y49" i="3"/>
  <c r="U49" i="3"/>
  <c r="P49" i="3"/>
  <c r="O49" i="3"/>
  <c r="K49" i="3"/>
  <c r="J49" i="3"/>
  <c r="I49" i="3"/>
  <c r="H49" i="3"/>
  <c r="G49" i="3"/>
  <c r="F49" i="3"/>
  <c r="Z48" i="3"/>
  <c r="Y48" i="3"/>
  <c r="U48" i="3"/>
  <c r="T48" i="3"/>
  <c r="P48" i="3"/>
  <c r="O48" i="3"/>
  <c r="I48" i="3"/>
  <c r="H48" i="3"/>
  <c r="G48" i="3"/>
  <c r="R48" i="3" s="1"/>
  <c r="F48" i="3"/>
  <c r="Z47" i="3"/>
  <c r="Y47" i="3"/>
  <c r="U47" i="3"/>
  <c r="T47" i="3"/>
  <c r="P47" i="3"/>
  <c r="O47" i="3"/>
  <c r="K47" i="3"/>
  <c r="J47" i="3"/>
  <c r="I47" i="3"/>
  <c r="H47" i="3"/>
  <c r="G47" i="3"/>
  <c r="F47" i="3"/>
  <c r="Z46" i="3"/>
  <c r="U46" i="3"/>
  <c r="T46" i="3"/>
  <c r="P46" i="3"/>
  <c r="O46" i="3"/>
  <c r="K46" i="3"/>
  <c r="J46" i="3"/>
  <c r="I46" i="3"/>
  <c r="H46" i="3"/>
  <c r="G46" i="3"/>
  <c r="F46" i="3"/>
  <c r="Z45" i="3"/>
  <c r="Y45" i="3"/>
  <c r="U45" i="3"/>
  <c r="P45" i="3"/>
  <c r="O45" i="3"/>
  <c r="K45" i="3"/>
  <c r="J45" i="3"/>
  <c r="I45" i="3"/>
  <c r="H45" i="3"/>
  <c r="G45" i="3"/>
  <c r="F45" i="3"/>
  <c r="Z44" i="3"/>
  <c r="U44" i="3"/>
  <c r="T44" i="3"/>
  <c r="P44" i="3"/>
  <c r="O44" i="3"/>
  <c r="K44" i="3"/>
  <c r="J44" i="3"/>
  <c r="I44" i="3"/>
  <c r="H44" i="3"/>
  <c r="G44" i="3"/>
  <c r="F44" i="3"/>
  <c r="Z43" i="3"/>
  <c r="Y43" i="3"/>
  <c r="U43" i="3"/>
  <c r="T43" i="3"/>
  <c r="P43" i="3"/>
  <c r="O43" i="3"/>
  <c r="K43" i="3"/>
  <c r="J43" i="3"/>
  <c r="I43" i="3"/>
  <c r="H43" i="3"/>
  <c r="G43" i="3"/>
  <c r="F43" i="3"/>
  <c r="Z42" i="3"/>
  <c r="Y42" i="3"/>
  <c r="U42" i="3"/>
  <c r="T42" i="3"/>
  <c r="P42" i="3"/>
  <c r="O42" i="3"/>
  <c r="K42" i="3"/>
  <c r="J42" i="3"/>
  <c r="I42" i="3"/>
  <c r="AB42" i="3" s="1"/>
  <c r="H42" i="3"/>
  <c r="G42" i="3"/>
  <c r="F42" i="3"/>
  <c r="Z41" i="3"/>
  <c r="U41" i="3"/>
  <c r="T41" i="3"/>
  <c r="P41" i="3"/>
  <c r="O41" i="3"/>
  <c r="I41" i="3"/>
  <c r="H41" i="3"/>
  <c r="G41" i="3"/>
  <c r="F41" i="3"/>
  <c r="M41" i="3" s="1"/>
  <c r="Z40" i="3"/>
  <c r="U40" i="3"/>
  <c r="T40" i="3"/>
  <c r="P40" i="3"/>
  <c r="O40" i="3"/>
  <c r="I40" i="3"/>
  <c r="H40" i="3"/>
  <c r="G40" i="3"/>
  <c r="R40" i="3" s="1"/>
  <c r="F40" i="3"/>
  <c r="Z39" i="3"/>
  <c r="Y39" i="3"/>
  <c r="U39" i="3"/>
  <c r="T39" i="3"/>
  <c r="P39" i="3"/>
  <c r="O39" i="3"/>
  <c r="I39" i="3"/>
  <c r="H39" i="3"/>
  <c r="G39" i="3"/>
  <c r="F39" i="3"/>
  <c r="Z38" i="3"/>
  <c r="Y38" i="3"/>
  <c r="U38" i="3"/>
  <c r="T38" i="3"/>
  <c r="P38" i="3"/>
  <c r="O38" i="3"/>
  <c r="I38" i="3"/>
  <c r="H38" i="3"/>
  <c r="G38" i="3"/>
  <c r="R38" i="3" s="1"/>
  <c r="F38" i="3"/>
  <c r="Z37" i="3"/>
  <c r="Y37" i="3"/>
  <c r="U37" i="3"/>
  <c r="P37" i="3"/>
  <c r="O37" i="3"/>
  <c r="I37" i="3"/>
  <c r="H37" i="3"/>
  <c r="G37" i="3"/>
  <c r="F37" i="3"/>
  <c r="Z36" i="3"/>
  <c r="Y36" i="3"/>
  <c r="U36" i="3"/>
  <c r="T36" i="3"/>
  <c r="P36" i="3"/>
  <c r="O36" i="3"/>
  <c r="I36" i="3"/>
  <c r="H36" i="3"/>
  <c r="G36" i="3"/>
  <c r="F36" i="3"/>
  <c r="Z35" i="3"/>
  <c r="Y35" i="3"/>
  <c r="U35" i="3"/>
  <c r="T35" i="3"/>
  <c r="P35" i="3"/>
  <c r="O35" i="3"/>
  <c r="I35" i="3"/>
  <c r="H35" i="3"/>
  <c r="G35" i="3"/>
  <c r="F35" i="3"/>
  <c r="M35" i="3" s="1"/>
  <c r="Z34" i="3"/>
  <c r="Y34" i="3"/>
  <c r="U34" i="3"/>
  <c r="P34" i="3"/>
  <c r="O34" i="3"/>
  <c r="K34" i="3"/>
  <c r="J34" i="3"/>
  <c r="I34" i="3"/>
  <c r="H34" i="3"/>
  <c r="G34" i="3"/>
  <c r="F34" i="3"/>
  <c r="Z33" i="3"/>
  <c r="Y33" i="3"/>
  <c r="U33" i="3"/>
  <c r="T33" i="3"/>
  <c r="P33" i="3"/>
  <c r="O33" i="3"/>
  <c r="I33" i="3"/>
  <c r="H33" i="3"/>
  <c r="G33" i="3"/>
  <c r="F33" i="3"/>
  <c r="M33" i="3" s="1"/>
  <c r="Z32" i="3"/>
  <c r="Y32" i="3"/>
  <c r="U32" i="3"/>
  <c r="T32" i="3"/>
  <c r="P32" i="3"/>
  <c r="O32" i="3"/>
  <c r="K32" i="3"/>
  <c r="J32" i="3"/>
  <c r="I32" i="3"/>
  <c r="H32" i="3"/>
  <c r="G32" i="3"/>
  <c r="F32" i="3"/>
  <c r="Z31" i="3"/>
  <c r="Y31" i="3"/>
  <c r="U31" i="3"/>
  <c r="T31" i="3"/>
  <c r="P31" i="3"/>
  <c r="O31" i="3"/>
  <c r="I31" i="3"/>
  <c r="H31" i="3"/>
  <c r="G31" i="3"/>
  <c r="F31" i="3"/>
  <c r="Z30" i="3"/>
  <c r="Y30" i="3"/>
  <c r="U30" i="3"/>
  <c r="P30" i="3"/>
  <c r="O30" i="3"/>
  <c r="K30" i="3"/>
  <c r="J30" i="3"/>
  <c r="I30" i="3"/>
  <c r="H30" i="3"/>
  <c r="G30" i="3"/>
  <c r="F30" i="3"/>
  <c r="Z29" i="3"/>
  <c r="Y29" i="3"/>
  <c r="U29" i="3"/>
  <c r="P29" i="3"/>
  <c r="O29" i="3"/>
  <c r="I29" i="3"/>
  <c r="H29" i="3"/>
  <c r="G29" i="3"/>
  <c r="F29" i="3"/>
  <c r="Z28" i="3"/>
  <c r="U28" i="3"/>
  <c r="P28" i="3"/>
  <c r="O28" i="3"/>
  <c r="K28" i="3"/>
  <c r="J28" i="3"/>
  <c r="I28" i="3"/>
  <c r="H28" i="3"/>
  <c r="G28" i="3"/>
  <c r="F28" i="3"/>
  <c r="Z27" i="3"/>
  <c r="Y27" i="3"/>
  <c r="U27" i="3"/>
  <c r="T27" i="3"/>
  <c r="O27" i="3"/>
  <c r="I27" i="3"/>
  <c r="H27" i="3"/>
  <c r="G27" i="3"/>
  <c r="F27" i="3"/>
  <c r="M27" i="3" s="1"/>
  <c r="Z26" i="3"/>
  <c r="Y26" i="3"/>
  <c r="U26" i="3"/>
  <c r="P26" i="3"/>
  <c r="O26" i="3"/>
  <c r="I26" i="3"/>
  <c r="AB26" i="3" s="1"/>
  <c r="H26" i="3"/>
  <c r="G26" i="3"/>
  <c r="F26" i="3"/>
  <c r="Z25" i="3"/>
  <c r="U25" i="3"/>
  <c r="T25" i="3"/>
  <c r="P25" i="3"/>
  <c r="O25" i="3"/>
  <c r="I25" i="3"/>
  <c r="H25" i="3"/>
  <c r="G25" i="3"/>
  <c r="F25" i="3"/>
  <c r="M25" i="3" s="1"/>
  <c r="Z24" i="3"/>
  <c r="Y24" i="3"/>
  <c r="U24" i="3"/>
  <c r="T24" i="3"/>
  <c r="P24" i="3"/>
  <c r="O24" i="3"/>
  <c r="I24" i="3"/>
  <c r="H24" i="3"/>
  <c r="G24" i="3"/>
  <c r="R24" i="3" s="1"/>
  <c r="F24" i="3"/>
  <c r="Z23" i="3"/>
  <c r="Y23" i="3"/>
  <c r="U23" i="3"/>
  <c r="T23" i="3"/>
  <c r="P23" i="3"/>
  <c r="O23" i="3"/>
  <c r="I23" i="3"/>
  <c r="H23" i="3"/>
  <c r="G23" i="3"/>
  <c r="F23" i="3"/>
  <c r="Z22" i="3"/>
  <c r="Y22" i="3"/>
  <c r="U22" i="3"/>
  <c r="T22" i="3"/>
  <c r="P22" i="3"/>
  <c r="O22" i="3"/>
  <c r="I22" i="3"/>
  <c r="H22" i="3"/>
  <c r="G22" i="3"/>
  <c r="R22" i="3" s="1"/>
  <c r="F22" i="3"/>
  <c r="Z21" i="3"/>
  <c r="Y21" i="3"/>
  <c r="U21" i="3"/>
  <c r="T21" i="3"/>
  <c r="P21" i="3"/>
  <c r="O21" i="3"/>
  <c r="I21" i="3"/>
  <c r="H21" i="3"/>
  <c r="G21" i="3"/>
  <c r="F21" i="3"/>
  <c r="Z20" i="3"/>
  <c r="U20" i="3"/>
  <c r="T20" i="3"/>
  <c r="P20" i="3"/>
  <c r="O20" i="3"/>
  <c r="I20" i="3"/>
  <c r="H20" i="3"/>
  <c r="G20" i="3"/>
  <c r="F20" i="3"/>
  <c r="Z19" i="3"/>
  <c r="Y19" i="3"/>
  <c r="U19" i="3"/>
  <c r="T19" i="3"/>
  <c r="P19" i="3"/>
  <c r="O19" i="3"/>
  <c r="I19" i="3"/>
  <c r="H19" i="3"/>
  <c r="G19" i="3"/>
  <c r="F19" i="3"/>
  <c r="M19" i="3" s="1"/>
  <c r="Z18" i="3"/>
  <c r="U18" i="3"/>
  <c r="P18" i="3"/>
  <c r="O18" i="3"/>
  <c r="I18" i="3"/>
  <c r="AB18" i="3" s="1"/>
  <c r="H18" i="3"/>
  <c r="G18" i="3"/>
  <c r="F18" i="3"/>
  <c r="Z17" i="3"/>
  <c r="U17" i="3"/>
  <c r="T17" i="3"/>
  <c r="P17" i="3"/>
  <c r="O17" i="3"/>
  <c r="I17" i="3"/>
  <c r="H17" i="3"/>
  <c r="G17" i="3"/>
  <c r="F17" i="3"/>
  <c r="M17" i="3" s="1"/>
  <c r="Z16" i="3"/>
  <c r="Y16" i="3"/>
  <c r="U16" i="3"/>
  <c r="T16" i="3"/>
  <c r="P16" i="3"/>
  <c r="O16" i="3"/>
  <c r="I16" i="3"/>
  <c r="H16" i="3"/>
  <c r="G16" i="3"/>
  <c r="F16" i="3"/>
  <c r="Z15" i="3"/>
  <c r="Y15" i="3"/>
  <c r="U15" i="3"/>
  <c r="T15" i="3"/>
  <c r="P15" i="3"/>
  <c r="O15" i="3"/>
  <c r="I15" i="3"/>
  <c r="H15" i="3"/>
  <c r="G15" i="3"/>
  <c r="F15" i="3"/>
  <c r="Z14" i="3"/>
  <c r="Y14" i="3"/>
  <c r="U14" i="3"/>
  <c r="T14" i="3"/>
  <c r="P14" i="3"/>
  <c r="O14" i="3"/>
  <c r="I14" i="3"/>
  <c r="H14" i="3"/>
  <c r="G14" i="3"/>
  <c r="R14" i="3" s="1"/>
  <c r="F14" i="3"/>
  <c r="Z13" i="3"/>
  <c r="Y13" i="3"/>
  <c r="U13" i="3"/>
  <c r="T13" i="3"/>
  <c r="P13" i="3"/>
  <c r="O13" i="3"/>
  <c r="I13" i="3"/>
  <c r="H13" i="3"/>
  <c r="G13" i="3"/>
  <c r="F13" i="3"/>
  <c r="Z12" i="3"/>
  <c r="Y12" i="3"/>
  <c r="U12" i="3"/>
  <c r="T12" i="3"/>
  <c r="P12" i="3"/>
  <c r="O12" i="3"/>
  <c r="I12" i="3"/>
  <c r="H12" i="3"/>
  <c r="G12" i="3"/>
  <c r="F12" i="3"/>
  <c r="Z11" i="3"/>
  <c r="Y11" i="3"/>
  <c r="U11" i="3"/>
  <c r="T11" i="3"/>
  <c r="P11" i="3"/>
  <c r="O11" i="3"/>
  <c r="I11" i="3"/>
  <c r="H11" i="3"/>
  <c r="G11" i="3"/>
  <c r="F11" i="3"/>
  <c r="M11" i="3" s="1"/>
  <c r="Z10" i="3"/>
  <c r="U10" i="3"/>
  <c r="P10" i="3"/>
  <c r="O10" i="3"/>
  <c r="K10" i="3"/>
  <c r="I10" i="3"/>
  <c r="H10" i="3"/>
  <c r="G10" i="3"/>
  <c r="F10" i="3"/>
  <c r="Z9" i="3"/>
  <c r="U9" i="3"/>
  <c r="T9" i="3"/>
  <c r="P9" i="3"/>
  <c r="O9" i="3"/>
  <c r="K9" i="3"/>
  <c r="I9" i="3"/>
  <c r="H9" i="3"/>
  <c r="G9" i="3"/>
  <c r="F9" i="3"/>
  <c r="M9" i="3" s="1"/>
  <c r="Z8" i="3"/>
  <c r="Y8" i="3"/>
  <c r="U8" i="3"/>
  <c r="T8" i="3"/>
  <c r="P8" i="3"/>
  <c r="O8" i="3"/>
  <c r="K8" i="3"/>
  <c r="I8" i="3"/>
  <c r="H8" i="3"/>
  <c r="G8" i="3"/>
  <c r="F8" i="3"/>
  <c r="Z7" i="3"/>
  <c r="Y7" i="3"/>
  <c r="U7" i="3"/>
  <c r="T7" i="3"/>
  <c r="P7" i="3"/>
  <c r="O7" i="3"/>
  <c r="I7" i="3"/>
  <c r="H7" i="3"/>
  <c r="G7" i="3"/>
  <c r="F7" i="3"/>
  <c r="Z6" i="3"/>
  <c r="U6" i="3"/>
  <c r="P6" i="3"/>
  <c r="O6" i="3"/>
  <c r="I6" i="3"/>
  <c r="H6" i="3"/>
  <c r="G6" i="3"/>
  <c r="F6" i="3"/>
  <c r="M103" i="3" l="1"/>
  <c r="V194" i="3"/>
  <c r="AA205" i="3"/>
  <c r="M352" i="3"/>
  <c r="M405" i="3"/>
  <c r="M407" i="3"/>
  <c r="M427" i="3"/>
  <c r="M429" i="3"/>
  <c r="R486" i="3"/>
  <c r="AB555" i="3"/>
  <c r="Q636" i="3"/>
  <c r="M679" i="3"/>
  <c r="M683" i="3"/>
  <c r="M687" i="3"/>
  <c r="W695" i="3"/>
  <c r="W711" i="3"/>
  <c r="M714" i="3"/>
  <c r="W716" i="3"/>
  <c r="AB719" i="3"/>
  <c r="Q731" i="3"/>
  <c r="R740" i="3"/>
  <c r="R742" i="3"/>
  <c r="R752" i="3"/>
  <c r="AA760" i="3"/>
  <c r="W761" i="3"/>
  <c r="AA604" i="3"/>
  <c r="M41" i="4"/>
  <c r="AB609" i="3"/>
  <c r="AB669" i="3"/>
  <c r="AB92" i="3"/>
  <c r="AB122" i="3"/>
  <c r="R126" i="3"/>
  <c r="AB130" i="3"/>
  <c r="AB143" i="3"/>
  <c r="AB176" i="3"/>
  <c r="R205" i="3"/>
  <c r="AB225" i="3"/>
  <c r="R239" i="3"/>
  <c r="R270" i="3"/>
  <c r="R324" i="3"/>
  <c r="R325" i="3"/>
  <c r="R326" i="3"/>
  <c r="R327" i="3"/>
  <c r="R328" i="3"/>
  <c r="R329" i="3"/>
  <c r="R350" i="3"/>
  <c r="W358" i="3"/>
  <c r="R377" i="3"/>
  <c r="W403" i="3"/>
  <c r="R423" i="3"/>
  <c r="W555" i="3"/>
  <c r="R579" i="3"/>
  <c r="R580" i="3"/>
  <c r="AB602" i="3"/>
  <c r="AB612" i="3"/>
  <c r="AB618" i="3"/>
  <c r="AB628" i="3"/>
  <c r="AB634" i="3"/>
  <c r="R637" i="3"/>
  <c r="AB656" i="3"/>
  <c r="AB662" i="3"/>
  <c r="AB672" i="3"/>
  <c r="AB680" i="3"/>
  <c r="AB688" i="3"/>
  <c r="AB694" i="3"/>
  <c r="AB706" i="3"/>
  <c r="AB715" i="3"/>
  <c r="W718" i="3"/>
  <c r="W726" i="3"/>
  <c r="R732" i="3"/>
  <c r="R733" i="3"/>
  <c r="AB739" i="3"/>
  <c r="R755" i="3"/>
  <c r="V662" i="3"/>
  <c r="AB218" i="3"/>
  <c r="M601" i="3"/>
  <c r="M602" i="3"/>
  <c r="M622" i="3"/>
  <c r="L622" i="3"/>
  <c r="V623" i="3"/>
  <c r="M624" i="3"/>
  <c r="L624" i="3"/>
  <c r="V631" i="3"/>
  <c r="M632" i="3"/>
  <c r="L632" i="3"/>
  <c r="M663" i="3"/>
  <c r="M664" i="3"/>
  <c r="M666" i="3"/>
  <c r="M667" i="3"/>
  <c r="M668" i="3"/>
  <c r="M670" i="3"/>
  <c r="M678" i="3"/>
  <c r="M688" i="3"/>
  <c r="AB605" i="3"/>
  <c r="AB623" i="3"/>
  <c r="AB636" i="3"/>
  <c r="R604" i="3"/>
  <c r="R605" i="3"/>
  <c r="R606" i="3"/>
  <c r="R607" i="3"/>
  <c r="R609" i="3"/>
  <c r="R610" i="3"/>
  <c r="R611" i="3"/>
  <c r="R612" i="3"/>
  <c r="R613" i="3"/>
  <c r="R614" i="3"/>
  <c r="R615" i="3"/>
  <c r="R616" i="3"/>
  <c r="R617" i="3"/>
  <c r="R619" i="3"/>
  <c r="R620" i="3"/>
  <c r="R627" i="3"/>
  <c r="R628" i="3"/>
  <c r="R672" i="3"/>
  <c r="R673" i="3"/>
  <c r="R677" i="3"/>
  <c r="R681" i="3"/>
  <c r="R682" i="3"/>
  <c r="R685" i="3"/>
  <c r="R686" i="3"/>
  <c r="R687" i="3"/>
  <c r="R688" i="3"/>
  <c r="Q603" i="3"/>
  <c r="AA619" i="3"/>
  <c r="AA627" i="3"/>
  <c r="AA635" i="3"/>
  <c r="AB94" i="3"/>
  <c r="R94" i="3"/>
  <c r="M313" i="3"/>
  <c r="W183" i="3"/>
  <c r="W205" i="3"/>
  <c r="AB208" i="3"/>
  <c r="W241" i="3"/>
  <c r="W259" i="3"/>
  <c r="AB261" i="3"/>
  <c r="AB266" i="3"/>
  <c r="W315" i="3"/>
  <c r="W325" i="3"/>
  <c r="W355" i="3"/>
  <c r="W357" i="3"/>
  <c r="W370" i="3"/>
  <c r="W371" i="3"/>
  <c r="W373" i="3"/>
  <c r="W375" i="3"/>
  <c r="W417" i="3"/>
  <c r="AB426" i="3"/>
  <c r="W433" i="3"/>
  <c r="AB758" i="3"/>
  <c r="AB126" i="3"/>
  <c r="R262" i="3"/>
  <c r="W285" i="3"/>
  <c r="W287" i="3"/>
  <c r="W289" i="3"/>
  <c r="W291" i="3"/>
  <c r="W293" i="3"/>
  <c r="W295" i="3"/>
  <c r="W297" i="3"/>
  <c r="W299" i="3"/>
  <c r="W301" i="3"/>
  <c r="R343" i="3"/>
  <c r="W470" i="3"/>
  <c r="W471" i="3"/>
  <c r="W480" i="3"/>
  <c r="W481" i="3"/>
  <c r="W502" i="3"/>
  <c r="W503" i="3"/>
  <c r="W504" i="3"/>
  <c r="W514" i="3"/>
  <c r="W515" i="3"/>
  <c r="W516" i="3"/>
  <c r="W524" i="3"/>
  <c r="W528" i="3"/>
  <c r="W532" i="3"/>
  <c r="W544" i="3"/>
  <c r="W545" i="3"/>
  <c r="W556" i="3"/>
  <c r="W558" i="3"/>
  <c r="W572" i="3"/>
  <c r="W576" i="3"/>
  <c r="W578" i="3"/>
  <c r="AB584" i="3"/>
  <c r="W600" i="3"/>
  <c r="W601" i="3"/>
  <c r="W602" i="3"/>
  <c r="W603" i="3"/>
  <c r="W622" i="3"/>
  <c r="W627" i="3"/>
  <c r="W628" i="3"/>
  <c r="W662" i="3"/>
  <c r="W670" i="3"/>
  <c r="R736" i="3"/>
  <c r="R738" i="3"/>
  <c r="AB761" i="3"/>
  <c r="AB115" i="3"/>
  <c r="AB135" i="3"/>
  <c r="AB168" i="3"/>
  <c r="AB188" i="3"/>
  <c r="W199" i="3"/>
  <c r="R212" i="3"/>
  <c r="W213" i="3"/>
  <c r="W215" i="3"/>
  <c r="AB44" i="3"/>
  <c r="W60" i="3"/>
  <c r="R191" i="3"/>
  <c r="W195" i="3"/>
  <c r="AB204" i="3"/>
  <c r="W212" i="3"/>
  <c r="AB216" i="3"/>
  <c r="AB238" i="3"/>
  <c r="R248" i="3"/>
  <c r="W253" i="3"/>
  <c r="AB258" i="3"/>
  <c r="M259" i="3"/>
  <c r="M260" i="3"/>
  <c r="W267" i="3"/>
  <c r="AB269" i="3"/>
  <c r="M314" i="3"/>
  <c r="M315" i="3"/>
  <c r="M326" i="3"/>
  <c r="M327" i="3"/>
  <c r="N327" i="3" s="1"/>
  <c r="L327" i="3"/>
  <c r="M328" i="3"/>
  <c r="W341" i="3"/>
  <c r="W351" i="3"/>
  <c r="AB354" i="3"/>
  <c r="M368" i="3"/>
  <c r="M369" i="3"/>
  <c r="M370" i="3"/>
  <c r="M372" i="3"/>
  <c r="M373" i="3"/>
  <c r="W405" i="3"/>
  <c r="M411" i="3"/>
  <c r="M417" i="3"/>
  <c r="W420" i="3"/>
  <c r="W421" i="3"/>
  <c r="AB422" i="3"/>
  <c r="M425" i="3"/>
  <c r="AB430" i="3"/>
  <c r="R547" i="3"/>
  <c r="R548" i="3"/>
  <c r="R589" i="3"/>
  <c r="R591" i="3"/>
  <c r="W594" i="3"/>
  <c r="W714" i="3"/>
  <c r="W728" i="3"/>
  <c r="R756" i="3"/>
  <c r="M761" i="3"/>
  <c r="W251" i="3"/>
  <c r="R258" i="3"/>
  <c r="R263" i="3"/>
  <c r="R275" i="3"/>
  <c r="M280" i="3"/>
  <c r="R302" i="3"/>
  <c r="R303" i="3"/>
  <c r="R304" i="3"/>
  <c r="R305" i="3"/>
  <c r="R306" i="3"/>
  <c r="R307" i="3"/>
  <c r="R308" i="3"/>
  <c r="R309" i="3"/>
  <c r="R310" i="3"/>
  <c r="R316" i="3"/>
  <c r="R317" i="3"/>
  <c r="R335" i="3"/>
  <c r="R337" i="3"/>
  <c r="R385" i="3"/>
  <c r="R395" i="3"/>
  <c r="R397" i="3"/>
  <c r="R399" i="3"/>
  <c r="R469" i="3"/>
  <c r="R501" i="3"/>
  <c r="R533" i="3"/>
  <c r="R534" i="3"/>
  <c r="R535" i="3"/>
  <c r="R536" i="3"/>
  <c r="R537" i="3"/>
  <c r="R538" i="3"/>
  <c r="R541" i="3"/>
  <c r="R542" i="3"/>
  <c r="AB8" i="3"/>
  <c r="AB68" i="3"/>
  <c r="R71" i="3"/>
  <c r="R86" i="3"/>
  <c r="W92" i="3"/>
  <c r="V102" i="3"/>
  <c r="AB119" i="3"/>
  <c r="AB127" i="3"/>
  <c r="AB142" i="3"/>
  <c r="W165" i="3"/>
  <c r="AB170" i="3"/>
  <c r="M171" i="3"/>
  <c r="L171" i="3"/>
  <c r="W181" i="3"/>
  <c r="M187" i="3"/>
  <c r="W197" i="3"/>
  <c r="AA197" i="3"/>
  <c r="V202" i="3"/>
  <c r="W211" i="3"/>
  <c r="AB220" i="3"/>
  <c r="M228" i="3"/>
  <c r="AB10" i="3"/>
  <c r="M68" i="3"/>
  <c r="R221" i="3"/>
  <c r="R8" i="3"/>
  <c r="W9" i="3"/>
  <c r="R55" i="3"/>
  <c r="M64" i="3"/>
  <c r="M65" i="3"/>
  <c r="M90" i="3"/>
  <c r="M92" i="3"/>
  <c r="M97" i="3"/>
  <c r="W102" i="3"/>
  <c r="AB103" i="3"/>
  <c r="AB123" i="3"/>
  <c r="AB131" i="3"/>
  <c r="R142" i="3"/>
  <c r="AB162" i="3"/>
  <c r="M164" i="3"/>
  <c r="M166" i="3"/>
  <c r="M168" i="3"/>
  <c r="W176" i="3"/>
  <c r="AB180" i="3"/>
  <c r="M181" i="3"/>
  <c r="W187" i="3"/>
  <c r="AB196" i="3"/>
  <c r="W203" i="3"/>
  <c r="V210" i="3"/>
  <c r="R215" i="3"/>
  <c r="W219" i="3"/>
  <c r="M233" i="3"/>
  <c r="M243" i="3"/>
  <c r="AB251" i="3"/>
  <c r="AB255" i="3"/>
  <c r="W275" i="3"/>
  <c r="AA303" i="3"/>
  <c r="W309" i="3"/>
  <c r="AA309" i="3"/>
  <c r="W311" i="3"/>
  <c r="W317" i="3"/>
  <c r="W323" i="3"/>
  <c r="W331" i="3"/>
  <c r="W335" i="3"/>
  <c r="W337" i="3"/>
  <c r="W339" i="3"/>
  <c r="W347" i="3"/>
  <c r="W349" i="3"/>
  <c r="W390" i="3"/>
  <c r="W391" i="3"/>
  <c r="W392" i="3"/>
  <c r="W393" i="3"/>
  <c r="M409" i="3"/>
  <c r="W413" i="3"/>
  <c r="AB414" i="3"/>
  <c r="M415" i="3"/>
  <c r="W466" i="3"/>
  <c r="W467" i="3"/>
  <c r="W485" i="3"/>
  <c r="W498" i="3"/>
  <c r="W499" i="3"/>
  <c r="W510" i="3"/>
  <c r="M514" i="3"/>
  <c r="W526" i="3"/>
  <c r="W536" i="3"/>
  <c r="W538" i="3"/>
  <c r="W540" i="3"/>
  <c r="W542" i="3"/>
  <c r="W560" i="3"/>
  <c r="AB563" i="3"/>
  <c r="W580" i="3"/>
  <c r="W589" i="3"/>
  <c r="AA589" i="3"/>
  <c r="W625" i="3"/>
  <c r="W626" i="3"/>
  <c r="V629" i="3"/>
  <c r="M630" i="3"/>
  <c r="L630" i="3"/>
  <c r="W633" i="3"/>
  <c r="W634" i="3"/>
  <c r="R635" i="3"/>
  <c r="R645" i="3"/>
  <c r="M651" i="3"/>
  <c r="R657" i="3"/>
  <c r="R658" i="3"/>
  <c r="R659" i="3"/>
  <c r="R660" i="3"/>
  <c r="R661" i="3"/>
  <c r="R663" i="3"/>
  <c r="M674" i="3"/>
  <c r="M675" i="3"/>
  <c r="AB693" i="3"/>
  <c r="M698" i="3"/>
  <c r="V698" i="3"/>
  <c r="W703" i="3"/>
  <c r="W706" i="3"/>
  <c r="W710" i="3"/>
  <c r="W724" i="3"/>
  <c r="X724" i="3" s="1"/>
  <c r="AB727" i="3"/>
  <c r="W730" i="3"/>
  <c r="W731" i="3"/>
  <c r="W735" i="3"/>
  <c r="W737" i="3"/>
  <c r="W744" i="3"/>
  <c r="W745" i="3"/>
  <c r="V354" i="3"/>
  <c r="W701" i="3"/>
  <c r="M717" i="3"/>
  <c r="V717" i="3"/>
  <c r="W720" i="3"/>
  <c r="W721" i="3"/>
  <c r="W722" i="3"/>
  <c r="W739" i="3"/>
  <c r="M744" i="3"/>
  <c r="W753" i="3"/>
  <c r="R754" i="3"/>
  <c r="W755" i="3"/>
  <c r="Q759" i="3"/>
  <c r="R220" i="3"/>
  <c r="W221" i="3"/>
  <c r="W227" i="3"/>
  <c r="W233" i="3"/>
  <c r="W235" i="3"/>
  <c r="W243" i="3"/>
  <c r="W249" i="3"/>
  <c r="R252" i="3"/>
  <c r="AB262" i="3"/>
  <c r="AB270" i="3"/>
  <c r="AB274" i="3"/>
  <c r="W281" i="3"/>
  <c r="L309" i="3"/>
  <c r="M310" i="3"/>
  <c r="V310" i="3"/>
  <c r="M311" i="3"/>
  <c r="M312" i="3"/>
  <c r="M318" i="3"/>
  <c r="M319" i="3"/>
  <c r="M320" i="3"/>
  <c r="M321" i="3"/>
  <c r="M322" i="3"/>
  <c r="M323" i="3"/>
  <c r="W343" i="3"/>
  <c r="M348" i="3"/>
  <c r="M381" i="3"/>
  <c r="M383" i="3"/>
  <c r="M387" i="3"/>
  <c r="M389" i="3"/>
  <c r="M391" i="3"/>
  <c r="M393" i="3"/>
  <c r="M401" i="3"/>
  <c r="M403" i="3"/>
  <c r="W409" i="3"/>
  <c r="M413" i="3"/>
  <c r="M419" i="3"/>
  <c r="W448" i="3"/>
  <c r="W449" i="3"/>
  <c r="W450" i="3"/>
  <c r="W451" i="3"/>
  <c r="W476" i="3"/>
  <c r="W506" i="3"/>
  <c r="W520" i="3"/>
  <c r="W521" i="3"/>
  <c r="W522" i="3"/>
  <c r="M538" i="3"/>
  <c r="M539" i="3"/>
  <c r="AB545" i="3"/>
  <c r="R549" i="3"/>
  <c r="R550" i="3"/>
  <c r="R551" i="3"/>
  <c r="AB559" i="3"/>
  <c r="M560" i="3"/>
  <c r="R562" i="3"/>
  <c r="W564" i="3"/>
  <c r="R581" i="3"/>
  <c r="S581" i="3" s="1"/>
  <c r="M584" i="3"/>
  <c r="M593" i="3"/>
  <c r="W595" i="3"/>
  <c r="W598" i="3"/>
  <c r="R599" i="3"/>
  <c r="R600" i="3"/>
  <c r="R601" i="3"/>
  <c r="R618" i="3"/>
  <c r="R621" i="3"/>
  <c r="R622" i="3"/>
  <c r="V625" i="3"/>
  <c r="M626" i="3"/>
  <c r="L626" i="3"/>
  <c r="V633" i="3"/>
  <c r="M634" i="3"/>
  <c r="L634" i="3"/>
  <c r="W648" i="3"/>
  <c r="M655" i="3"/>
  <c r="W672" i="3"/>
  <c r="W674" i="3"/>
  <c r="W675" i="3"/>
  <c r="W676" i="3"/>
  <c r="W699" i="3"/>
  <c r="M710" i="3"/>
  <c r="M730" i="3"/>
  <c r="M731" i="3"/>
  <c r="M737" i="3"/>
  <c r="M742" i="3"/>
  <c r="M745" i="3"/>
  <c r="AA606" i="3"/>
  <c r="M648" i="3"/>
  <c r="W678" i="3"/>
  <c r="W679" i="3"/>
  <c r="W680" i="3"/>
  <c r="W682" i="3"/>
  <c r="W683" i="3"/>
  <c r="W684" i="3"/>
  <c r="W686" i="3"/>
  <c r="W688" i="3"/>
  <c r="W689" i="3"/>
  <c r="W690" i="3"/>
  <c r="M696" i="3"/>
  <c r="Q761" i="3"/>
  <c r="AA555" i="3"/>
  <c r="AB701" i="3"/>
  <c r="AB699" i="3"/>
  <c r="R695" i="3"/>
  <c r="R703" i="3"/>
  <c r="Q705" i="3"/>
  <c r="M707" i="3"/>
  <c r="AB716" i="3"/>
  <c r="AB712" i="3"/>
  <c r="R716" i="3"/>
  <c r="R724" i="3"/>
  <c r="R710" i="3"/>
  <c r="R708" i="3"/>
  <c r="V724" i="3"/>
  <c r="W712" i="3"/>
  <c r="M724" i="3"/>
  <c r="M722" i="3"/>
  <c r="M720" i="3"/>
  <c r="M716" i="3"/>
  <c r="M708" i="3"/>
  <c r="AB723" i="3"/>
  <c r="AB725" i="3"/>
  <c r="AB711" i="3"/>
  <c r="M44" i="4" s="1"/>
  <c r="Q721" i="3"/>
  <c r="W84" i="3"/>
  <c r="M88" i="3"/>
  <c r="M84" i="3"/>
  <c r="AB80" i="3"/>
  <c r="Q713" i="3"/>
  <c r="Q717" i="3"/>
  <c r="Q711" i="3"/>
  <c r="R720" i="3"/>
  <c r="W725" i="3"/>
  <c r="W713" i="3"/>
  <c r="W717" i="3"/>
  <c r="M711" i="3"/>
  <c r="AB78" i="3"/>
  <c r="R726" i="3"/>
  <c r="R734" i="3"/>
  <c r="R730" i="3"/>
  <c r="M740" i="3"/>
  <c r="M728" i="3"/>
  <c r="R80" i="3"/>
  <c r="R78" i="3"/>
  <c r="AB729" i="3"/>
  <c r="AB733" i="3"/>
  <c r="R735" i="3"/>
  <c r="R737" i="3"/>
  <c r="R739" i="3"/>
  <c r="R741" i="3"/>
  <c r="W741" i="3"/>
  <c r="W743" i="3"/>
  <c r="W727" i="3"/>
  <c r="M741" i="3"/>
  <c r="M743" i="3"/>
  <c r="AB755" i="3"/>
  <c r="AB754" i="3"/>
  <c r="M754" i="3"/>
  <c r="M756" i="3"/>
  <c r="M760" i="3"/>
  <c r="R753" i="3"/>
  <c r="Q753" i="3"/>
  <c r="V755" i="3"/>
  <c r="W757" i="3"/>
  <c r="W759" i="3"/>
  <c r="V757" i="3"/>
  <c r="L755" i="3"/>
  <c r="M80" i="3"/>
  <c r="W640" i="3"/>
  <c r="X640" i="3" s="1"/>
  <c r="R636" i="3"/>
  <c r="M638" i="3"/>
  <c r="L638" i="3"/>
  <c r="M640" i="3"/>
  <c r="M650" i="3"/>
  <c r="R638" i="3"/>
  <c r="V640" i="3"/>
  <c r="W650" i="3"/>
  <c r="AB653" i="3"/>
  <c r="R653" i="3"/>
  <c r="Q653" i="3"/>
  <c r="AB651" i="3"/>
  <c r="AB110" i="3"/>
  <c r="R647" i="3"/>
  <c r="R112" i="3"/>
  <c r="R110" i="3"/>
  <c r="R108" i="3"/>
  <c r="AB102" i="3"/>
  <c r="R114" i="3"/>
  <c r="R116" i="3"/>
  <c r="R120" i="3"/>
  <c r="R122" i="3"/>
  <c r="R124" i="3"/>
  <c r="R128" i="3"/>
  <c r="R130" i="3"/>
  <c r="AB643" i="3"/>
  <c r="AB106" i="3"/>
  <c r="R118" i="3"/>
  <c r="R102" i="3"/>
  <c r="M106" i="3"/>
  <c r="M104" i="3"/>
  <c r="AB98" i="3"/>
  <c r="AB100" i="3"/>
  <c r="R96" i="3"/>
  <c r="W100" i="3"/>
  <c r="R148" i="3"/>
  <c r="R146" i="3"/>
  <c r="R144" i="3"/>
  <c r="R138" i="3"/>
  <c r="R136" i="3"/>
  <c r="R134" i="3"/>
  <c r="R132" i="3"/>
  <c r="M96" i="3"/>
  <c r="M100" i="3"/>
  <c r="M98" i="3"/>
  <c r="W144" i="3"/>
  <c r="W142" i="3"/>
  <c r="W140" i="3"/>
  <c r="M140" i="3"/>
  <c r="W641" i="3"/>
  <c r="W649" i="3"/>
  <c r="AB105" i="3"/>
  <c r="W651" i="3"/>
  <c r="V639" i="3"/>
  <c r="W143" i="3"/>
  <c r="W141" i="3"/>
  <c r="V637" i="3"/>
  <c r="M641" i="3"/>
  <c r="W167" i="3"/>
  <c r="R162" i="3"/>
  <c r="R160" i="3"/>
  <c r="R158" i="3"/>
  <c r="R156" i="3"/>
  <c r="R154" i="3"/>
  <c r="R152" i="3"/>
  <c r="R150" i="3"/>
  <c r="R103" i="3"/>
  <c r="W166" i="3"/>
  <c r="W164" i="3"/>
  <c r="M107" i="3"/>
  <c r="L103" i="3"/>
  <c r="M105" i="3"/>
  <c r="R595" i="3"/>
  <c r="Q595" i="3"/>
  <c r="M583" i="3"/>
  <c r="V583" i="3"/>
  <c r="AB111" i="3"/>
  <c r="R183" i="3"/>
  <c r="R185" i="3"/>
  <c r="M165" i="3"/>
  <c r="M167" i="3"/>
  <c r="L167" i="3"/>
  <c r="AA590" i="3"/>
  <c r="W169" i="3"/>
  <c r="W171" i="3"/>
  <c r="W173" i="3"/>
  <c r="W175" i="3"/>
  <c r="W177" i="3"/>
  <c r="W179" i="3"/>
  <c r="M179" i="3"/>
  <c r="L181" i="3"/>
  <c r="M175" i="3"/>
  <c r="M173" i="3"/>
  <c r="R95" i="3"/>
  <c r="M169" i="3"/>
  <c r="M91" i="3"/>
  <c r="AA596" i="3"/>
  <c r="R596" i="3"/>
  <c r="AB592" i="3"/>
  <c r="R592" i="3"/>
  <c r="Q592" i="3"/>
  <c r="R590" i="3"/>
  <c r="Q590" i="3"/>
  <c r="AB582" i="3"/>
  <c r="R582" i="3"/>
  <c r="R87" i="3"/>
  <c r="M89" i="3"/>
  <c r="R184" i="3"/>
  <c r="R182" i="3"/>
  <c r="M99" i="3"/>
  <c r="V168" i="3"/>
  <c r="W168" i="3"/>
  <c r="V170" i="3"/>
  <c r="W170" i="3"/>
  <c r="W172" i="3"/>
  <c r="V174" i="3"/>
  <c r="X174" i="3" s="1"/>
  <c r="W174" i="3"/>
  <c r="V178" i="3"/>
  <c r="W178" i="3"/>
  <c r="V180" i="3"/>
  <c r="W180" i="3"/>
  <c r="M582" i="1"/>
  <c r="Y582" i="3" s="1"/>
  <c r="M180" i="3"/>
  <c r="M176" i="3"/>
  <c r="M174" i="3"/>
  <c r="M172" i="3"/>
  <c r="M170" i="3"/>
  <c r="M598" i="3"/>
  <c r="W596" i="3"/>
  <c r="R198" i="3"/>
  <c r="R192" i="3"/>
  <c r="R190" i="3"/>
  <c r="V186" i="3"/>
  <c r="W188" i="3"/>
  <c r="M200" i="3"/>
  <c r="M196" i="3"/>
  <c r="M194" i="3"/>
  <c r="M188" i="3"/>
  <c r="M186" i="3"/>
  <c r="L594" i="3"/>
  <c r="N594" i="3" s="1"/>
  <c r="M594" i="3"/>
  <c r="R79" i="3"/>
  <c r="M83" i="3"/>
  <c r="W590" i="3"/>
  <c r="L584" i="3"/>
  <c r="W582" i="3"/>
  <c r="AB74" i="3"/>
  <c r="AB72" i="3"/>
  <c r="M72" i="3"/>
  <c r="R72" i="3"/>
  <c r="M74" i="3"/>
  <c r="AB76" i="3"/>
  <c r="W76" i="3"/>
  <c r="M76" i="3"/>
  <c r="R199" i="3"/>
  <c r="R193" i="3"/>
  <c r="R70" i="3"/>
  <c r="M199" i="3"/>
  <c r="M195" i="3"/>
  <c r="W68" i="3"/>
  <c r="M66" i="3"/>
  <c r="R214" i="3"/>
  <c r="R206" i="3"/>
  <c r="R204" i="3"/>
  <c r="M218" i="3"/>
  <c r="M210" i="3"/>
  <c r="M208" i="3"/>
  <c r="M75" i="3"/>
  <c r="M73" i="3"/>
  <c r="R207" i="3"/>
  <c r="R213" i="3"/>
  <c r="W207" i="3"/>
  <c r="M215" i="3"/>
  <c r="M221" i="3"/>
  <c r="M67" i="3"/>
  <c r="M207" i="3"/>
  <c r="AB580" i="3"/>
  <c r="AA580" i="3"/>
  <c r="R237" i="3"/>
  <c r="AB578" i="3"/>
  <c r="R227" i="3"/>
  <c r="W223" i="3"/>
  <c r="W225" i="3"/>
  <c r="M229" i="3"/>
  <c r="M223" i="3"/>
  <c r="AB20" i="3"/>
  <c r="W20" i="3"/>
  <c r="AB22" i="3"/>
  <c r="R238" i="3"/>
  <c r="R236" i="3"/>
  <c r="R228" i="3"/>
  <c r="R226" i="3"/>
  <c r="W234" i="3"/>
  <c r="M234" i="3"/>
  <c r="M232" i="3"/>
  <c r="M230" i="3"/>
  <c r="M222" i="3"/>
  <c r="M224" i="3"/>
  <c r="AB16" i="3"/>
  <c r="R16" i="3"/>
  <c r="AB14" i="3"/>
  <c r="AB574" i="3"/>
  <c r="R572" i="3"/>
  <c r="AB12" i="3"/>
  <c r="R570" i="3"/>
  <c r="AB6" i="3"/>
  <c r="R6" i="3"/>
  <c r="W17" i="3"/>
  <c r="W21" i="3"/>
  <c r="W23" i="3"/>
  <c r="W19" i="3"/>
  <c r="R23" i="3"/>
  <c r="R566" i="3"/>
  <c r="AB564" i="3"/>
  <c r="M36" i="4" s="1"/>
  <c r="W15" i="3"/>
  <c r="W13" i="3"/>
  <c r="W12" i="3"/>
  <c r="R15" i="3"/>
  <c r="M576" i="3"/>
  <c r="W574" i="3"/>
  <c r="M574" i="3"/>
  <c r="M572" i="3"/>
  <c r="L572" i="3"/>
  <c r="R240" i="3"/>
  <c r="R241" i="3"/>
  <c r="M242" i="3"/>
  <c r="R245" i="3"/>
  <c r="R246" i="3"/>
  <c r="R247" i="3"/>
  <c r="M249" i="3"/>
  <c r="W250" i="3"/>
  <c r="M253" i="3"/>
  <c r="AA581" i="3"/>
  <c r="Q240" i="3"/>
  <c r="M250" i="3"/>
  <c r="M254" i="3"/>
  <c r="M255" i="3"/>
  <c r="W573" i="3"/>
  <c r="W575" i="3"/>
  <c r="Q575" i="3"/>
  <c r="M573" i="3"/>
  <c r="V573" i="3"/>
  <c r="M575" i="3"/>
  <c r="W579" i="3"/>
  <c r="AA579" i="3"/>
  <c r="R274" i="3"/>
  <c r="R268" i="3"/>
  <c r="M270" i="3"/>
  <c r="M272" i="3"/>
  <c r="M266" i="3"/>
  <c r="W11" i="3"/>
  <c r="R271" i="3"/>
  <c r="W265" i="3"/>
  <c r="W273" i="3"/>
  <c r="M265" i="3"/>
  <c r="W261" i="3"/>
  <c r="M269" i="3"/>
  <c r="M271" i="3"/>
  <c r="M273" i="3"/>
  <c r="M57" i="3"/>
  <c r="AB58" i="3"/>
  <c r="AB56" i="3"/>
  <c r="AB54" i="3"/>
  <c r="W563" i="3"/>
  <c r="AB561" i="3"/>
  <c r="M563" i="3"/>
  <c r="AB48" i="3"/>
  <c r="AB50" i="3"/>
  <c r="W52" i="3"/>
  <c r="AB46" i="3"/>
  <c r="R46" i="3"/>
  <c r="W44" i="3"/>
  <c r="M561" i="3"/>
  <c r="R557" i="3"/>
  <c r="M559" i="3"/>
  <c r="M385" i="3"/>
  <c r="M399" i="3"/>
  <c r="M445" i="3"/>
  <c r="M447" i="3"/>
  <c r="V460" i="3"/>
  <c r="L461" i="3"/>
  <c r="V474" i="3"/>
  <c r="L479" i="3"/>
  <c r="V484" i="3"/>
  <c r="M489" i="3"/>
  <c r="L489" i="3"/>
  <c r="L493" i="3"/>
  <c r="AA511" i="3"/>
  <c r="M530" i="3"/>
  <c r="M544" i="3"/>
  <c r="AB392" i="3"/>
  <c r="M26" i="4" s="1"/>
  <c r="AB402" i="3"/>
  <c r="AB418" i="3"/>
  <c r="W444" i="3"/>
  <c r="W445" i="3"/>
  <c r="W446" i="3"/>
  <c r="W447" i="3"/>
  <c r="R451" i="3"/>
  <c r="W460" i="3"/>
  <c r="W461" i="3"/>
  <c r="R462" i="3"/>
  <c r="M464" i="3"/>
  <c r="R467" i="3"/>
  <c r="R471" i="3"/>
  <c r="R472" i="3"/>
  <c r="M474" i="3"/>
  <c r="W474" i="3"/>
  <c r="W475" i="3"/>
  <c r="R477" i="3"/>
  <c r="M478" i="3"/>
  <c r="W478" i="3"/>
  <c r="W479" i="3"/>
  <c r="R481" i="3"/>
  <c r="W484" i="3"/>
  <c r="W488" i="3"/>
  <c r="W489" i="3"/>
  <c r="M492" i="3"/>
  <c r="W493" i="3"/>
  <c r="R494" i="3"/>
  <c r="W509" i="3"/>
  <c r="M518" i="3"/>
  <c r="W519" i="3"/>
  <c r="R521" i="3"/>
  <c r="R522" i="3"/>
  <c r="M524" i="3"/>
  <c r="W525" i="3"/>
  <c r="R439" i="3"/>
  <c r="M441" i="3"/>
  <c r="M443" i="3"/>
  <c r="R455" i="3"/>
  <c r="L457" i="3"/>
  <c r="M458" i="3"/>
  <c r="M459" i="3"/>
  <c r="M460" i="3"/>
  <c r="R463" i="3"/>
  <c r="V464" i="3"/>
  <c r="L469" i="3"/>
  <c r="R473" i="3"/>
  <c r="V482" i="3"/>
  <c r="M484" i="3"/>
  <c r="L487" i="3"/>
  <c r="M488" i="3"/>
  <c r="R491" i="3"/>
  <c r="V492" i="3"/>
  <c r="M493" i="3"/>
  <c r="R495" i="3"/>
  <c r="M497" i="3"/>
  <c r="L497" i="3"/>
  <c r="L501" i="3"/>
  <c r="R505" i="3"/>
  <c r="M507" i="3"/>
  <c r="M508" i="3"/>
  <c r="R511" i="3"/>
  <c r="R512" i="3"/>
  <c r="AB514" i="3"/>
  <c r="Q514" i="3"/>
  <c r="S514" i="3" s="1"/>
  <c r="R517" i="3"/>
  <c r="V518" i="3"/>
  <c r="M519" i="3"/>
  <c r="AB520" i="3"/>
  <c r="R523" i="3"/>
  <c r="AB526" i="3"/>
  <c r="R527" i="3"/>
  <c r="M529" i="3"/>
  <c r="M537" i="3"/>
  <c r="W416" i="3"/>
  <c r="W412" i="3"/>
  <c r="W410" i="3"/>
  <c r="W408" i="3"/>
  <c r="W404" i="3"/>
  <c r="W402" i="3"/>
  <c r="M51" i="3"/>
  <c r="M49" i="3"/>
  <c r="R47" i="3"/>
  <c r="M43" i="3"/>
  <c r="AB36" i="3"/>
  <c r="W36" i="3"/>
  <c r="AB38" i="3"/>
  <c r="AC38" i="3" s="1"/>
  <c r="AB40" i="3"/>
  <c r="AB30" i="3"/>
  <c r="R30" i="3"/>
  <c r="R32" i="3"/>
  <c r="AB32" i="3"/>
  <c r="AB34" i="3"/>
  <c r="AB24" i="3"/>
  <c r="AB28" i="3"/>
  <c r="W28" i="3"/>
  <c r="R39" i="3"/>
  <c r="R31" i="3"/>
  <c r="AB419" i="3"/>
  <c r="AB415" i="3"/>
  <c r="AB411" i="3"/>
  <c r="AB409" i="3"/>
  <c r="AB413" i="3"/>
  <c r="AB407" i="3"/>
  <c r="AB403" i="3"/>
  <c r="W7" i="3"/>
  <c r="R7" i="3"/>
  <c r="W419" i="3"/>
  <c r="W415" i="3"/>
  <c r="W411" i="3"/>
  <c r="W407" i="3"/>
  <c r="W428" i="3"/>
  <c r="AB434" i="3"/>
  <c r="W432" i="3"/>
  <c r="AB435" i="3"/>
  <c r="AB429" i="3"/>
  <c r="AB433" i="3"/>
  <c r="AB425" i="3"/>
  <c r="AB421" i="3"/>
  <c r="M28" i="4" s="1"/>
  <c r="R435" i="3"/>
  <c r="W29" i="3"/>
  <c r="W27" i="3"/>
  <c r="W435" i="3"/>
  <c r="W429" i="3"/>
  <c r="W431" i="3"/>
  <c r="M431" i="3"/>
  <c r="AB346" i="3"/>
  <c r="AB338" i="3"/>
  <c r="AB330" i="3"/>
  <c r="R334" i="3"/>
  <c r="R336" i="3"/>
  <c r="Q336" i="3"/>
  <c r="R338" i="3"/>
  <c r="R342" i="3"/>
  <c r="W25" i="3"/>
  <c r="W340" i="3"/>
  <c r="M332" i="3"/>
  <c r="M340" i="3"/>
  <c r="M344" i="3"/>
  <c r="AB347" i="3"/>
  <c r="R339" i="3"/>
  <c r="R331" i="3"/>
  <c r="R330" i="3"/>
  <c r="M343" i="3"/>
  <c r="AB356" i="3"/>
  <c r="AB350" i="3"/>
  <c r="AB358" i="3"/>
  <c r="AB362" i="3"/>
  <c r="W356" i="3"/>
  <c r="M362" i="3"/>
  <c r="AB365" i="3"/>
  <c r="AB357" i="3"/>
  <c r="AB361" i="3"/>
  <c r="AB359" i="3"/>
  <c r="AB353" i="3"/>
  <c r="W363" i="3"/>
  <c r="M351" i="3"/>
  <c r="M354" i="3"/>
  <c r="M356" i="3"/>
  <c r="M357" i="3"/>
  <c r="M358" i="3"/>
  <c r="M361" i="3"/>
  <c r="AB382" i="3"/>
  <c r="AB378" i="3"/>
  <c r="AB370" i="3"/>
  <c r="AB366" i="3"/>
  <c r="M374" i="3"/>
  <c r="M108" i="3"/>
  <c r="M109" i="3"/>
  <c r="M110" i="3"/>
  <c r="M111" i="3"/>
  <c r="L111" i="3"/>
  <c r="M112" i="3"/>
  <c r="M113" i="3"/>
  <c r="L113" i="3"/>
  <c r="M114" i="3"/>
  <c r="V114" i="3"/>
  <c r="M115" i="3"/>
  <c r="L115" i="3"/>
  <c r="M116" i="3"/>
  <c r="V116" i="3"/>
  <c r="M117" i="3"/>
  <c r="L117" i="3"/>
  <c r="M118" i="3"/>
  <c r="V118" i="3"/>
  <c r="M119" i="3"/>
  <c r="L119" i="3"/>
  <c r="M120" i="3"/>
  <c r="V120" i="3"/>
  <c r="M121" i="3"/>
  <c r="L121" i="3"/>
  <c r="M122" i="3"/>
  <c r="M123" i="3"/>
  <c r="M124" i="3"/>
  <c r="M125" i="3"/>
  <c r="M126" i="3"/>
  <c r="M127" i="3"/>
  <c r="M128" i="3"/>
  <c r="M129" i="3"/>
  <c r="L129" i="3"/>
  <c r="M130" i="3"/>
  <c r="M131" i="3"/>
  <c r="M132" i="3"/>
  <c r="M133" i="3"/>
  <c r="M134" i="3"/>
  <c r="V134" i="3"/>
  <c r="M135" i="3"/>
  <c r="L135" i="3"/>
  <c r="M136" i="3"/>
  <c r="V136" i="3"/>
  <c r="M137" i="3"/>
  <c r="M138" i="3"/>
  <c r="M139" i="3"/>
  <c r="R33" i="3"/>
  <c r="W38" i="3"/>
  <c r="R41" i="3"/>
  <c r="R49" i="3"/>
  <c r="W54" i="3"/>
  <c r="W70" i="3"/>
  <c r="R73" i="3"/>
  <c r="W86" i="3"/>
  <c r="W94" i="3"/>
  <c r="R97" i="3"/>
  <c r="R104" i="3"/>
  <c r="W24" i="3"/>
  <c r="R26" i="3"/>
  <c r="R34" i="3"/>
  <c r="R35" i="3"/>
  <c r="R42" i="3"/>
  <c r="W48" i="3"/>
  <c r="R50" i="3"/>
  <c r="R51" i="3"/>
  <c r="M53" i="3"/>
  <c r="W56" i="3"/>
  <c r="R58" i="3"/>
  <c r="R59" i="3"/>
  <c r="M61" i="3"/>
  <c r="W64" i="3"/>
  <c r="R66" i="3"/>
  <c r="R67" i="3"/>
  <c r="M69" i="3"/>
  <c r="W72" i="3"/>
  <c r="R74" i="3"/>
  <c r="S74" i="3" s="1"/>
  <c r="R75" i="3"/>
  <c r="M77" i="3"/>
  <c r="W80" i="3"/>
  <c r="R82" i="3"/>
  <c r="S82" i="3" s="1"/>
  <c r="R83" i="3"/>
  <c r="M85" i="3"/>
  <c r="W88" i="3"/>
  <c r="R90" i="3"/>
  <c r="S90" i="3" s="1"/>
  <c r="R91" i="3"/>
  <c r="M93" i="3"/>
  <c r="W96" i="3"/>
  <c r="R98" i="3"/>
  <c r="S98" i="3" s="1"/>
  <c r="R99" i="3"/>
  <c r="M101" i="3"/>
  <c r="W103" i="3"/>
  <c r="R106" i="3"/>
  <c r="R140" i="3"/>
  <c r="W6" i="3"/>
  <c r="R9" i="3"/>
  <c r="W14" i="3"/>
  <c r="R17" i="3"/>
  <c r="W22" i="3"/>
  <c r="R25" i="3"/>
  <c r="W30" i="3"/>
  <c r="W46" i="3"/>
  <c r="R57" i="3"/>
  <c r="W62" i="3"/>
  <c r="R65" i="3"/>
  <c r="W78" i="3"/>
  <c r="R81" i="3"/>
  <c r="R89" i="3"/>
  <c r="W8" i="3"/>
  <c r="R10" i="3"/>
  <c r="R11" i="3"/>
  <c r="M13" i="3"/>
  <c r="W16" i="3"/>
  <c r="R18" i="3"/>
  <c r="R19" i="3"/>
  <c r="M21" i="3"/>
  <c r="R27" i="3"/>
  <c r="M29" i="3"/>
  <c r="W32" i="3"/>
  <c r="M37" i="3"/>
  <c r="W40" i="3"/>
  <c r="R43" i="3"/>
  <c r="M45" i="3"/>
  <c r="L6" i="3"/>
  <c r="M7" i="3"/>
  <c r="W10" i="3"/>
  <c r="R12" i="3"/>
  <c r="R13" i="3"/>
  <c r="M15" i="3"/>
  <c r="W18" i="3"/>
  <c r="R20" i="3"/>
  <c r="R21" i="3"/>
  <c r="M23" i="3"/>
  <c r="W26" i="3"/>
  <c r="R28" i="3"/>
  <c r="R29" i="3"/>
  <c r="M31" i="3"/>
  <c r="W34" i="3"/>
  <c r="R36" i="3"/>
  <c r="R37" i="3"/>
  <c r="M39" i="3"/>
  <c r="W42" i="3"/>
  <c r="R44" i="3"/>
  <c r="R45" i="3"/>
  <c r="M47" i="3"/>
  <c r="W50" i="3"/>
  <c r="R52" i="3"/>
  <c r="R53" i="3"/>
  <c r="M55" i="3"/>
  <c r="W58" i="3"/>
  <c r="R60" i="3"/>
  <c r="R61" i="3"/>
  <c r="M62" i="3"/>
  <c r="M63" i="3"/>
  <c r="W66" i="3"/>
  <c r="R68" i="3"/>
  <c r="R69" i="3"/>
  <c r="M70" i="3"/>
  <c r="M71" i="3"/>
  <c r="W74" i="3"/>
  <c r="R76" i="3"/>
  <c r="S76" i="3" s="1"/>
  <c r="R77" i="3"/>
  <c r="M78" i="3"/>
  <c r="M79" i="3"/>
  <c r="W82" i="3"/>
  <c r="R84" i="3"/>
  <c r="R85" i="3"/>
  <c r="M86" i="3"/>
  <c r="M87" i="3"/>
  <c r="W90" i="3"/>
  <c r="R92" i="3"/>
  <c r="R93" i="3"/>
  <c r="M94" i="3"/>
  <c r="M95" i="3"/>
  <c r="W98" i="3"/>
  <c r="R100" i="3"/>
  <c r="R101" i="3"/>
  <c r="M102" i="3"/>
  <c r="W104" i="3"/>
  <c r="W105" i="3"/>
  <c r="W106" i="3"/>
  <c r="X106" i="3" s="1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X134" i="3" s="1"/>
  <c r="W135" i="3"/>
  <c r="W136" i="3"/>
  <c r="W137" i="3"/>
  <c r="W138" i="3"/>
  <c r="W139" i="3"/>
  <c r="W145" i="3"/>
  <c r="W146" i="3"/>
  <c r="W147" i="3"/>
  <c r="W148" i="3"/>
  <c r="W149" i="3"/>
  <c r="W150" i="3"/>
  <c r="W151" i="3"/>
  <c r="W152" i="3"/>
  <c r="W153" i="3"/>
  <c r="W154" i="3"/>
  <c r="W155" i="3"/>
  <c r="X155" i="3" s="1"/>
  <c r="W156" i="3"/>
  <c r="W157" i="3"/>
  <c r="W158" i="3"/>
  <c r="W159" i="3"/>
  <c r="M330" i="3"/>
  <c r="M338" i="3"/>
  <c r="V338" i="3"/>
  <c r="M142" i="3"/>
  <c r="V142" i="3"/>
  <c r="M143" i="3"/>
  <c r="N143" i="3" s="1"/>
  <c r="L143" i="3"/>
  <c r="M144" i="3"/>
  <c r="M145" i="3"/>
  <c r="M146" i="3"/>
  <c r="V146" i="3"/>
  <c r="X146" i="3" s="1"/>
  <c r="M147" i="3"/>
  <c r="N147" i="3" s="1"/>
  <c r="L147" i="3"/>
  <c r="M148" i="3"/>
  <c r="M149" i="3"/>
  <c r="L149" i="3"/>
  <c r="N149" i="3" s="1"/>
  <c r="M150" i="3"/>
  <c r="M151" i="3"/>
  <c r="M152" i="3"/>
  <c r="V152" i="3"/>
  <c r="X152" i="3" s="1"/>
  <c r="M153" i="3"/>
  <c r="L153" i="3"/>
  <c r="M154" i="3"/>
  <c r="M155" i="3"/>
  <c r="N155" i="3" s="1"/>
  <c r="L155" i="3"/>
  <c r="M156" i="3"/>
  <c r="V156" i="3"/>
  <c r="M157" i="3"/>
  <c r="N157" i="3" s="1"/>
  <c r="M158" i="3"/>
  <c r="M159" i="3"/>
  <c r="M160" i="3"/>
  <c r="M161" i="3"/>
  <c r="N161" i="3" s="1"/>
  <c r="M162" i="3"/>
  <c r="M163" i="3"/>
  <c r="M182" i="3"/>
  <c r="W185" i="3"/>
  <c r="R186" i="3"/>
  <c r="R187" i="3"/>
  <c r="M189" i="3"/>
  <c r="W193" i="3"/>
  <c r="R194" i="3"/>
  <c r="R195" i="3"/>
  <c r="M197" i="3"/>
  <c r="R200" i="3"/>
  <c r="R201" i="3"/>
  <c r="M203" i="3"/>
  <c r="R208" i="3"/>
  <c r="R209" i="3"/>
  <c r="M211" i="3"/>
  <c r="R216" i="3"/>
  <c r="R217" i="3"/>
  <c r="M219" i="3"/>
  <c r="R222" i="3"/>
  <c r="R223" i="3"/>
  <c r="M226" i="3"/>
  <c r="R229" i="3"/>
  <c r="R230" i="3"/>
  <c r="R231" i="3"/>
  <c r="R232" i="3"/>
  <c r="R233" i="3"/>
  <c r="S233" i="3" s="1"/>
  <c r="M235" i="3"/>
  <c r="W237" i="3"/>
  <c r="W239" i="3"/>
  <c r="W245" i="3"/>
  <c r="W247" i="3"/>
  <c r="R249" i="3"/>
  <c r="R253" i="3"/>
  <c r="R259" i="3"/>
  <c r="S259" i="3" s="1"/>
  <c r="W263" i="3"/>
  <c r="R265" i="3"/>
  <c r="W274" i="3"/>
  <c r="R284" i="3"/>
  <c r="W288" i="3"/>
  <c r="R291" i="3"/>
  <c r="W296" i="3"/>
  <c r="R299" i="3"/>
  <c r="W303" i="3"/>
  <c r="W305" i="3"/>
  <c r="W306" i="3"/>
  <c r="W307" i="3"/>
  <c r="R311" i="3"/>
  <c r="AB313" i="3"/>
  <c r="W316" i="3"/>
  <c r="R318" i="3"/>
  <c r="W324" i="3"/>
  <c r="R351" i="3"/>
  <c r="W359" i="3"/>
  <c r="R164" i="3"/>
  <c r="R166" i="3"/>
  <c r="R168" i="3"/>
  <c r="R170" i="3"/>
  <c r="R172" i="3"/>
  <c r="R174" i="3"/>
  <c r="R176" i="3"/>
  <c r="R178" i="3"/>
  <c r="R180" i="3"/>
  <c r="M183" i="3"/>
  <c r="R188" i="3"/>
  <c r="R189" i="3"/>
  <c r="L189" i="3"/>
  <c r="N189" i="3" s="1"/>
  <c r="M190" i="3"/>
  <c r="M191" i="3"/>
  <c r="R196" i="3"/>
  <c r="R197" i="3"/>
  <c r="S197" i="3" s="1"/>
  <c r="L197" i="3"/>
  <c r="M198" i="3"/>
  <c r="W201" i="3"/>
  <c r="R202" i="3"/>
  <c r="R203" i="3"/>
  <c r="M204" i="3"/>
  <c r="M205" i="3"/>
  <c r="W209" i="3"/>
  <c r="R210" i="3"/>
  <c r="R211" i="3"/>
  <c r="M212" i="3"/>
  <c r="M213" i="3"/>
  <c r="N213" i="3" s="1"/>
  <c r="AB215" i="3"/>
  <c r="W217" i="3"/>
  <c r="R218" i="3"/>
  <c r="R219" i="3"/>
  <c r="S219" i="3" s="1"/>
  <c r="M220" i="3"/>
  <c r="AB221" i="3"/>
  <c r="R224" i="3"/>
  <c r="R225" i="3"/>
  <c r="M227" i="3"/>
  <c r="AB228" i="3"/>
  <c r="W229" i="3"/>
  <c r="W231" i="3"/>
  <c r="W232" i="3"/>
  <c r="R234" i="3"/>
  <c r="R235" i="3"/>
  <c r="M236" i="3"/>
  <c r="R242" i="3"/>
  <c r="R243" i="3"/>
  <c r="M244" i="3"/>
  <c r="M251" i="3"/>
  <c r="R254" i="3"/>
  <c r="R255" i="3"/>
  <c r="M257" i="3"/>
  <c r="R260" i="3"/>
  <c r="M261" i="3"/>
  <c r="M267" i="3"/>
  <c r="W269" i="3"/>
  <c r="W271" i="3"/>
  <c r="R272" i="3"/>
  <c r="R273" i="3"/>
  <c r="M274" i="3"/>
  <c r="R276" i="3"/>
  <c r="R277" i="3"/>
  <c r="R278" i="3"/>
  <c r="R279" i="3"/>
  <c r="M281" i="3"/>
  <c r="W283" i="3"/>
  <c r="R285" i="3"/>
  <c r="M287" i="3"/>
  <c r="W290" i="3"/>
  <c r="R292" i="3"/>
  <c r="R293" i="3"/>
  <c r="M295" i="3"/>
  <c r="W298" i="3"/>
  <c r="R300" i="3"/>
  <c r="R301" i="3"/>
  <c r="M302" i="3"/>
  <c r="R312" i="3"/>
  <c r="R314" i="3"/>
  <c r="R315" i="3"/>
  <c r="M316" i="3"/>
  <c r="R319" i="3"/>
  <c r="R320" i="3"/>
  <c r="R321" i="3"/>
  <c r="R322" i="3"/>
  <c r="R323" i="3"/>
  <c r="M324" i="3"/>
  <c r="W327" i="3"/>
  <c r="W329" i="3"/>
  <c r="W330" i="3"/>
  <c r="M333" i="3"/>
  <c r="W160" i="3"/>
  <c r="W161" i="3"/>
  <c r="W162" i="3"/>
  <c r="W163" i="3"/>
  <c r="M184" i="3"/>
  <c r="M192" i="3"/>
  <c r="L205" i="3"/>
  <c r="N205" i="3" s="1"/>
  <c r="M206" i="3"/>
  <c r="M214" i="3"/>
  <c r="AB223" i="3"/>
  <c r="M237" i="3"/>
  <c r="M238" i="3"/>
  <c r="M239" i="3"/>
  <c r="M423" i="3"/>
  <c r="M437" i="3"/>
  <c r="N437" i="3" s="1"/>
  <c r="M439" i="3"/>
  <c r="M453" i="3"/>
  <c r="M455" i="3"/>
  <c r="AA460" i="3"/>
  <c r="M463" i="3"/>
  <c r="L463" i="3"/>
  <c r="N463" i="3" s="1"/>
  <c r="V468" i="3"/>
  <c r="L473" i="3"/>
  <c r="L477" i="3"/>
  <c r="V490" i="3"/>
  <c r="V494" i="3"/>
  <c r="L495" i="3"/>
  <c r="M496" i="3"/>
  <c r="R499" i="3"/>
  <c r="V500" i="3"/>
  <c r="M501" i="3"/>
  <c r="R503" i="3"/>
  <c r="R504" i="3"/>
  <c r="M506" i="3"/>
  <c r="R510" i="3"/>
  <c r="R515" i="3"/>
  <c r="R516" i="3"/>
  <c r="AA519" i="3"/>
  <c r="M363" i="3"/>
  <c r="W364" i="3"/>
  <c r="W365" i="3"/>
  <c r="W366" i="3"/>
  <c r="R373" i="3"/>
  <c r="M375" i="3"/>
  <c r="W376" i="3"/>
  <c r="W377" i="3"/>
  <c r="W378" i="3"/>
  <c r="X378" i="3" s="1"/>
  <c r="W379" i="3"/>
  <c r="W395" i="3"/>
  <c r="W396" i="3"/>
  <c r="W397" i="3"/>
  <c r="X397" i="3" s="1"/>
  <c r="M341" i="3"/>
  <c r="R344" i="3"/>
  <c r="R345" i="3"/>
  <c r="R346" i="3"/>
  <c r="R347" i="3"/>
  <c r="M349" i="3"/>
  <c r="R352" i="3"/>
  <c r="R353" i="3"/>
  <c r="R354" i="3"/>
  <c r="R355" i="3"/>
  <c r="M359" i="3"/>
  <c r="W360" i="3"/>
  <c r="X360" i="3" s="1"/>
  <c r="W361" i="3"/>
  <c r="W367" i="3"/>
  <c r="R370" i="3"/>
  <c r="M371" i="3"/>
  <c r="W372" i="3"/>
  <c r="R374" i="3"/>
  <c r="W380" i="3"/>
  <c r="W381" i="3"/>
  <c r="W382" i="3"/>
  <c r="W383" i="3"/>
  <c r="W384" i="3"/>
  <c r="W385" i="3"/>
  <c r="W399" i="3"/>
  <c r="W422" i="3"/>
  <c r="W423" i="3"/>
  <c r="R427" i="3"/>
  <c r="W436" i="3"/>
  <c r="W437" i="3"/>
  <c r="W438" i="3"/>
  <c r="W439" i="3"/>
  <c r="R443" i="3"/>
  <c r="W452" i="3"/>
  <c r="W453" i="3"/>
  <c r="W454" i="3"/>
  <c r="X454" i="3" s="1"/>
  <c r="W455" i="3"/>
  <c r="R457" i="3"/>
  <c r="R458" i="3"/>
  <c r="M462" i="3"/>
  <c r="W462" i="3"/>
  <c r="W463" i="3"/>
  <c r="R465" i="3"/>
  <c r="W468" i="3"/>
  <c r="X468" i="3" s="1"/>
  <c r="W472" i="3"/>
  <c r="W473" i="3"/>
  <c r="M476" i="3"/>
  <c r="W477" i="3"/>
  <c r="R478" i="3"/>
  <c r="M480" i="3"/>
  <c r="R483" i="3"/>
  <c r="M485" i="3"/>
  <c r="N485" i="3" s="1"/>
  <c r="R487" i="3"/>
  <c r="R488" i="3"/>
  <c r="M490" i="3"/>
  <c r="W490" i="3"/>
  <c r="W491" i="3"/>
  <c r="R493" i="3"/>
  <c r="M494" i="3"/>
  <c r="W494" i="3"/>
  <c r="X494" i="3" s="1"/>
  <c r="W495" i="3"/>
  <c r="W500" i="3"/>
  <c r="W505" i="3"/>
  <c r="W511" i="3"/>
  <c r="W512" i="3"/>
  <c r="W517" i="3"/>
  <c r="R518" i="3"/>
  <c r="M520" i="3"/>
  <c r="W523" i="3"/>
  <c r="M526" i="3"/>
  <c r="W527" i="3"/>
  <c r="W533" i="3"/>
  <c r="W534" i="3"/>
  <c r="W535" i="3"/>
  <c r="W547" i="3"/>
  <c r="W548" i="3"/>
  <c r="X548" i="3" s="1"/>
  <c r="W549" i="3"/>
  <c r="R552" i="3"/>
  <c r="W557" i="3"/>
  <c r="R560" i="3"/>
  <c r="M240" i="3"/>
  <c r="M241" i="3"/>
  <c r="Q242" i="3"/>
  <c r="R244" i="3"/>
  <c r="M245" i="3"/>
  <c r="M246" i="3"/>
  <c r="M247" i="3"/>
  <c r="M248" i="3"/>
  <c r="R250" i="3"/>
  <c r="R251" i="3"/>
  <c r="M252" i="3"/>
  <c r="W255" i="3"/>
  <c r="R256" i="3"/>
  <c r="R257" i="3"/>
  <c r="M258" i="3"/>
  <c r="AB259" i="3"/>
  <c r="R261" i="3"/>
  <c r="M262" i="3"/>
  <c r="M264" i="3"/>
  <c r="R266" i="3"/>
  <c r="S266" i="3" s="1"/>
  <c r="R267" i="3"/>
  <c r="M268" i="3"/>
  <c r="W272" i="3"/>
  <c r="M275" i="3"/>
  <c r="W277" i="3"/>
  <c r="W279" i="3"/>
  <c r="R280" i="3"/>
  <c r="R281" i="3"/>
  <c r="M282" i="3"/>
  <c r="R286" i="3"/>
  <c r="R287" i="3"/>
  <c r="M288" i="3"/>
  <c r="M289" i="3"/>
  <c r="AB291" i="3"/>
  <c r="R294" i="3"/>
  <c r="R295" i="3"/>
  <c r="M296" i="3"/>
  <c r="M297" i="3"/>
  <c r="D21" i="4" s="1"/>
  <c r="AB299" i="3"/>
  <c r="M303" i="3"/>
  <c r="M304" i="3"/>
  <c r="M306" i="3"/>
  <c r="V306" i="3"/>
  <c r="M307" i="3"/>
  <c r="M308" i="3"/>
  <c r="M309" i="3"/>
  <c r="N309" i="3" s="1"/>
  <c r="R313" i="3"/>
  <c r="W314" i="3"/>
  <c r="V316" i="3"/>
  <c r="M317" i="3"/>
  <c r="AB318" i="3"/>
  <c r="W319" i="3"/>
  <c r="W321" i="3"/>
  <c r="M325" i="3"/>
  <c r="R332" i="3"/>
  <c r="R333" i="3"/>
  <c r="M334" i="3"/>
  <c r="M335" i="3"/>
  <c r="N335" i="3" s="1"/>
  <c r="L335" i="3"/>
  <c r="M336" i="3"/>
  <c r="AB339" i="3"/>
  <c r="R340" i="3"/>
  <c r="R341" i="3"/>
  <c r="M342" i="3"/>
  <c r="W345" i="3"/>
  <c r="R348" i="3"/>
  <c r="R349" i="3"/>
  <c r="M350" i="3"/>
  <c r="W353" i="3"/>
  <c r="R356" i="3"/>
  <c r="R357" i="3"/>
  <c r="M360" i="3"/>
  <c r="W362" i="3"/>
  <c r="M364" i="3"/>
  <c r="M365" i="3"/>
  <c r="M366" i="3"/>
  <c r="M367" i="3"/>
  <c r="W368" i="3"/>
  <c r="W369" i="3"/>
  <c r="W374" i="3"/>
  <c r="M376" i="3"/>
  <c r="M377" i="3"/>
  <c r="M378" i="3"/>
  <c r="M379" i="3"/>
  <c r="W386" i="3"/>
  <c r="W387" i="3"/>
  <c r="W388" i="3"/>
  <c r="W389" i="3"/>
  <c r="R391" i="3"/>
  <c r="M395" i="3"/>
  <c r="M397" i="3"/>
  <c r="W400" i="3"/>
  <c r="X400" i="3" s="1"/>
  <c r="W401" i="3"/>
  <c r="R403" i="3"/>
  <c r="R407" i="3"/>
  <c r="R411" i="3"/>
  <c r="R415" i="3"/>
  <c r="R419" i="3"/>
  <c r="M421" i="3"/>
  <c r="W424" i="3"/>
  <c r="W425" i="3"/>
  <c r="W426" i="3"/>
  <c r="W427" i="3"/>
  <c r="R431" i="3"/>
  <c r="M433" i="3"/>
  <c r="M435" i="3"/>
  <c r="W440" i="3"/>
  <c r="W441" i="3"/>
  <c r="W443" i="3"/>
  <c r="R447" i="3"/>
  <c r="M449" i="3"/>
  <c r="M451" i="3"/>
  <c r="W456" i="3"/>
  <c r="W457" i="3"/>
  <c r="W458" i="3"/>
  <c r="W459" i="3"/>
  <c r="R461" i="3"/>
  <c r="W464" i="3"/>
  <c r="AA464" i="3"/>
  <c r="W465" i="3"/>
  <c r="V466" i="3"/>
  <c r="M468" i="3"/>
  <c r="W469" i="3"/>
  <c r="R470" i="3"/>
  <c r="V470" i="3"/>
  <c r="L471" i="3"/>
  <c r="R475" i="3"/>
  <c r="V476" i="3"/>
  <c r="X476" i="3" s="1"/>
  <c r="R479" i="3"/>
  <c r="R480" i="3"/>
  <c r="M481" i="3"/>
  <c r="L481" i="3"/>
  <c r="M482" i="3"/>
  <c r="W482" i="3"/>
  <c r="X482" i="3" s="1"/>
  <c r="W483" i="3"/>
  <c r="R485" i="3"/>
  <c r="L485" i="3"/>
  <c r="M486" i="3"/>
  <c r="W486" i="3"/>
  <c r="W487" i="3"/>
  <c r="X487" i="3" s="1"/>
  <c r="R489" i="3"/>
  <c r="W492" i="3"/>
  <c r="W496" i="3"/>
  <c r="W497" i="3"/>
  <c r="X497" i="3" s="1"/>
  <c r="V498" i="3"/>
  <c r="M500" i="3"/>
  <c r="W501" i="3"/>
  <c r="R502" i="3"/>
  <c r="V502" i="3"/>
  <c r="L503" i="3"/>
  <c r="N503" i="3" s="1"/>
  <c r="M504" i="3"/>
  <c r="AB506" i="3"/>
  <c r="W507" i="3"/>
  <c r="W508" i="3"/>
  <c r="R509" i="3"/>
  <c r="V510" i="3"/>
  <c r="M511" i="3"/>
  <c r="W513" i="3"/>
  <c r="R514" i="3"/>
  <c r="M515" i="3"/>
  <c r="M516" i="3"/>
  <c r="W518" i="3"/>
  <c r="R519" i="3"/>
  <c r="R520" i="3"/>
  <c r="M521" i="3"/>
  <c r="M522" i="3"/>
  <c r="AB524" i="3"/>
  <c r="R525" i="3"/>
  <c r="R526" i="3"/>
  <c r="M528" i="3"/>
  <c r="W529" i="3"/>
  <c r="W530" i="3"/>
  <c r="W531" i="3"/>
  <c r="R532" i="3"/>
  <c r="M535" i="3"/>
  <c r="M536" i="3"/>
  <c r="R539" i="3"/>
  <c r="R540" i="3"/>
  <c r="M541" i="3"/>
  <c r="M542" i="3"/>
  <c r="R545" i="3"/>
  <c r="R546" i="3"/>
  <c r="L546" i="3"/>
  <c r="M547" i="3"/>
  <c r="M548" i="3"/>
  <c r="L548" i="3"/>
  <c r="N548" i="3" s="1"/>
  <c r="M549" i="3"/>
  <c r="M550" i="3"/>
  <c r="AB552" i="3"/>
  <c r="M35" i="4" s="1"/>
  <c r="Q552" i="3"/>
  <c r="S552" i="3" s="1"/>
  <c r="AA552" i="3"/>
  <c r="W553" i="3"/>
  <c r="Q553" i="3"/>
  <c r="AA553" i="3"/>
  <c r="R555" i="3"/>
  <c r="R556" i="3"/>
  <c r="M557" i="3"/>
  <c r="M558" i="3"/>
  <c r="AA560" i="3"/>
  <c r="W561" i="3"/>
  <c r="Q561" i="3"/>
  <c r="AA561" i="3"/>
  <c r="R564" i="3"/>
  <c r="M565" i="3"/>
  <c r="V565" i="3"/>
  <c r="M566" i="3"/>
  <c r="M567" i="3"/>
  <c r="V567" i="3"/>
  <c r="X567" i="3" s="1"/>
  <c r="M568" i="3"/>
  <c r="L568" i="3"/>
  <c r="N568" i="3" s="1"/>
  <c r="M569" i="3"/>
  <c r="M570" i="3"/>
  <c r="M571" i="3"/>
  <c r="W577" i="3"/>
  <c r="M581" i="3"/>
  <c r="V581" i="3"/>
  <c r="Q588" i="3"/>
  <c r="M592" i="3"/>
  <c r="L592" i="3"/>
  <c r="Q594" i="3"/>
  <c r="M605" i="3"/>
  <c r="M606" i="3"/>
  <c r="M607" i="3"/>
  <c r="M608" i="3"/>
  <c r="V609" i="3"/>
  <c r="M610" i="3"/>
  <c r="L610" i="3"/>
  <c r="V610" i="3"/>
  <c r="M611" i="3"/>
  <c r="V611" i="3"/>
  <c r="M612" i="3"/>
  <c r="L612" i="3"/>
  <c r="V612" i="3"/>
  <c r="V613" i="3"/>
  <c r="M614" i="3"/>
  <c r="L614" i="3"/>
  <c r="M616" i="3"/>
  <c r="L616" i="3"/>
  <c r="V616" i="3"/>
  <c r="M617" i="3"/>
  <c r="V617" i="3"/>
  <c r="M618" i="3"/>
  <c r="L618" i="3"/>
  <c r="M619" i="3"/>
  <c r="M620" i="3"/>
  <c r="V621" i="3"/>
  <c r="L628" i="3"/>
  <c r="Q564" i="3"/>
  <c r="AA564" i="3"/>
  <c r="W565" i="3"/>
  <c r="X565" i="3" s="1"/>
  <c r="Q565" i="3"/>
  <c r="W566" i="3"/>
  <c r="W567" i="3"/>
  <c r="W568" i="3"/>
  <c r="Q568" i="3"/>
  <c r="AA568" i="3"/>
  <c r="W569" i="3"/>
  <c r="AA569" i="3"/>
  <c r="W570" i="3"/>
  <c r="Q570" i="3"/>
  <c r="AA570" i="3"/>
  <c r="W571" i="3"/>
  <c r="Q571" i="3"/>
  <c r="R573" i="3"/>
  <c r="S573" i="3" s="1"/>
  <c r="R574" i="3"/>
  <c r="R576" i="3"/>
  <c r="M577" i="3"/>
  <c r="M578" i="3"/>
  <c r="W581" i="3"/>
  <c r="R583" i="3"/>
  <c r="R584" i="3"/>
  <c r="R586" i="3"/>
  <c r="R587" i="3"/>
  <c r="R588" i="3"/>
  <c r="M589" i="3"/>
  <c r="W591" i="3"/>
  <c r="W592" i="3"/>
  <c r="R593" i="3"/>
  <c r="R594" i="3"/>
  <c r="M595" i="3"/>
  <c r="R597" i="3"/>
  <c r="R598" i="3"/>
  <c r="M599" i="3"/>
  <c r="R602" i="3"/>
  <c r="M603" i="3"/>
  <c r="W604" i="3"/>
  <c r="W605" i="3"/>
  <c r="W606" i="3"/>
  <c r="W607" i="3"/>
  <c r="W608" i="3"/>
  <c r="W609" i="3"/>
  <c r="W610" i="3"/>
  <c r="W611" i="3"/>
  <c r="W612" i="3"/>
  <c r="W613" i="3"/>
  <c r="W614" i="3"/>
  <c r="X614" i="3" s="1"/>
  <c r="W615" i="3"/>
  <c r="W616" i="3"/>
  <c r="W617" i="3"/>
  <c r="W618" i="3"/>
  <c r="W619" i="3"/>
  <c r="W620" i="3"/>
  <c r="W621" i="3"/>
  <c r="R623" i="3"/>
  <c r="R624" i="3"/>
  <c r="R629" i="3"/>
  <c r="R630" i="3"/>
  <c r="W635" i="3"/>
  <c r="W636" i="3"/>
  <c r="W642" i="3"/>
  <c r="W643" i="3"/>
  <c r="W644" i="3"/>
  <c r="W645" i="3"/>
  <c r="W646" i="3"/>
  <c r="W652" i="3"/>
  <c r="W653" i="3"/>
  <c r="R655" i="3"/>
  <c r="M656" i="3"/>
  <c r="W656" i="3"/>
  <c r="W657" i="3"/>
  <c r="W658" i="3"/>
  <c r="W659" i="3"/>
  <c r="W660" i="3"/>
  <c r="W661" i="3"/>
  <c r="W671" i="3"/>
  <c r="R674" i="3"/>
  <c r="R678" i="3"/>
  <c r="W681" i="3"/>
  <c r="W685" i="3"/>
  <c r="W691" i="3"/>
  <c r="W693" i="3"/>
  <c r="R529" i="3"/>
  <c r="R530" i="3"/>
  <c r="R531" i="3"/>
  <c r="M533" i="3"/>
  <c r="R543" i="3"/>
  <c r="R544" i="3"/>
  <c r="M546" i="3"/>
  <c r="W551" i="3"/>
  <c r="R553" i="3"/>
  <c r="R554" i="3"/>
  <c r="M556" i="3"/>
  <c r="W559" i="3"/>
  <c r="R561" i="3"/>
  <c r="M564" i="3"/>
  <c r="R577" i="3"/>
  <c r="R578" i="3"/>
  <c r="L578" i="3"/>
  <c r="N578" i="3" s="1"/>
  <c r="M579" i="3"/>
  <c r="M580" i="3"/>
  <c r="Q582" i="3"/>
  <c r="W583" i="3"/>
  <c r="AA583" i="3"/>
  <c r="W584" i="3"/>
  <c r="Q584" i="3"/>
  <c r="W585" i="3"/>
  <c r="X585" i="3" s="1"/>
  <c r="AA585" i="3"/>
  <c r="W586" i="3"/>
  <c r="Q586" i="3"/>
  <c r="AA586" i="3"/>
  <c r="AC586" i="3" s="1"/>
  <c r="W587" i="3"/>
  <c r="Q587" i="3"/>
  <c r="S587" i="3" s="1"/>
  <c r="AA587" i="3"/>
  <c r="V589" i="3"/>
  <c r="M590" i="3"/>
  <c r="M591" i="3"/>
  <c r="W593" i="3"/>
  <c r="AA593" i="3"/>
  <c r="M596" i="3"/>
  <c r="W597" i="3"/>
  <c r="Q597" i="3"/>
  <c r="V599" i="3"/>
  <c r="M600" i="3"/>
  <c r="AB601" i="3"/>
  <c r="Q601" i="3"/>
  <c r="R603" i="3"/>
  <c r="M604" i="3"/>
  <c r="AB622" i="3"/>
  <c r="W623" i="3"/>
  <c r="W624" i="3"/>
  <c r="R625" i="3"/>
  <c r="R626" i="3"/>
  <c r="V627" i="3"/>
  <c r="M628" i="3"/>
  <c r="W629" i="3"/>
  <c r="W630" i="3"/>
  <c r="R631" i="3"/>
  <c r="R632" i="3"/>
  <c r="W637" i="3"/>
  <c r="W638" i="3"/>
  <c r="R639" i="3"/>
  <c r="M642" i="3"/>
  <c r="N642" i="3" s="1"/>
  <c r="W647" i="3"/>
  <c r="R648" i="3"/>
  <c r="M652" i="3"/>
  <c r="W654" i="3"/>
  <c r="W663" i="3"/>
  <c r="R665" i="3"/>
  <c r="R667" i="3"/>
  <c r="R669" i="3"/>
  <c r="S669" i="3" s="1"/>
  <c r="R670" i="3"/>
  <c r="M671" i="3"/>
  <c r="W673" i="3"/>
  <c r="R675" i="3"/>
  <c r="M676" i="3"/>
  <c r="W677" i="3"/>
  <c r="R679" i="3"/>
  <c r="M680" i="3"/>
  <c r="R683" i="3"/>
  <c r="M684" i="3"/>
  <c r="W687" i="3"/>
  <c r="M690" i="3"/>
  <c r="R696" i="3"/>
  <c r="R697" i="3"/>
  <c r="R698" i="3"/>
  <c r="R699" i="3"/>
  <c r="M709" i="3"/>
  <c r="V709" i="3"/>
  <c r="X709" i="3" s="1"/>
  <c r="R714" i="3"/>
  <c r="M715" i="3"/>
  <c r="W719" i="3"/>
  <c r="Q719" i="3"/>
  <c r="R722" i="3"/>
  <c r="V722" i="3"/>
  <c r="M723" i="3"/>
  <c r="Q725" i="3"/>
  <c r="R728" i="3"/>
  <c r="Q732" i="3"/>
  <c r="W733" i="3"/>
  <c r="W738" i="3"/>
  <c r="Q738" i="3"/>
  <c r="R743" i="3"/>
  <c r="S743" i="3" s="1"/>
  <c r="Q746" i="3"/>
  <c r="W747" i="3"/>
  <c r="W748" i="3"/>
  <c r="AA748" i="3"/>
  <c r="W749" i="3"/>
  <c r="Q749" i="3"/>
  <c r="AA750" i="3"/>
  <c r="W751" i="3"/>
  <c r="Q751" i="3"/>
  <c r="AA751" i="3"/>
  <c r="W752" i="3"/>
  <c r="AA752" i="3"/>
  <c r="AC752" i="3" s="1"/>
  <c r="R757" i="3"/>
  <c r="M759" i="3"/>
  <c r="M703" i="3"/>
  <c r="W705" i="3"/>
  <c r="M712" i="3"/>
  <c r="M718" i="3"/>
  <c r="M725" i="3"/>
  <c r="R729" i="3"/>
  <c r="M732" i="3"/>
  <c r="M738" i="3"/>
  <c r="R758" i="3"/>
  <c r="W631" i="3"/>
  <c r="X631" i="3" s="1"/>
  <c r="W632" i="3"/>
  <c r="R633" i="3"/>
  <c r="R634" i="3"/>
  <c r="V635" i="3"/>
  <c r="M636" i="3"/>
  <c r="L636" i="3"/>
  <c r="W639" i="3"/>
  <c r="R641" i="3"/>
  <c r="M643" i="3"/>
  <c r="M644" i="3"/>
  <c r="M646" i="3"/>
  <c r="M647" i="3"/>
  <c r="R649" i="3"/>
  <c r="R651" i="3"/>
  <c r="M653" i="3"/>
  <c r="M654" i="3"/>
  <c r="M658" i="3"/>
  <c r="L659" i="3"/>
  <c r="M660" i="3"/>
  <c r="L661" i="3"/>
  <c r="M662" i="3"/>
  <c r="W664" i="3"/>
  <c r="W665" i="3"/>
  <c r="W666" i="3"/>
  <c r="W667" i="3"/>
  <c r="W668" i="3"/>
  <c r="W669" i="3"/>
  <c r="M672" i="3"/>
  <c r="R676" i="3"/>
  <c r="M677" i="3"/>
  <c r="AB678" i="3"/>
  <c r="R680" i="3"/>
  <c r="M682" i="3"/>
  <c r="R684" i="3"/>
  <c r="M685" i="3"/>
  <c r="M686" i="3"/>
  <c r="R689" i="3"/>
  <c r="R690" i="3"/>
  <c r="L690" i="3"/>
  <c r="M691" i="3"/>
  <c r="V691" i="3"/>
  <c r="M692" i="3"/>
  <c r="M693" i="3"/>
  <c r="L693" i="3"/>
  <c r="M694" i="3"/>
  <c r="M695" i="3"/>
  <c r="W697" i="3"/>
  <c r="R700" i="3"/>
  <c r="R701" i="3"/>
  <c r="R702" i="3"/>
  <c r="M704" i="3"/>
  <c r="W707" i="3"/>
  <c r="Q707" i="3"/>
  <c r="W708" i="3"/>
  <c r="W709" i="3"/>
  <c r="Q709" i="3"/>
  <c r="S709" i="3" s="1"/>
  <c r="R712" i="3"/>
  <c r="M713" i="3"/>
  <c r="W715" i="3"/>
  <c r="Q715" i="3"/>
  <c r="R718" i="3"/>
  <c r="M719" i="3"/>
  <c r="V719" i="3"/>
  <c r="W723" i="3"/>
  <c r="Q723" i="3"/>
  <c r="M726" i="3"/>
  <c r="W729" i="3"/>
  <c r="Q729" i="3"/>
  <c r="R731" i="3"/>
  <c r="M733" i="3"/>
  <c r="M734" i="3"/>
  <c r="W736" i="3"/>
  <c r="M739" i="3"/>
  <c r="AB743" i="3"/>
  <c r="R744" i="3"/>
  <c r="R745" i="3"/>
  <c r="M746" i="3"/>
  <c r="M747" i="3"/>
  <c r="M748" i="3"/>
  <c r="M749" i="3"/>
  <c r="M750" i="3"/>
  <c r="M751" i="3"/>
  <c r="M752" i="3"/>
  <c r="R760" i="3"/>
  <c r="V704" i="3"/>
  <c r="M706" i="3"/>
  <c r="M736" i="3"/>
  <c r="R746" i="3"/>
  <c r="R747" i="3"/>
  <c r="R748" i="3"/>
  <c r="R749" i="3"/>
  <c r="R750" i="3"/>
  <c r="R751" i="3"/>
  <c r="M6" i="3"/>
  <c r="M8" i="3"/>
  <c r="M10" i="3"/>
  <c r="M12" i="3"/>
  <c r="M14" i="3"/>
  <c r="M16" i="3"/>
  <c r="M18" i="3"/>
  <c r="M20" i="3"/>
  <c r="M22" i="3"/>
  <c r="M24" i="3"/>
  <c r="M26" i="3"/>
  <c r="M28" i="3"/>
  <c r="M30" i="3"/>
  <c r="M32" i="3"/>
  <c r="M34" i="3"/>
  <c r="M36" i="3"/>
  <c r="M38" i="3"/>
  <c r="M40" i="3"/>
  <c r="M42" i="3"/>
  <c r="M44" i="3"/>
  <c r="M46" i="3"/>
  <c r="M48" i="3"/>
  <c r="M50" i="3"/>
  <c r="M52" i="3"/>
  <c r="M54" i="3"/>
  <c r="M56" i="3"/>
  <c r="M58" i="3"/>
  <c r="R105" i="3"/>
  <c r="R107" i="3"/>
  <c r="R109" i="3"/>
  <c r="R111" i="3"/>
  <c r="R113" i="3"/>
  <c r="R115" i="3"/>
  <c r="R117" i="3"/>
  <c r="R119" i="3"/>
  <c r="R121" i="3"/>
  <c r="R123" i="3"/>
  <c r="R125" i="3"/>
  <c r="R127" i="3"/>
  <c r="R129" i="3"/>
  <c r="R131" i="3"/>
  <c r="R133" i="3"/>
  <c r="R135" i="3"/>
  <c r="R137" i="3"/>
  <c r="R139" i="3"/>
  <c r="R141" i="3"/>
  <c r="R143" i="3"/>
  <c r="R145" i="3"/>
  <c r="R147" i="3"/>
  <c r="R149" i="3"/>
  <c r="R151" i="3"/>
  <c r="R153" i="3"/>
  <c r="R155" i="3"/>
  <c r="R157" i="3"/>
  <c r="R159" i="3"/>
  <c r="R161" i="3"/>
  <c r="R163" i="3"/>
  <c r="R165" i="3"/>
  <c r="R167" i="3"/>
  <c r="R169" i="3"/>
  <c r="R171" i="3"/>
  <c r="R173" i="3"/>
  <c r="R175" i="3"/>
  <c r="R177" i="3"/>
  <c r="R179" i="3"/>
  <c r="R181" i="3"/>
  <c r="M185" i="3"/>
  <c r="M193" i="3"/>
  <c r="M201" i="3"/>
  <c r="M209" i="3"/>
  <c r="M217" i="3"/>
  <c r="N217" i="3" s="1"/>
  <c r="M225" i="3"/>
  <c r="M231" i="3"/>
  <c r="M263" i="3"/>
  <c r="M279" i="3"/>
  <c r="D20" i="4" s="1"/>
  <c r="M305" i="3"/>
  <c r="M329" i="3"/>
  <c r="M331" i="3"/>
  <c r="M337" i="3"/>
  <c r="M339" i="3"/>
  <c r="M345" i="3"/>
  <c r="M347" i="3"/>
  <c r="M353" i="3"/>
  <c r="M355" i="3"/>
  <c r="R358" i="3"/>
  <c r="R359" i="3"/>
  <c r="R360" i="3"/>
  <c r="R361" i="3"/>
  <c r="R362" i="3"/>
  <c r="R363" i="3"/>
  <c r="R364" i="3"/>
  <c r="R366" i="3"/>
  <c r="R367" i="3"/>
  <c r="R368" i="3"/>
  <c r="R369" i="3"/>
  <c r="R371" i="3"/>
  <c r="R372" i="3"/>
  <c r="R375" i="3"/>
  <c r="R376" i="3"/>
  <c r="R378" i="3"/>
  <c r="R379" i="3"/>
  <c r="M380" i="3"/>
  <c r="R380" i="3"/>
  <c r="R381" i="3"/>
  <c r="M382" i="3"/>
  <c r="R382" i="3"/>
  <c r="R383" i="3"/>
  <c r="M384" i="3"/>
  <c r="R384" i="3"/>
  <c r="M386" i="3"/>
  <c r="R386" i="3"/>
  <c r="R387" i="3"/>
  <c r="M388" i="3"/>
  <c r="R388" i="3"/>
  <c r="R389" i="3"/>
  <c r="M390" i="3"/>
  <c r="R390" i="3"/>
  <c r="M392" i="3"/>
  <c r="R392" i="3"/>
  <c r="R393" i="3"/>
  <c r="M394" i="3"/>
  <c r="R394" i="3"/>
  <c r="M396" i="3"/>
  <c r="R396" i="3"/>
  <c r="M398" i="3"/>
  <c r="R398" i="3"/>
  <c r="M400" i="3"/>
  <c r="R400" i="3"/>
  <c r="R401" i="3"/>
  <c r="M402" i="3"/>
  <c r="R402" i="3"/>
  <c r="M404" i="3"/>
  <c r="R404" i="3"/>
  <c r="R405" i="3"/>
  <c r="M406" i="3"/>
  <c r="R406" i="3"/>
  <c r="M408" i="3"/>
  <c r="R408" i="3"/>
  <c r="R409" i="3"/>
  <c r="M410" i="3"/>
  <c r="R410" i="3"/>
  <c r="M412" i="3"/>
  <c r="R412" i="3"/>
  <c r="R413" i="3"/>
  <c r="M414" i="3"/>
  <c r="R414" i="3"/>
  <c r="M416" i="3"/>
  <c r="R416" i="3"/>
  <c r="R417" i="3"/>
  <c r="M418" i="3"/>
  <c r="R418" i="3"/>
  <c r="M420" i="3"/>
  <c r="R420" i="3"/>
  <c r="R421" i="3"/>
  <c r="M422" i="3"/>
  <c r="R422" i="3"/>
  <c r="M424" i="3"/>
  <c r="R424" i="3"/>
  <c r="R425" i="3"/>
  <c r="M426" i="3"/>
  <c r="R426" i="3"/>
  <c r="M428" i="3"/>
  <c r="R428" i="3"/>
  <c r="R429" i="3"/>
  <c r="M430" i="3"/>
  <c r="R430" i="3"/>
  <c r="M432" i="3"/>
  <c r="R432" i="3"/>
  <c r="R433" i="3"/>
  <c r="M434" i="3"/>
  <c r="R434" i="3"/>
  <c r="M436" i="3"/>
  <c r="R436" i="3"/>
  <c r="R437" i="3"/>
  <c r="M438" i="3"/>
  <c r="R438" i="3"/>
  <c r="M440" i="3"/>
  <c r="R440" i="3"/>
  <c r="R441" i="3"/>
  <c r="M442" i="3"/>
  <c r="R442" i="3"/>
  <c r="M444" i="3"/>
  <c r="R444" i="3"/>
  <c r="R445" i="3"/>
  <c r="M446" i="3"/>
  <c r="R446" i="3"/>
  <c r="M448" i="3"/>
  <c r="N448" i="3" s="1"/>
  <c r="R448" i="3"/>
  <c r="R449" i="3"/>
  <c r="M450" i="3"/>
  <c r="R450" i="3"/>
  <c r="M452" i="3"/>
  <c r="R452" i="3"/>
  <c r="R453" i="3"/>
  <c r="M454" i="3"/>
  <c r="R454" i="3"/>
  <c r="M456" i="3"/>
  <c r="R456" i="3"/>
  <c r="M457" i="3"/>
  <c r="N457" i="3" s="1"/>
  <c r="R459" i="3"/>
  <c r="R460" i="3"/>
  <c r="M461" i="3"/>
  <c r="R464" i="3"/>
  <c r="M465" i="3"/>
  <c r="R466" i="3"/>
  <c r="M467" i="3"/>
  <c r="R468" i="3"/>
  <c r="M469" i="3"/>
  <c r="M471" i="3"/>
  <c r="M472" i="3"/>
  <c r="M473" i="3"/>
  <c r="R474" i="3"/>
  <c r="M475" i="3"/>
  <c r="R476" i="3"/>
  <c r="M477" i="3"/>
  <c r="N477" i="3" s="1"/>
  <c r="M479" i="3"/>
  <c r="R482" i="3"/>
  <c r="M483" i="3"/>
  <c r="R484" i="3"/>
  <c r="M487" i="3"/>
  <c r="R490" i="3"/>
  <c r="M491" i="3"/>
  <c r="R492" i="3"/>
  <c r="M495" i="3"/>
  <c r="R498" i="3"/>
  <c r="M499" i="3"/>
  <c r="R500" i="3"/>
  <c r="M503" i="3"/>
  <c r="M505" i="3"/>
  <c r="M509" i="3"/>
  <c r="M512" i="3"/>
  <c r="M513" i="3"/>
  <c r="M517" i="3"/>
  <c r="M523" i="3"/>
  <c r="M525" i="3"/>
  <c r="M527" i="3"/>
  <c r="M531" i="3"/>
  <c r="M534" i="3"/>
  <c r="M540" i="3"/>
  <c r="N540" i="3" s="1"/>
  <c r="R559" i="3"/>
  <c r="R563" i="3"/>
  <c r="R575" i="3"/>
  <c r="R585" i="3"/>
  <c r="R608" i="3"/>
  <c r="M609" i="3"/>
  <c r="M613" i="3"/>
  <c r="M615" i="3"/>
  <c r="M621" i="3"/>
  <c r="M623" i="3"/>
  <c r="M625" i="3"/>
  <c r="M627" i="3"/>
  <c r="M629" i="3"/>
  <c r="M631" i="3"/>
  <c r="M633" i="3"/>
  <c r="M635" i="3"/>
  <c r="M637" i="3"/>
  <c r="M639" i="3"/>
  <c r="R640" i="3"/>
  <c r="R642" i="3"/>
  <c r="R643" i="3"/>
  <c r="R644" i="3"/>
  <c r="M645" i="3"/>
  <c r="R646" i="3"/>
  <c r="M649" i="3"/>
  <c r="R650" i="3"/>
  <c r="R652" i="3"/>
  <c r="R654" i="3"/>
  <c r="R656" i="3"/>
  <c r="M657" i="3"/>
  <c r="M659" i="3"/>
  <c r="M661" i="3"/>
  <c r="R662" i="3"/>
  <c r="R664" i="3"/>
  <c r="M665" i="3"/>
  <c r="R666" i="3"/>
  <c r="R668" i="3"/>
  <c r="M669" i="3"/>
  <c r="R671" i="3"/>
  <c r="M673" i="3"/>
  <c r="M681" i="3"/>
  <c r="M689" i="3"/>
  <c r="M697" i="3"/>
  <c r="M699" i="3"/>
  <c r="M701" i="3"/>
  <c r="M705" i="3"/>
  <c r="R705" i="3"/>
  <c r="R707" i="3"/>
  <c r="R709" i="3"/>
  <c r="R711" i="3"/>
  <c r="R713" i="3"/>
  <c r="R715" i="3"/>
  <c r="R717" i="3"/>
  <c r="R719" i="3"/>
  <c r="M721" i="3"/>
  <c r="R721" i="3"/>
  <c r="S721" i="3" s="1"/>
  <c r="R723" i="3"/>
  <c r="R725" i="3"/>
  <c r="M727" i="3"/>
  <c r="R727" i="3"/>
  <c r="M729" i="3"/>
  <c r="M735" i="3"/>
  <c r="M755" i="3"/>
  <c r="M757" i="3"/>
  <c r="R759" i="3"/>
  <c r="R761" i="3"/>
  <c r="W61" i="3"/>
  <c r="W63" i="3"/>
  <c r="W65" i="3"/>
  <c r="W67" i="3"/>
  <c r="W69" i="3"/>
  <c r="W71" i="3"/>
  <c r="W73" i="3"/>
  <c r="W75" i="3"/>
  <c r="W77" i="3"/>
  <c r="W79" i="3"/>
  <c r="W81" i="3"/>
  <c r="W83" i="3"/>
  <c r="W85" i="3"/>
  <c r="W87" i="3"/>
  <c r="W89" i="3"/>
  <c r="W91" i="3"/>
  <c r="W93" i="3"/>
  <c r="W95" i="3"/>
  <c r="W97" i="3"/>
  <c r="W99" i="3"/>
  <c r="W101" i="3"/>
  <c r="W182" i="3"/>
  <c r="W184" i="3"/>
  <c r="W186" i="3"/>
  <c r="W190" i="3"/>
  <c r="W192" i="3"/>
  <c r="W194" i="3"/>
  <c r="W196" i="3"/>
  <c r="W198" i="3"/>
  <c r="W200" i="3"/>
  <c r="W202" i="3"/>
  <c r="W204" i="3"/>
  <c r="W206" i="3"/>
  <c r="W208" i="3"/>
  <c r="X208" i="3" s="1"/>
  <c r="W210" i="3"/>
  <c r="W214" i="3"/>
  <c r="W216" i="3"/>
  <c r="W218" i="3"/>
  <c r="X218" i="3" s="1"/>
  <c r="W220" i="3"/>
  <c r="W222" i="3"/>
  <c r="W224" i="3"/>
  <c r="W226" i="3"/>
  <c r="W228" i="3"/>
  <c r="W230" i="3"/>
  <c r="W236" i="3"/>
  <c r="W238" i="3"/>
  <c r="W240" i="3"/>
  <c r="W242" i="3"/>
  <c r="W244" i="3"/>
  <c r="W246" i="3"/>
  <c r="W248" i="3"/>
  <c r="W252" i="3"/>
  <c r="W254" i="3"/>
  <c r="W256" i="3"/>
  <c r="W258" i="3"/>
  <c r="W260" i="3"/>
  <c r="W262" i="3"/>
  <c r="W264" i="3"/>
  <c r="W266" i="3"/>
  <c r="W268" i="3"/>
  <c r="W270" i="3"/>
  <c r="W276" i="3"/>
  <c r="W278" i="3"/>
  <c r="W280" i="3"/>
  <c r="W282" i="3"/>
  <c r="W284" i="3"/>
  <c r="W286" i="3"/>
  <c r="W292" i="3"/>
  <c r="W294" i="3"/>
  <c r="W300" i="3"/>
  <c r="W302" i="3"/>
  <c r="W304" i="3"/>
  <c r="W308" i="3"/>
  <c r="W310" i="3"/>
  <c r="X310" i="3" s="1"/>
  <c r="W312" i="3"/>
  <c r="W318" i="3"/>
  <c r="W320" i="3"/>
  <c r="W322" i="3"/>
  <c r="W326" i="3"/>
  <c r="W328" i="3"/>
  <c r="W332" i="3"/>
  <c r="W334" i="3"/>
  <c r="W336" i="3"/>
  <c r="W338" i="3"/>
  <c r="X338" i="3" s="1"/>
  <c r="W342" i="3"/>
  <c r="W344" i="3"/>
  <c r="X344" i="3" s="1"/>
  <c r="W346" i="3"/>
  <c r="W348" i="3"/>
  <c r="W350" i="3"/>
  <c r="W352" i="3"/>
  <c r="W354" i="3"/>
  <c r="W394" i="3"/>
  <c r="W398" i="3"/>
  <c r="W406" i="3"/>
  <c r="W414" i="3"/>
  <c r="W418" i="3"/>
  <c r="W430" i="3"/>
  <c r="W434" i="3"/>
  <c r="W442" i="3"/>
  <c r="W537" i="3"/>
  <c r="W539" i="3"/>
  <c r="W541" i="3"/>
  <c r="W543" i="3"/>
  <c r="W599" i="3"/>
  <c r="W655" i="3"/>
  <c r="W692" i="3"/>
  <c r="W694" i="3"/>
  <c r="W696" i="3"/>
  <c r="W698" i="3"/>
  <c r="W700" i="3"/>
  <c r="W702" i="3"/>
  <c r="W704" i="3"/>
  <c r="X704" i="3" s="1"/>
  <c r="W732" i="3"/>
  <c r="W734" i="3"/>
  <c r="W740" i="3"/>
  <c r="W742" i="3"/>
  <c r="W746" i="3"/>
  <c r="W750" i="3"/>
  <c r="W754" i="3"/>
  <c r="W756" i="3"/>
  <c r="W758" i="3"/>
  <c r="W760" i="3"/>
  <c r="W31" i="3"/>
  <c r="W33" i="3"/>
  <c r="W35" i="3"/>
  <c r="W37" i="3"/>
  <c r="K42" i="9" s="1"/>
  <c r="W39" i="3"/>
  <c r="W41" i="3"/>
  <c r="W43" i="3"/>
  <c r="W45" i="3"/>
  <c r="K12" i="9" s="1"/>
  <c r="W47" i="3"/>
  <c r="W49" i="3"/>
  <c r="W51" i="3"/>
  <c r="W53" i="3"/>
  <c r="W55" i="3"/>
  <c r="W57" i="3"/>
  <c r="W59" i="3"/>
  <c r="AB61" i="3"/>
  <c r="AB63" i="3"/>
  <c r="AB65" i="3"/>
  <c r="AB67" i="3"/>
  <c r="AB69" i="3"/>
  <c r="AB71" i="3"/>
  <c r="AB73" i="3"/>
  <c r="AB75" i="3"/>
  <c r="AB77" i="3"/>
  <c r="AB79" i="3"/>
  <c r="AB81" i="3"/>
  <c r="AB83" i="3"/>
  <c r="AB85" i="3"/>
  <c r="AB87" i="3"/>
  <c r="AB89" i="3"/>
  <c r="AB91" i="3"/>
  <c r="AB93" i="3"/>
  <c r="AB95" i="3"/>
  <c r="AB97" i="3"/>
  <c r="AB99" i="3"/>
  <c r="AB101" i="3"/>
  <c r="AB183" i="3"/>
  <c r="AB187" i="3"/>
  <c r="AB190" i="3"/>
  <c r="AB191" i="3"/>
  <c r="AB195" i="3"/>
  <c r="AB198" i="3"/>
  <c r="AB199" i="3"/>
  <c r="AB203" i="3"/>
  <c r="AC203" i="3" s="1"/>
  <c r="AB207" i="3"/>
  <c r="AB211" i="3"/>
  <c r="AB214" i="3"/>
  <c r="AB219" i="3"/>
  <c r="AB227" i="3"/>
  <c r="AB229" i="3"/>
  <c r="AB233" i="3"/>
  <c r="AB235" i="3"/>
  <c r="AB236" i="3"/>
  <c r="AB237" i="3"/>
  <c r="AB239" i="3"/>
  <c r="AB241" i="3"/>
  <c r="AB244" i="3"/>
  <c r="AB247" i="3"/>
  <c r="AB248" i="3"/>
  <c r="AB249" i="3"/>
  <c r="AB256" i="3"/>
  <c r="AB257" i="3"/>
  <c r="AB260" i="3"/>
  <c r="AB263" i="3"/>
  <c r="AB264" i="3"/>
  <c r="AB265" i="3"/>
  <c r="AB268" i="3"/>
  <c r="AB271" i="3"/>
  <c r="AB272" i="3"/>
  <c r="AB273" i="3"/>
  <c r="AB276" i="3"/>
  <c r="AB279" i="3"/>
  <c r="AB280" i="3"/>
  <c r="AB281" i="3"/>
  <c r="AB284" i="3"/>
  <c r="AB287" i="3"/>
  <c r="AB289" i="3"/>
  <c r="AB295" i="3"/>
  <c r="AB297" i="3"/>
  <c r="AB301" i="3"/>
  <c r="AC301" i="3" s="1"/>
  <c r="AB303" i="3"/>
  <c r="AB307" i="3"/>
  <c r="AB309" i="3"/>
  <c r="AB310" i="3"/>
  <c r="AB311" i="3"/>
  <c r="AB312" i="3"/>
  <c r="AB315" i="3"/>
  <c r="AB317" i="3"/>
  <c r="AB320" i="3"/>
  <c r="AB321" i="3"/>
  <c r="AB325" i="3"/>
  <c r="AB326" i="3"/>
  <c r="AB328" i="3"/>
  <c r="AB329" i="3"/>
  <c r="AB331" i="3"/>
  <c r="AB333" i="3"/>
  <c r="AB334" i="3"/>
  <c r="AB335" i="3"/>
  <c r="AB341" i="3"/>
  <c r="AB342" i="3"/>
  <c r="AC342" i="3" s="1"/>
  <c r="AB343" i="3"/>
  <c r="AB349" i="3"/>
  <c r="AB351" i="3"/>
  <c r="AB505" i="3"/>
  <c r="M32" i="4" s="1"/>
  <c r="AB507" i="3"/>
  <c r="AB511" i="3"/>
  <c r="AB513" i="3"/>
  <c r="AB515" i="3"/>
  <c r="AB517" i="3"/>
  <c r="AB519" i="3"/>
  <c r="AB521" i="3"/>
  <c r="AB527" i="3"/>
  <c r="AB533" i="3"/>
  <c r="AB536" i="3"/>
  <c r="AB538" i="3"/>
  <c r="AB544" i="3"/>
  <c r="AB571" i="3"/>
  <c r="AB581" i="3"/>
  <c r="AB587" i="3"/>
  <c r="AB617" i="3"/>
  <c r="AB621" i="3"/>
  <c r="AB625" i="3"/>
  <c r="AB629" i="3"/>
  <c r="AB633" i="3"/>
  <c r="AB637" i="3"/>
  <c r="AB639" i="3"/>
  <c r="AB674" i="3"/>
  <c r="AB676" i="3"/>
  <c r="AB682" i="3"/>
  <c r="AB684" i="3"/>
  <c r="AB690" i="3"/>
  <c r="AB695" i="3"/>
  <c r="AB696" i="3"/>
  <c r="AB703" i="3"/>
  <c r="AB704" i="3"/>
  <c r="AB731" i="3"/>
  <c r="AB732" i="3"/>
  <c r="AB735" i="3"/>
  <c r="AB737" i="3"/>
  <c r="AB738" i="3"/>
  <c r="AB745" i="3"/>
  <c r="AB746" i="3"/>
  <c r="AB747" i="3"/>
  <c r="AB751" i="3"/>
  <c r="AB759" i="3"/>
  <c r="AB7" i="3"/>
  <c r="AB9" i="3"/>
  <c r="AB11" i="3"/>
  <c r="N7" i="9" s="1"/>
  <c r="AB13" i="3"/>
  <c r="AB15" i="3"/>
  <c r="AB17" i="3"/>
  <c r="AB19" i="3"/>
  <c r="N30" i="9" s="1"/>
  <c r="AB21" i="3"/>
  <c r="AB23" i="3"/>
  <c r="AB25" i="3"/>
  <c r="AB27" i="3"/>
  <c r="N18" i="9" s="1"/>
  <c r="AB29" i="3"/>
  <c r="AB31" i="3"/>
  <c r="AB33" i="3"/>
  <c r="AB35" i="3"/>
  <c r="AB37" i="3"/>
  <c r="AB39" i="3"/>
  <c r="AB41" i="3"/>
  <c r="AB43" i="3"/>
  <c r="AB45" i="3"/>
  <c r="AB47" i="3"/>
  <c r="AB49" i="3"/>
  <c r="AB51" i="3"/>
  <c r="AB53" i="3"/>
  <c r="AB55" i="3"/>
  <c r="AB57" i="3"/>
  <c r="AB59" i="3"/>
  <c r="Q6" i="3"/>
  <c r="V6" i="3"/>
  <c r="AA6" i="3"/>
  <c r="L7" i="3"/>
  <c r="Q7" i="3"/>
  <c r="AA7" i="3"/>
  <c r="Q8" i="3"/>
  <c r="V8" i="3"/>
  <c r="AA8" i="3"/>
  <c r="Q9" i="3"/>
  <c r="AA9" i="3"/>
  <c r="Q10" i="3"/>
  <c r="V10" i="3"/>
  <c r="AA10" i="3"/>
  <c r="L11" i="3"/>
  <c r="Q11" i="3"/>
  <c r="AA11" i="3"/>
  <c r="Q12" i="3"/>
  <c r="V12" i="3"/>
  <c r="AA12" i="3"/>
  <c r="L13" i="3"/>
  <c r="Q13" i="3"/>
  <c r="AA13" i="3"/>
  <c r="Q14" i="3"/>
  <c r="V14" i="3"/>
  <c r="AA14" i="3"/>
  <c r="AC14" i="3" s="1"/>
  <c r="L15" i="3"/>
  <c r="Q15" i="3"/>
  <c r="AA15" i="3"/>
  <c r="Q16" i="3"/>
  <c r="V16" i="3"/>
  <c r="AA16" i="3"/>
  <c r="AC16" i="3" s="1"/>
  <c r="L17" i="3"/>
  <c r="Q17" i="3"/>
  <c r="S17" i="3" s="1"/>
  <c r="AA17" i="3"/>
  <c r="Q18" i="3"/>
  <c r="V18" i="3"/>
  <c r="AA18" i="3"/>
  <c r="AC18" i="3" s="1"/>
  <c r="L19" i="3"/>
  <c r="Q19" i="3"/>
  <c r="AA19" i="3"/>
  <c r="Q20" i="3"/>
  <c r="V20" i="3"/>
  <c r="AA20" i="3"/>
  <c r="L21" i="3"/>
  <c r="Q21" i="3"/>
  <c r="S21" i="3" s="1"/>
  <c r="AA21" i="3"/>
  <c r="Q22" i="3"/>
  <c r="V22" i="3"/>
  <c r="AA22" i="3"/>
  <c r="L23" i="3"/>
  <c r="Q23" i="3"/>
  <c r="AA23" i="3"/>
  <c r="Q24" i="3"/>
  <c r="V24" i="3"/>
  <c r="AA24" i="3"/>
  <c r="L25" i="3"/>
  <c r="Q25" i="3"/>
  <c r="AA25" i="3"/>
  <c r="Q26" i="3"/>
  <c r="V26" i="3"/>
  <c r="AA26" i="3"/>
  <c r="AC26" i="3" s="1"/>
  <c r="L27" i="3"/>
  <c r="Q27" i="3"/>
  <c r="AA27" i="3"/>
  <c r="Q28" i="3"/>
  <c r="V28" i="3"/>
  <c r="AA28" i="3"/>
  <c r="L29" i="3"/>
  <c r="Q29" i="3"/>
  <c r="AA29" i="3"/>
  <c r="Q30" i="3"/>
  <c r="V30" i="3"/>
  <c r="AA30" i="3"/>
  <c r="L31" i="3"/>
  <c r="Q31" i="3"/>
  <c r="AA31" i="3"/>
  <c r="Q32" i="3"/>
  <c r="V32" i="3"/>
  <c r="AA32" i="3"/>
  <c r="L33" i="3"/>
  <c r="Q33" i="3"/>
  <c r="S33" i="3" s="1"/>
  <c r="AA33" i="3"/>
  <c r="AC33" i="3" s="1"/>
  <c r="Q34" i="3"/>
  <c r="V34" i="3"/>
  <c r="AA34" i="3"/>
  <c r="L35" i="3"/>
  <c r="Q35" i="3"/>
  <c r="AA35" i="3"/>
  <c r="Q36" i="3"/>
  <c r="V36" i="3"/>
  <c r="AA36" i="3"/>
  <c r="L37" i="3"/>
  <c r="Q37" i="3"/>
  <c r="AA37" i="3"/>
  <c r="Q38" i="3"/>
  <c r="V38" i="3"/>
  <c r="AA38" i="3"/>
  <c r="L39" i="3"/>
  <c r="Q39" i="3"/>
  <c r="AA39" i="3"/>
  <c r="Q40" i="3"/>
  <c r="V40" i="3"/>
  <c r="AA40" i="3"/>
  <c r="AC40" i="3" s="1"/>
  <c r="L41" i="3"/>
  <c r="Q41" i="3"/>
  <c r="AA41" i="3"/>
  <c r="Q42" i="3"/>
  <c r="V42" i="3"/>
  <c r="AA42" i="3"/>
  <c r="L43" i="3"/>
  <c r="Q43" i="3"/>
  <c r="AA43" i="3"/>
  <c r="Q44" i="3"/>
  <c r="V44" i="3"/>
  <c r="AA44" i="3"/>
  <c r="L45" i="3"/>
  <c r="Q45" i="3"/>
  <c r="AA45" i="3"/>
  <c r="Q46" i="3"/>
  <c r="V46" i="3"/>
  <c r="AA46" i="3"/>
  <c r="L47" i="3"/>
  <c r="Q47" i="3"/>
  <c r="AA47" i="3"/>
  <c r="Q48" i="3"/>
  <c r="V48" i="3"/>
  <c r="AA48" i="3"/>
  <c r="L49" i="3"/>
  <c r="Q49" i="3"/>
  <c r="AA49" i="3"/>
  <c r="Q50" i="3"/>
  <c r="V50" i="3"/>
  <c r="AA50" i="3"/>
  <c r="L51" i="3"/>
  <c r="Q51" i="3"/>
  <c r="AA51" i="3"/>
  <c r="Q52" i="3"/>
  <c r="V52" i="3"/>
  <c r="AA52" i="3"/>
  <c r="L53" i="3"/>
  <c r="Q53" i="3"/>
  <c r="S53" i="3" s="1"/>
  <c r="AA53" i="3"/>
  <c r="Q54" i="3"/>
  <c r="V54" i="3"/>
  <c r="AA54" i="3"/>
  <c r="L55" i="3"/>
  <c r="Q55" i="3"/>
  <c r="AA55" i="3"/>
  <c r="Q56" i="3"/>
  <c r="V56" i="3"/>
  <c r="AA56" i="3"/>
  <c r="L57" i="3"/>
  <c r="Q57" i="3"/>
  <c r="AA57" i="3"/>
  <c r="Q58" i="3"/>
  <c r="V58" i="3"/>
  <c r="AA58" i="3"/>
  <c r="AC58" i="3" s="1"/>
  <c r="L59" i="3"/>
  <c r="Q59" i="3"/>
  <c r="AA59" i="3"/>
  <c r="Q60" i="3"/>
  <c r="V60" i="3"/>
  <c r="AA60" i="3"/>
  <c r="L61" i="3"/>
  <c r="Q61" i="3"/>
  <c r="S61" i="3" s="1"/>
  <c r="AA61" i="3"/>
  <c r="AC61" i="3" s="1"/>
  <c r="Q62" i="3"/>
  <c r="V62" i="3"/>
  <c r="AA62" i="3"/>
  <c r="L63" i="3"/>
  <c r="Q63" i="3"/>
  <c r="AA63" i="3"/>
  <c r="Q64" i="3"/>
  <c r="V64" i="3"/>
  <c r="AA64" i="3"/>
  <c r="L65" i="3"/>
  <c r="Q65" i="3"/>
  <c r="AA65" i="3"/>
  <c r="Q66" i="3"/>
  <c r="V66" i="3"/>
  <c r="AA66" i="3"/>
  <c r="AC66" i="3" s="1"/>
  <c r="L67" i="3"/>
  <c r="Q67" i="3"/>
  <c r="AA67" i="3"/>
  <c r="Q68" i="3"/>
  <c r="V68" i="3"/>
  <c r="AA68" i="3"/>
  <c r="L69" i="3"/>
  <c r="Q69" i="3"/>
  <c r="AA69" i="3"/>
  <c r="AC69" i="3" s="1"/>
  <c r="Q70" i="3"/>
  <c r="V70" i="3"/>
  <c r="AA70" i="3"/>
  <c r="L71" i="3"/>
  <c r="Q71" i="3"/>
  <c r="AA71" i="3"/>
  <c r="Q72" i="3"/>
  <c r="V72" i="3"/>
  <c r="AA72" i="3"/>
  <c r="L73" i="3"/>
  <c r="Q73" i="3"/>
  <c r="AA73" i="3"/>
  <c r="Q74" i="3"/>
  <c r="V74" i="3"/>
  <c r="AA74" i="3"/>
  <c r="L75" i="3"/>
  <c r="Q75" i="3"/>
  <c r="S75" i="3" s="1"/>
  <c r="AA75" i="3"/>
  <c r="AC75" i="3" s="1"/>
  <c r="Q76" i="3"/>
  <c r="V76" i="3"/>
  <c r="AA76" i="3"/>
  <c r="L77" i="3"/>
  <c r="Q77" i="3"/>
  <c r="S77" i="3" s="1"/>
  <c r="AA77" i="3"/>
  <c r="Q78" i="3"/>
  <c r="V78" i="3"/>
  <c r="AA78" i="3"/>
  <c r="L79" i="3"/>
  <c r="Q79" i="3"/>
  <c r="AA79" i="3"/>
  <c r="AC79" i="3" s="1"/>
  <c r="Q80" i="3"/>
  <c r="V80" i="3"/>
  <c r="AA80" i="3"/>
  <c r="AC80" i="3" s="1"/>
  <c r="L81" i="3"/>
  <c r="Q81" i="3"/>
  <c r="AA81" i="3"/>
  <c r="Q82" i="3"/>
  <c r="V82" i="3"/>
  <c r="AA82" i="3"/>
  <c r="L83" i="3"/>
  <c r="Q83" i="3"/>
  <c r="AA83" i="3"/>
  <c r="Q84" i="3"/>
  <c r="V84" i="3"/>
  <c r="AA84" i="3"/>
  <c r="L85" i="3"/>
  <c r="Q85" i="3"/>
  <c r="AA85" i="3"/>
  <c r="AC85" i="3" s="1"/>
  <c r="Q86" i="3"/>
  <c r="V86" i="3"/>
  <c r="AA86" i="3"/>
  <c r="L87" i="3"/>
  <c r="Q87" i="3"/>
  <c r="AA87" i="3"/>
  <c r="AC87" i="3" s="1"/>
  <c r="Q88" i="3"/>
  <c r="V88" i="3"/>
  <c r="AA88" i="3"/>
  <c r="L89" i="3"/>
  <c r="Q89" i="3"/>
  <c r="AA89" i="3"/>
  <c r="Q90" i="3"/>
  <c r="V90" i="3"/>
  <c r="AA90" i="3"/>
  <c r="AC90" i="3" s="1"/>
  <c r="L91" i="3"/>
  <c r="Q91" i="3"/>
  <c r="S91" i="3" s="1"/>
  <c r="AA91" i="3"/>
  <c r="Q92" i="3"/>
  <c r="V92" i="3"/>
  <c r="AA92" i="3"/>
  <c r="L93" i="3"/>
  <c r="N93" i="3" s="1"/>
  <c r="Q93" i="3"/>
  <c r="S93" i="3" s="1"/>
  <c r="AA93" i="3"/>
  <c r="AC93" i="3" s="1"/>
  <c r="Q94" i="3"/>
  <c r="S94" i="3" s="1"/>
  <c r="V94" i="3"/>
  <c r="AA94" i="3"/>
  <c r="AC94" i="3" s="1"/>
  <c r="L95" i="3"/>
  <c r="Q95" i="3"/>
  <c r="S95" i="3" s="1"/>
  <c r="AA95" i="3"/>
  <c r="Q96" i="3"/>
  <c r="V96" i="3"/>
  <c r="AA96" i="3"/>
  <c r="L97" i="3"/>
  <c r="Q97" i="3"/>
  <c r="AA97" i="3"/>
  <c r="Q98" i="3"/>
  <c r="V98" i="3"/>
  <c r="AA98" i="3"/>
  <c r="L99" i="3"/>
  <c r="Q99" i="3"/>
  <c r="AA99" i="3"/>
  <c r="Q100" i="3"/>
  <c r="V100" i="3"/>
  <c r="AA100" i="3"/>
  <c r="L101" i="3"/>
  <c r="Q101" i="3"/>
  <c r="AA101" i="3"/>
  <c r="AC101" i="3" s="1"/>
  <c r="Q102" i="3"/>
  <c r="X102" i="3"/>
  <c r="AA102" i="3"/>
  <c r="V103" i="3"/>
  <c r="L104" i="3"/>
  <c r="N104" i="3" s="1"/>
  <c r="Q104" i="3"/>
  <c r="V104" i="3"/>
  <c r="L105" i="3"/>
  <c r="V105" i="3"/>
  <c r="AA105" i="3"/>
  <c r="L106" i="3"/>
  <c r="Q106" i="3"/>
  <c r="S106" i="3" s="1"/>
  <c r="V106" i="3"/>
  <c r="L107" i="3"/>
  <c r="N107" i="3" s="1"/>
  <c r="AA107" i="3"/>
  <c r="L108" i="3"/>
  <c r="N108" i="3" s="1"/>
  <c r="Q108" i="3"/>
  <c r="V108" i="3"/>
  <c r="X108" i="3" s="1"/>
  <c r="L109" i="3"/>
  <c r="V109" i="3"/>
  <c r="AA109" i="3"/>
  <c r="L110" i="3"/>
  <c r="Q110" i="3"/>
  <c r="V110" i="3"/>
  <c r="X110" i="3" s="1"/>
  <c r="V111" i="3"/>
  <c r="X111" i="3" s="1"/>
  <c r="AA111" i="3"/>
  <c r="L112" i="3"/>
  <c r="Q112" i="3"/>
  <c r="V112" i="3"/>
  <c r="AA113" i="3"/>
  <c r="Q114" i="3"/>
  <c r="AA115" i="3"/>
  <c r="AC115" i="3" s="1"/>
  <c r="L116" i="3"/>
  <c r="N116" i="3" s="1"/>
  <c r="Q116" i="3"/>
  <c r="S116" i="3" s="1"/>
  <c r="V117" i="3"/>
  <c r="X117" i="3" s="1"/>
  <c r="AA117" i="3"/>
  <c r="AC117" i="3" s="1"/>
  <c r="Q118" i="3"/>
  <c r="V119" i="3"/>
  <c r="AA119" i="3"/>
  <c r="Q120" i="3"/>
  <c r="V121" i="3"/>
  <c r="AA121" i="3"/>
  <c r="Q122" i="3"/>
  <c r="S122" i="3" s="1"/>
  <c r="V122" i="3"/>
  <c r="L123" i="3"/>
  <c r="V123" i="3"/>
  <c r="AA123" i="3"/>
  <c r="L124" i="3"/>
  <c r="Q124" i="3"/>
  <c r="V124" i="3"/>
  <c r="L125" i="3"/>
  <c r="N125" i="3" s="1"/>
  <c r="V125" i="3"/>
  <c r="AA125" i="3"/>
  <c r="L126" i="3"/>
  <c r="N126" i="3" s="1"/>
  <c r="Q126" i="3"/>
  <c r="S126" i="3" s="1"/>
  <c r="V126" i="3"/>
  <c r="L127" i="3"/>
  <c r="V127" i="3"/>
  <c r="AA127" i="3"/>
  <c r="L128" i="3"/>
  <c r="N128" i="3" s="1"/>
  <c r="Q128" i="3"/>
  <c r="V128" i="3"/>
  <c r="V129" i="3"/>
  <c r="X129" i="3" s="1"/>
  <c r="AA129" i="3"/>
  <c r="L130" i="3"/>
  <c r="Q130" i="3"/>
  <c r="V130" i="3"/>
  <c r="X130" i="3" s="1"/>
  <c r="L131" i="3"/>
  <c r="V131" i="3"/>
  <c r="AA131" i="3"/>
  <c r="L132" i="3"/>
  <c r="Q132" i="3"/>
  <c r="V132" i="3"/>
  <c r="L133" i="3"/>
  <c r="V133" i="3"/>
  <c r="X133" i="3" s="1"/>
  <c r="AA133" i="3"/>
  <c r="L134" i="3"/>
  <c r="Q134" i="3"/>
  <c r="V135" i="3"/>
  <c r="X135" i="3" s="1"/>
  <c r="AA135" i="3"/>
  <c r="L136" i="3"/>
  <c r="Q136" i="3"/>
  <c r="L137" i="3"/>
  <c r="N137" i="3" s="1"/>
  <c r="V137" i="3"/>
  <c r="AA137" i="3"/>
  <c r="L138" i="3"/>
  <c r="Q138" i="3"/>
  <c r="V138" i="3"/>
  <c r="L139" i="3"/>
  <c r="V139" i="3"/>
  <c r="AA139" i="3"/>
  <c r="L140" i="3"/>
  <c r="N140" i="3" s="1"/>
  <c r="Q140" i="3"/>
  <c r="V140" i="3"/>
  <c r="V141" i="3"/>
  <c r="AA141" i="3"/>
  <c r="L142" i="3"/>
  <c r="Q142" i="3"/>
  <c r="V143" i="3"/>
  <c r="X143" i="3" s="1"/>
  <c r="AA143" i="3"/>
  <c r="L144" i="3"/>
  <c r="Q144" i="3"/>
  <c r="V144" i="3"/>
  <c r="X144" i="3" s="1"/>
  <c r="L145" i="3"/>
  <c r="N145" i="3" s="1"/>
  <c r="V145" i="3"/>
  <c r="AA145" i="3"/>
  <c r="L146" i="3"/>
  <c r="Q146" i="3"/>
  <c r="V147" i="3"/>
  <c r="AA147" i="3"/>
  <c r="L148" i="3"/>
  <c r="Q148" i="3"/>
  <c r="V148" i="3"/>
  <c r="V149" i="3"/>
  <c r="AA149" i="3"/>
  <c r="AC149" i="3" s="1"/>
  <c r="L150" i="3"/>
  <c r="Q150" i="3"/>
  <c r="V150" i="3"/>
  <c r="L151" i="3"/>
  <c r="V151" i="3"/>
  <c r="AA151" i="3"/>
  <c r="L152" i="3"/>
  <c r="Q152" i="3"/>
  <c r="V153" i="3"/>
  <c r="AA153" i="3"/>
  <c r="L154" i="3"/>
  <c r="Q154" i="3"/>
  <c r="V154" i="3"/>
  <c r="X154" i="3" s="1"/>
  <c r="V155" i="3"/>
  <c r="AA155" i="3"/>
  <c r="L156" i="3"/>
  <c r="N156" i="3" s="1"/>
  <c r="Q156" i="3"/>
  <c r="L157" i="3"/>
  <c r="V157" i="3"/>
  <c r="AA157" i="3"/>
  <c r="AC157" i="3" s="1"/>
  <c r="L158" i="3"/>
  <c r="N158" i="3" s="1"/>
  <c r="Q158" i="3"/>
  <c r="S158" i="3" s="1"/>
  <c r="V158" i="3"/>
  <c r="L159" i="3"/>
  <c r="V159" i="3"/>
  <c r="AA159" i="3"/>
  <c r="L160" i="3"/>
  <c r="N160" i="3" s="1"/>
  <c r="Q160" i="3"/>
  <c r="S160" i="3" s="1"/>
  <c r="V160" i="3"/>
  <c r="L161" i="3"/>
  <c r="V161" i="3"/>
  <c r="AA161" i="3"/>
  <c r="L162" i="3"/>
  <c r="N162" i="3" s="1"/>
  <c r="Q162" i="3"/>
  <c r="V162" i="3"/>
  <c r="L163" i="3"/>
  <c r="V163" i="3"/>
  <c r="X163" i="3" s="1"/>
  <c r="AA163" i="3"/>
  <c r="L164" i="3"/>
  <c r="Q164" i="3"/>
  <c r="V164" i="3"/>
  <c r="X164" i="3" s="1"/>
  <c r="V165" i="3"/>
  <c r="AA165" i="3"/>
  <c r="L166" i="3"/>
  <c r="N166" i="3" s="1"/>
  <c r="Q166" i="3"/>
  <c r="V166" i="3"/>
  <c r="V167" i="3"/>
  <c r="AA167" i="3"/>
  <c r="L168" i="3"/>
  <c r="Q168" i="3"/>
  <c r="L169" i="3"/>
  <c r="V169" i="3"/>
  <c r="AA169" i="3"/>
  <c r="L170" i="3"/>
  <c r="Q170" i="3"/>
  <c r="V171" i="3"/>
  <c r="X171" i="3" s="1"/>
  <c r="AA171" i="3"/>
  <c r="L172" i="3"/>
  <c r="Q172" i="3"/>
  <c r="V172" i="3"/>
  <c r="X172" i="3" s="1"/>
  <c r="L173" i="3"/>
  <c r="V173" i="3"/>
  <c r="X173" i="3" s="1"/>
  <c r="AA173" i="3"/>
  <c r="L174" i="3"/>
  <c r="N174" i="3" s="1"/>
  <c r="Q174" i="3"/>
  <c r="L175" i="3"/>
  <c r="V175" i="3"/>
  <c r="X175" i="3" s="1"/>
  <c r="AA175" i="3"/>
  <c r="L176" i="3"/>
  <c r="Q176" i="3"/>
  <c r="V176" i="3"/>
  <c r="L177" i="3"/>
  <c r="N177" i="3" s="1"/>
  <c r="V177" i="3"/>
  <c r="AA177" i="3"/>
  <c r="L178" i="3"/>
  <c r="Q178" i="3"/>
  <c r="L179" i="3"/>
  <c r="N179" i="3" s="1"/>
  <c r="V179" i="3"/>
  <c r="AA179" i="3"/>
  <c r="L180" i="3"/>
  <c r="N180" i="3" s="1"/>
  <c r="Q180" i="3"/>
  <c r="V181" i="3"/>
  <c r="AA181" i="3"/>
  <c r="V182" i="3"/>
  <c r="X182" i="3" s="1"/>
  <c r="AA182" i="3"/>
  <c r="Q183" i="3"/>
  <c r="Q184" i="3"/>
  <c r="V184" i="3"/>
  <c r="AA184" i="3"/>
  <c r="L185" i="3"/>
  <c r="Q185" i="3"/>
  <c r="S185" i="3" s="1"/>
  <c r="AA185" i="3"/>
  <c r="Q186" i="3"/>
  <c r="AA186" i="3"/>
  <c r="L187" i="3"/>
  <c r="Q187" i="3"/>
  <c r="S187" i="3" s="1"/>
  <c r="AA187" i="3"/>
  <c r="Q188" i="3"/>
  <c r="AA188" i="3"/>
  <c r="Q189" i="3"/>
  <c r="S189" i="3" s="1"/>
  <c r="V190" i="3"/>
  <c r="AA190" i="3"/>
  <c r="Q191" i="3"/>
  <c r="Q192" i="3"/>
  <c r="S192" i="3" s="1"/>
  <c r="V192" i="3"/>
  <c r="AA192" i="3"/>
  <c r="L193" i="3"/>
  <c r="N193" i="3" s="1"/>
  <c r="Q193" i="3"/>
  <c r="AA193" i="3"/>
  <c r="Q194" i="3"/>
  <c r="AA194" i="3"/>
  <c r="L195" i="3"/>
  <c r="N195" i="3" s="1"/>
  <c r="Q195" i="3"/>
  <c r="AA195" i="3"/>
  <c r="Q196" i="3"/>
  <c r="AA196" i="3"/>
  <c r="Q197" i="3"/>
  <c r="V198" i="3"/>
  <c r="AA198" i="3"/>
  <c r="Q199" i="3"/>
  <c r="S199" i="3" s="1"/>
  <c r="V200" i="3"/>
  <c r="AA200" i="3"/>
  <c r="L201" i="3"/>
  <c r="Q201" i="3"/>
  <c r="S201" i="3" s="1"/>
  <c r="AA201" i="3"/>
  <c r="Q202" i="3"/>
  <c r="AA202" i="3"/>
  <c r="L203" i="3"/>
  <c r="Q203" i="3"/>
  <c r="AA203" i="3"/>
  <c r="Q204" i="3"/>
  <c r="AA204" i="3"/>
  <c r="Q205" i="3"/>
  <c r="V206" i="3"/>
  <c r="AA206" i="3"/>
  <c r="Q207" i="3"/>
  <c r="S207" i="3" s="1"/>
  <c r="Q208" i="3"/>
  <c r="V208" i="3"/>
  <c r="AA208" i="3"/>
  <c r="L209" i="3"/>
  <c r="N209" i="3" s="1"/>
  <c r="Q209" i="3"/>
  <c r="AA209" i="3"/>
  <c r="Q210" i="3"/>
  <c r="S210" i="3" s="1"/>
  <c r="AA210" i="3"/>
  <c r="L211" i="3"/>
  <c r="Q211" i="3"/>
  <c r="AA211" i="3"/>
  <c r="Q212" i="3"/>
  <c r="S212" i="3" s="1"/>
  <c r="AA212" i="3"/>
  <c r="L213" i="3"/>
  <c r="Q213" i="3"/>
  <c r="AA213" i="3"/>
  <c r="V214" i="3"/>
  <c r="AA214" i="3"/>
  <c r="Q215" i="3"/>
  <c r="V216" i="3"/>
  <c r="AA216" i="3"/>
  <c r="L217" i="3"/>
  <c r="Q217" i="3"/>
  <c r="AA217" i="3"/>
  <c r="Q218" i="3"/>
  <c r="V218" i="3"/>
  <c r="AA218" i="3"/>
  <c r="L219" i="3"/>
  <c r="Q219" i="3"/>
  <c r="AA219" i="3"/>
  <c r="Q220" i="3"/>
  <c r="AA220" i="3"/>
  <c r="L221" i="3"/>
  <c r="Q221" i="3"/>
  <c r="AA221" i="3"/>
  <c r="V222" i="3"/>
  <c r="AA222" i="3"/>
  <c r="Q223" i="3"/>
  <c r="V224" i="3"/>
  <c r="AA224" i="3"/>
  <c r="L225" i="3"/>
  <c r="Q225" i="3"/>
  <c r="AA225" i="3"/>
  <c r="Q226" i="3"/>
  <c r="S226" i="3" s="1"/>
  <c r="AA226" i="3"/>
  <c r="Q227" i="3"/>
  <c r="AA227" i="3"/>
  <c r="V228" i="3"/>
  <c r="X228" i="3" s="1"/>
  <c r="AA228" i="3"/>
  <c r="Q229" i="3"/>
  <c r="AA229" i="3"/>
  <c r="V230" i="3"/>
  <c r="AA230" i="3"/>
  <c r="L231" i="3"/>
  <c r="Q231" i="3"/>
  <c r="AA231" i="3"/>
  <c r="Q232" i="3"/>
  <c r="AA232" i="3"/>
  <c r="Q233" i="3"/>
  <c r="Q234" i="3"/>
  <c r="V234" i="3"/>
  <c r="AA234" i="3"/>
  <c r="Q235" i="3"/>
  <c r="AA235" i="3"/>
  <c r="V236" i="3"/>
  <c r="X236" i="3" s="1"/>
  <c r="AA236" i="3"/>
  <c r="Q237" i="3"/>
  <c r="S237" i="3" s="1"/>
  <c r="AA237" i="3"/>
  <c r="Q238" i="3"/>
  <c r="S238" i="3" s="1"/>
  <c r="V238" i="3"/>
  <c r="AA238" i="3"/>
  <c r="L239" i="3"/>
  <c r="Q239" i="3"/>
  <c r="S239" i="3" s="1"/>
  <c r="AA239" i="3"/>
  <c r="V240" i="3"/>
  <c r="AA240" i="3"/>
  <c r="AC240" i="3" s="1"/>
  <c r="Q241" i="3"/>
  <c r="AA242" i="3"/>
  <c r="Q243" i="3"/>
  <c r="V244" i="3"/>
  <c r="X244" i="3" s="1"/>
  <c r="AA244" i="3"/>
  <c r="L245" i="3"/>
  <c r="Q245" i="3"/>
  <c r="S245" i="3" s="1"/>
  <c r="Q246" i="3"/>
  <c r="AA246" i="3"/>
  <c r="L247" i="3"/>
  <c r="Q247" i="3"/>
  <c r="S247" i="3" s="1"/>
  <c r="AA247" i="3"/>
  <c r="Q248" i="3"/>
  <c r="AA248" i="3"/>
  <c r="Q249" i="3"/>
  <c r="Q250" i="3"/>
  <c r="S250" i="3" s="1"/>
  <c r="V250" i="3"/>
  <c r="X250" i="3" s="1"/>
  <c r="AA250" i="3"/>
  <c r="Q251" i="3"/>
  <c r="AA251" i="3"/>
  <c r="V252" i="3"/>
  <c r="AA252" i="3"/>
  <c r="L253" i="3"/>
  <c r="Q253" i="3"/>
  <c r="S253" i="3" s="1"/>
  <c r="Q254" i="3"/>
  <c r="AA254" i="3"/>
  <c r="L255" i="3"/>
  <c r="N255" i="3" s="1"/>
  <c r="Q255" i="3"/>
  <c r="AA255" i="3"/>
  <c r="Q256" i="3"/>
  <c r="AA256" i="3"/>
  <c r="Q257" i="3"/>
  <c r="Q258" i="3"/>
  <c r="AA258" i="3"/>
  <c r="Q259" i="3"/>
  <c r="V260" i="3"/>
  <c r="AA260" i="3"/>
  <c r="L261" i="3"/>
  <c r="N261" i="3" s="1"/>
  <c r="Q261" i="3"/>
  <c r="AA261" i="3"/>
  <c r="AC261" i="3" s="1"/>
  <c r="Q262" i="3"/>
  <c r="S262" i="3" s="1"/>
  <c r="AA262" i="3"/>
  <c r="L263" i="3"/>
  <c r="N263" i="3" s="1"/>
  <c r="Q263" i="3"/>
  <c r="S263" i="3" s="1"/>
  <c r="AA263" i="3"/>
  <c r="Q264" i="3"/>
  <c r="S264" i="3" s="1"/>
  <c r="V264" i="3"/>
  <c r="AA264" i="3"/>
  <c r="Q265" i="3"/>
  <c r="Q266" i="3"/>
  <c r="AA266" i="3"/>
  <c r="Q267" i="3"/>
  <c r="S267" i="3" s="1"/>
  <c r="V268" i="3"/>
  <c r="AA268" i="3"/>
  <c r="Q269" i="3"/>
  <c r="S269" i="3" s="1"/>
  <c r="AA269" i="3"/>
  <c r="AA270" i="3"/>
  <c r="L271" i="3"/>
  <c r="N271" i="3" s="1"/>
  <c r="Q271" i="3"/>
  <c r="AA271" i="3"/>
  <c r="AC271" i="3" s="1"/>
  <c r="Q272" i="3"/>
  <c r="V272" i="3"/>
  <c r="X272" i="3" s="1"/>
  <c r="AA272" i="3"/>
  <c r="Q273" i="3"/>
  <c r="Q274" i="3"/>
  <c r="S274" i="3" s="1"/>
  <c r="V274" i="3"/>
  <c r="AA274" i="3"/>
  <c r="Q275" i="3"/>
  <c r="S275" i="3" s="1"/>
  <c r="AA275" i="3"/>
  <c r="V276" i="3"/>
  <c r="AA276" i="3"/>
  <c r="Q277" i="3"/>
  <c r="S277" i="3" s="1"/>
  <c r="Q278" i="3"/>
  <c r="AA278" i="3"/>
  <c r="L279" i="3"/>
  <c r="Q279" i="3"/>
  <c r="S279" i="3" s="1"/>
  <c r="AA279" i="3"/>
  <c r="Q280" i="3"/>
  <c r="AA280" i="3"/>
  <c r="Q281" i="3"/>
  <c r="S281" i="3" s="1"/>
  <c r="V282" i="3"/>
  <c r="X282" i="3" s="1"/>
  <c r="AA282" i="3"/>
  <c r="Q283" i="3"/>
  <c r="S283" i="3" s="1"/>
  <c r="AA283" i="3"/>
  <c r="AC283" i="3" s="1"/>
  <c r="V284" i="3"/>
  <c r="AA284" i="3"/>
  <c r="Q285" i="3"/>
  <c r="AA285" i="3"/>
  <c r="AC285" i="3" s="1"/>
  <c r="V286" i="3"/>
  <c r="AA286" i="3"/>
  <c r="AC286" i="3" s="1"/>
  <c r="L287" i="3"/>
  <c r="Q287" i="3"/>
  <c r="S287" i="3" s="1"/>
  <c r="AA287" i="3"/>
  <c r="V288" i="3"/>
  <c r="AA288" i="3"/>
  <c r="AC288" i="3" s="1"/>
  <c r="Q289" i="3"/>
  <c r="S289" i="3" s="1"/>
  <c r="Q290" i="3"/>
  <c r="V290" i="3"/>
  <c r="AA290" i="3"/>
  <c r="Q291" i="3"/>
  <c r="AA292" i="3"/>
  <c r="L293" i="3"/>
  <c r="N293" i="3" s="1"/>
  <c r="Q293" i="3"/>
  <c r="V294" i="3"/>
  <c r="AA294" i="3"/>
  <c r="L295" i="3"/>
  <c r="N295" i="3" s="1"/>
  <c r="Q295" i="3"/>
  <c r="AA295" i="3"/>
  <c r="Q296" i="3"/>
  <c r="S296" i="3" s="1"/>
  <c r="V296" i="3"/>
  <c r="AA296" i="3"/>
  <c r="AC296" i="3" s="1"/>
  <c r="Q297" i="3"/>
  <c r="S297" i="3" s="1"/>
  <c r="Q298" i="3"/>
  <c r="V298" i="3"/>
  <c r="AA298" i="3"/>
  <c r="AC298" i="3" s="1"/>
  <c r="Q299" i="3"/>
  <c r="S299" i="3" s="1"/>
  <c r="Q300" i="3"/>
  <c r="AA300" i="3"/>
  <c r="AC300" i="3" s="1"/>
  <c r="Q301" i="3"/>
  <c r="V302" i="3"/>
  <c r="X302" i="3" s="1"/>
  <c r="AA302" i="3"/>
  <c r="Q303" i="3"/>
  <c r="V304" i="3"/>
  <c r="AA304" i="3"/>
  <c r="AC304" i="3" s="1"/>
  <c r="Q305" i="3"/>
  <c r="AA305" i="3"/>
  <c r="Q306" i="3"/>
  <c r="AA306" i="3"/>
  <c r="AC306" i="3" s="1"/>
  <c r="L307" i="3"/>
  <c r="Q307" i="3"/>
  <c r="AA307" i="3"/>
  <c r="Q308" i="3"/>
  <c r="S308" i="3" s="1"/>
  <c r="AA308" i="3"/>
  <c r="AC308" i="3" s="1"/>
  <c r="Q309" i="3"/>
  <c r="AA310" i="3"/>
  <c r="Q311" i="3"/>
  <c r="S311" i="3" s="1"/>
  <c r="AA311" i="3"/>
  <c r="V312" i="3"/>
  <c r="AA312" i="3"/>
  <c r="Q313" i="3"/>
  <c r="Q314" i="3"/>
  <c r="AA314" i="3"/>
  <c r="L315" i="3"/>
  <c r="N315" i="3" s="1"/>
  <c r="Q315" i="3"/>
  <c r="AA315" i="3"/>
  <c r="Q316" i="3"/>
  <c r="AA316" i="3"/>
  <c r="Q317" i="3"/>
  <c r="V318" i="3"/>
  <c r="AA318" i="3"/>
  <c r="AC318" i="3" s="1"/>
  <c r="Q319" i="3"/>
  <c r="S319" i="3" s="1"/>
  <c r="V320" i="3"/>
  <c r="AA320" i="3"/>
  <c r="AC320" i="3" s="1"/>
  <c r="L321" i="3"/>
  <c r="N321" i="3" s="1"/>
  <c r="Q321" i="3"/>
  <c r="AA321" i="3"/>
  <c r="Q322" i="3"/>
  <c r="S322" i="3" s="1"/>
  <c r="AA322" i="3"/>
  <c r="L323" i="3"/>
  <c r="N323" i="3" s="1"/>
  <c r="Q323" i="3"/>
  <c r="AA323" i="3"/>
  <c r="Q324" i="3"/>
  <c r="V324" i="3"/>
  <c r="X324" i="3" s="1"/>
  <c r="AA324" i="3"/>
  <c r="AC324" i="3" s="1"/>
  <c r="Q325" i="3"/>
  <c r="V326" i="3"/>
  <c r="AA326" i="3"/>
  <c r="Q327" i="3"/>
  <c r="V328" i="3"/>
  <c r="AA328" i="3"/>
  <c r="AC328" i="3" s="1"/>
  <c r="L329" i="3"/>
  <c r="Q329" i="3"/>
  <c r="Q330" i="3"/>
  <c r="AA330" i="3"/>
  <c r="L331" i="3"/>
  <c r="Q331" i="3"/>
  <c r="S331" i="3" s="1"/>
  <c r="AA331" i="3"/>
  <c r="Q332" i="3"/>
  <c r="AA332" i="3"/>
  <c r="AC332" i="3" s="1"/>
  <c r="Q333" i="3"/>
  <c r="AA334" i="3"/>
  <c r="Q335" i="3"/>
  <c r="V336" i="3"/>
  <c r="X336" i="3" s="1"/>
  <c r="AA336" i="3"/>
  <c r="L337" i="3"/>
  <c r="Q337" i="3"/>
  <c r="S337" i="3" s="1"/>
  <c r="Q338" i="3"/>
  <c r="AA338" i="3"/>
  <c r="L339" i="3"/>
  <c r="N339" i="3" s="1"/>
  <c r="Q339" i="3"/>
  <c r="AA339" i="3"/>
  <c r="AC339" i="3" s="1"/>
  <c r="Q340" i="3"/>
  <c r="V340" i="3"/>
  <c r="AA340" i="3"/>
  <c r="AC340" i="3" s="1"/>
  <c r="Q341" i="3"/>
  <c r="AA342" i="3"/>
  <c r="L343" i="3"/>
  <c r="Q343" i="3"/>
  <c r="Q344" i="3"/>
  <c r="V344" i="3"/>
  <c r="AA344" i="3"/>
  <c r="AC344" i="3" s="1"/>
  <c r="L345" i="3"/>
  <c r="Q345" i="3"/>
  <c r="S345" i="3" s="1"/>
  <c r="Q346" i="3"/>
  <c r="V346" i="3"/>
  <c r="AA346" i="3"/>
  <c r="L347" i="3"/>
  <c r="N347" i="3" s="1"/>
  <c r="Q347" i="3"/>
  <c r="AA347" i="3"/>
  <c r="Q348" i="3"/>
  <c r="AA348" i="3"/>
  <c r="Q349" i="3"/>
  <c r="AA350" i="3"/>
  <c r="L351" i="3"/>
  <c r="Q351" i="3"/>
  <c r="Q352" i="3"/>
  <c r="V352" i="3"/>
  <c r="AA352" i="3"/>
  <c r="AC352" i="3" s="1"/>
  <c r="L353" i="3"/>
  <c r="Q353" i="3"/>
  <c r="Q354" i="3"/>
  <c r="AA354" i="3"/>
  <c r="AC354" i="3" s="1"/>
  <c r="L355" i="3"/>
  <c r="N355" i="3" s="1"/>
  <c r="Q355" i="3"/>
  <c r="AA355" i="3"/>
  <c r="Q356" i="3"/>
  <c r="V356" i="3"/>
  <c r="AA356" i="3"/>
  <c r="Q357" i="3"/>
  <c r="S357" i="3" s="1"/>
  <c r="L358" i="3"/>
  <c r="Q358" i="3"/>
  <c r="V358" i="3"/>
  <c r="X358" i="3" s="1"/>
  <c r="L359" i="3"/>
  <c r="N359" i="3" s="1"/>
  <c r="AA359" i="3"/>
  <c r="Q360" i="3"/>
  <c r="V360" i="3"/>
  <c r="L361" i="3"/>
  <c r="V361" i="3"/>
  <c r="L362" i="3"/>
  <c r="N362" i="3" s="1"/>
  <c r="Q362" i="3"/>
  <c r="V362" i="3"/>
  <c r="L363" i="3"/>
  <c r="L364" i="3"/>
  <c r="Q364" i="3"/>
  <c r="V364" i="3"/>
  <c r="L365" i="3"/>
  <c r="N365" i="3" s="1"/>
  <c r="V365" i="3"/>
  <c r="X365" i="3" s="1"/>
  <c r="L366" i="3"/>
  <c r="Q366" i="3"/>
  <c r="V366" i="3"/>
  <c r="L367" i="3"/>
  <c r="N367" i="3" s="1"/>
  <c r="AA367" i="3"/>
  <c r="Q368" i="3"/>
  <c r="V368" i="3"/>
  <c r="L369" i="3"/>
  <c r="N369" i="3" s="1"/>
  <c r="V369" i="3"/>
  <c r="L370" i="3"/>
  <c r="Q370" i="3"/>
  <c r="V370" i="3"/>
  <c r="X370" i="3" s="1"/>
  <c r="L371" i="3"/>
  <c r="L372" i="3"/>
  <c r="V372" i="3"/>
  <c r="L373" i="3"/>
  <c r="N373" i="3" s="1"/>
  <c r="V373" i="3"/>
  <c r="L374" i="3"/>
  <c r="V374" i="3"/>
  <c r="L375" i="3"/>
  <c r="N375" i="3" s="1"/>
  <c r="AA375" i="3"/>
  <c r="V376" i="3"/>
  <c r="L377" i="3"/>
  <c r="L378" i="3"/>
  <c r="N378" i="3" s="1"/>
  <c r="V378" i="3"/>
  <c r="L379" i="3"/>
  <c r="Q380" i="3"/>
  <c r="V380" i="3"/>
  <c r="L381" i="3"/>
  <c r="V382" i="3"/>
  <c r="L383" i="3"/>
  <c r="N383" i="3" s="1"/>
  <c r="Q384" i="3"/>
  <c r="V384" i="3"/>
  <c r="L385" i="3"/>
  <c r="L386" i="3"/>
  <c r="V386" i="3"/>
  <c r="X386" i="3" s="1"/>
  <c r="L387" i="3"/>
  <c r="V388" i="3"/>
  <c r="L389" i="3"/>
  <c r="V389" i="3"/>
  <c r="V390" i="3"/>
  <c r="L391" i="3"/>
  <c r="N391" i="3" s="1"/>
  <c r="V392" i="3"/>
  <c r="X392" i="3" s="1"/>
  <c r="L393" i="3"/>
  <c r="N393" i="3" s="1"/>
  <c r="V394" i="3"/>
  <c r="L395" i="3"/>
  <c r="AA395" i="3"/>
  <c r="V396" i="3"/>
  <c r="X396" i="3" s="1"/>
  <c r="L397" i="3"/>
  <c r="N397" i="3" s="1"/>
  <c r="V397" i="3"/>
  <c r="V398" i="3"/>
  <c r="X398" i="3" s="1"/>
  <c r="L399" i="3"/>
  <c r="Q400" i="3"/>
  <c r="V400" i="3"/>
  <c r="L401" i="3"/>
  <c r="V401" i="3"/>
  <c r="X401" i="3" s="1"/>
  <c r="L402" i="3"/>
  <c r="V402" i="3"/>
  <c r="L403" i="3"/>
  <c r="N403" i="3" s="1"/>
  <c r="Q404" i="3"/>
  <c r="V404" i="3"/>
  <c r="L405" i="3"/>
  <c r="V405" i="3"/>
  <c r="V406" i="3"/>
  <c r="L407" i="3"/>
  <c r="Q408" i="3"/>
  <c r="V408" i="3"/>
  <c r="X408" i="3" s="1"/>
  <c r="L409" i="3"/>
  <c r="V409" i="3"/>
  <c r="L410" i="3"/>
  <c r="V410" i="3"/>
  <c r="L411" i="3"/>
  <c r="V412" i="3"/>
  <c r="L413" i="3"/>
  <c r="V413" i="3"/>
  <c r="L414" i="3"/>
  <c r="V414" i="3"/>
  <c r="L415" i="3"/>
  <c r="Q416" i="3"/>
  <c r="V416" i="3"/>
  <c r="X416" i="3" s="1"/>
  <c r="L417" i="3"/>
  <c r="V417" i="3"/>
  <c r="V418" i="3"/>
  <c r="L419" i="3"/>
  <c r="Q420" i="3"/>
  <c r="V420" i="3"/>
  <c r="L421" i="3"/>
  <c r="V421" i="3"/>
  <c r="X421" i="3" s="1"/>
  <c r="V422" i="3"/>
  <c r="L423" i="3"/>
  <c r="Q424" i="3"/>
  <c r="V424" i="3"/>
  <c r="X424" i="3" s="1"/>
  <c r="L425" i="3"/>
  <c r="V425" i="3"/>
  <c r="V426" i="3"/>
  <c r="L427" i="3"/>
  <c r="N427" i="3" s="1"/>
  <c r="AA427" i="3"/>
  <c r="AC427" i="3" s="1"/>
  <c r="Q428" i="3"/>
  <c r="V428" i="3"/>
  <c r="X428" i="3" s="1"/>
  <c r="L429" i="3"/>
  <c r="N429" i="3" s="1"/>
  <c r="V429" i="3"/>
  <c r="V430" i="3"/>
  <c r="X430" i="3" s="1"/>
  <c r="L431" i="3"/>
  <c r="AA431" i="3"/>
  <c r="AC431" i="3" s="1"/>
  <c r="Q432" i="3"/>
  <c r="V432" i="3"/>
  <c r="L433" i="3"/>
  <c r="V433" i="3"/>
  <c r="X433" i="3" s="1"/>
  <c r="V434" i="3"/>
  <c r="L435" i="3"/>
  <c r="AA435" i="3"/>
  <c r="L436" i="3"/>
  <c r="V436" i="3"/>
  <c r="L437" i="3"/>
  <c r="V437" i="3"/>
  <c r="L438" i="3"/>
  <c r="N438" i="3" s="1"/>
  <c r="V438" i="3"/>
  <c r="L439" i="3"/>
  <c r="AA439" i="3"/>
  <c r="AC439" i="3" s="1"/>
  <c r="L440" i="3"/>
  <c r="Q440" i="3"/>
  <c r="V440" i="3"/>
  <c r="L441" i="3"/>
  <c r="V441" i="3"/>
  <c r="X441" i="3" s="1"/>
  <c r="V442" i="3"/>
  <c r="L443" i="3"/>
  <c r="AA443" i="3"/>
  <c r="L444" i="3"/>
  <c r="Q444" i="3"/>
  <c r="V444" i="3"/>
  <c r="L445" i="3"/>
  <c r="V445" i="3"/>
  <c r="X445" i="3" s="1"/>
  <c r="L446" i="3"/>
  <c r="V446" i="3"/>
  <c r="L447" i="3"/>
  <c r="AA447" i="3"/>
  <c r="L448" i="3"/>
  <c r="Q448" i="3"/>
  <c r="S448" i="3" s="1"/>
  <c r="V448" i="3"/>
  <c r="L449" i="3"/>
  <c r="N449" i="3" s="1"/>
  <c r="V449" i="3"/>
  <c r="X449" i="3" s="1"/>
  <c r="L450" i="3"/>
  <c r="V450" i="3"/>
  <c r="X450" i="3" s="1"/>
  <c r="L451" i="3"/>
  <c r="AA451" i="3"/>
  <c r="Q452" i="3"/>
  <c r="V452" i="3"/>
  <c r="L453" i="3"/>
  <c r="V453" i="3"/>
  <c r="V454" i="3"/>
  <c r="L455" i="3"/>
  <c r="N455" i="3" s="1"/>
  <c r="AA455" i="3"/>
  <c r="AC455" i="3" s="1"/>
  <c r="Q456" i="3"/>
  <c r="V456" i="3"/>
  <c r="Q457" i="3"/>
  <c r="V457" i="3"/>
  <c r="L458" i="3"/>
  <c r="V458" i="3"/>
  <c r="AA458" i="3"/>
  <c r="AC458" i="3" s="1"/>
  <c r="L459" i="3"/>
  <c r="N459" i="3" s="1"/>
  <c r="V459" i="3"/>
  <c r="L460" i="3"/>
  <c r="Q461" i="3"/>
  <c r="S461" i="3" s="1"/>
  <c r="V461" i="3"/>
  <c r="L462" i="3"/>
  <c r="V462" i="3"/>
  <c r="X462" i="3" s="1"/>
  <c r="V463" i="3"/>
  <c r="L464" i="3"/>
  <c r="L465" i="3"/>
  <c r="Q465" i="3"/>
  <c r="S465" i="3" s="1"/>
  <c r="V465" i="3"/>
  <c r="X465" i="3" s="1"/>
  <c r="L466" i="3"/>
  <c r="N466" i="3" s="1"/>
  <c r="L467" i="3"/>
  <c r="V467" i="3"/>
  <c r="L468" i="3"/>
  <c r="Q469" i="3"/>
  <c r="V469" i="3"/>
  <c r="X469" i="3" s="1"/>
  <c r="L470" i="3"/>
  <c r="N470" i="3" s="1"/>
  <c r="AA470" i="3"/>
  <c r="AC470" i="3" s="1"/>
  <c r="V471" i="3"/>
  <c r="L472" i="3"/>
  <c r="V472" i="3"/>
  <c r="Q473" i="3"/>
  <c r="S473" i="3" s="1"/>
  <c r="V473" i="3"/>
  <c r="L474" i="3"/>
  <c r="L475" i="3"/>
  <c r="V475" i="3"/>
  <c r="L476" i="3"/>
  <c r="V477" i="3"/>
  <c r="L478" i="3"/>
  <c r="V478" i="3"/>
  <c r="X478" i="3" s="1"/>
  <c r="AA478" i="3"/>
  <c r="AC478" i="3" s="1"/>
  <c r="V479" i="3"/>
  <c r="L480" i="3"/>
  <c r="V480" i="3"/>
  <c r="X480" i="3" s="1"/>
  <c r="Q481" i="3"/>
  <c r="S481" i="3" s="1"/>
  <c r="V481" i="3"/>
  <c r="L482" i="3"/>
  <c r="N482" i="3" s="1"/>
  <c r="AA482" i="3"/>
  <c r="AC482" i="3" s="1"/>
  <c r="L483" i="3"/>
  <c r="N483" i="3" s="1"/>
  <c r="V483" i="3"/>
  <c r="L484" i="3"/>
  <c r="Q485" i="3"/>
  <c r="S485" i="3" s="1"/>
  <c r="V485" i="3"/>
  <c r="X485" i="3" s="1"/>
  <c r="L486" i="3"/>
  <c r="V486" i="3"/>
  <c r="X486" i="3" s="1"/>
  <c r="AA486" i="3"/>
  <c r="AC486" i="3" s="1"/>
  <c r="V487" i="3"/>
  <c r="L488" i="3"/>
  <c r="V488" i="3"/>
  <c r="Q489" i="3"/>
  <c r="S489" i="3" s="1"/>
  <c r="V489" i="3"/>
  <c r="L490" i="3"/>
  <c r="N490" i="3" s="1"/>
  <c r="L491" i="3"/>
  <c r="N491" i="3" s="1"/>
  <c r="V491" i="3"/>
  <c r="X491" i="3" s="1"/>
  <c r="L492" i="3"/>
  <c r="Q493" i="3"/>
  <c r="V493" i="3"/>
  <c r="L494" i="3"/>
  <c r="AA494" i="3"/>
  <c r="AC494" i="3" s="1"/>
  <c r="V495" i="3"/>
  <c r="L496" i="3"/>
  <c r="V496" i="3"/>
  <c r="X496" i="3" s="1"/>
  <c r="Q497" i="3"/>
  <c r="S497" i="3" s="1"/>
  <c r="V497" i="3"/>
  <c r="L498" i="3"/>
  <c r="N498" i="3" s="1"/>
  <c r="AA498" i="3"/>
  <c r="AC498" i="3" s="1"/>
  <c r="L499" i="3"/>
  <c r="V499" i="3"/>
  <c r="X499" i="3" s="1"/>
  <c r="L500" i="3"/>
  <c r="Q501" i="3"/>
  <c r="V501" i="3"/>
  <c r="X501" i="3" s="1"/>
  <c r="L502" i="3"/>
  <c r="N502" i="3" s="1"/>
  <c r="AA502" i="3"/>
  <c r="AC502" i="3" s="1"/>
  <c r="V503" i="3"/>
  <c r="L504" i="3"/>
  <c r="N504" i="3" s="1"/>
  <c r="V504" i="3"/>
  <c r="X504" i="3" s="1"/>
  <c r="AA504" i="3"/>
  <c r="L505" i="3"/>
  <c r="N505" i="3" s="1"/>
  <c r="V505" i="3"/>
  <c r="X505" i="3" s="1"/>
  <c r="Q506" i="3"/>
  <c r="V506" i="3"/>
  <c r="Q507" i="3"/>
  <c r="S507" i="3" s="1"/>
  <c r="L508" i="3"/>
  <c r="Q508" i="3"/>
  <c r="S508" i="3" s="1"/>
  <c r="AA508" i="3"/>
  <c r="L509" i="3"/>
  <c r="AA509" i="3"/>
  <c r="AA510" i="3"/>
  <c r="Q511" i="3"/>
  <c r="V511" i="3"/>
  <c r="X511" i="3" s="1"/>
  <c r="AA512" i="3"/>
  <c r="L513" i="3"/>
  <c r="V513" i="3"/>
  <c r="AA513" i="3"/>
  <c r="V514" i="3"/>
  <c r="Q515" i="3"/>
  <c r="L516" i="3"/>
  <c r="Q516" i="3"/>
  <c r="AA516" i="3"/>
  <c r="AC516" i="3" s="1"/>
  <c r="L517" i="3"/>
  <c r="AA517" i="3"/>
  <c r="Q519" i="3"/>
  <c r="V519" i="3"/>
  <c r="V520" i="3"/>
  <c r="X520" i="3" s="1"/>
  <c r="AA520" i="3"/>
  <c r="L522" i="3"/>
  <c r="AA522" i="3"/>
  <c r="L523" i="3"/>
  <c r="Q523" i="3"/>
  <c r="S523" i="3" s="1"/>
  <c r="V523" i="3"/>
  <c r="X523" i="3" s="1"/>
  <c r="L524" i="3"/>
  <c r="AA524" i="3"/>
  <c r="AC524" i="3" s="1"/>
  <c r="Q525" i="3"/>
  <c r="AA526" i="3"/>
  <c r="L527" i="3"/>
  <c r="Q527" i="3"/>
  <c r="V527" i="3"/>
  <c r="X527" i="3" s="1"/>
  <c r="L528" i="3"/>
  <c r="V528" i="3"/>
  <c r="AA528" i="3"/>
  <c r="L529" i="3"/>
  <c r="Q529" i="3"/>
  <c r="S529" i="3" s="1"/>
  <c r="L530" i="3"/>
  <c r="AA530" i="3"/>
  <c r="L531" i="3"/>
  <c r="AA531" i="3"/>
  <c r="AC531" i="3" s="1"/>
  <c r="Q532" i="3"/>
  <c r="AA532" i="3"/>
  <c r="Q533" i="3"/>
  <c r="V533" i="3"/>
  <c r="X533" i="3" s="1"/>
  <c r="L534" i="3"/>
  <c r="AA534" i="3"/>
  <c r="Q535" i="3"/>
  <c r="V535" i="3"/>
  <c r="AA535" i="3"/>
  <c r="L536" i="3"/>
  <c r="Q536" i="3"/>
  <c r="V537" i="3"/>
  <c r="AA537" i="3"/>
  <c r="AC537" i="3" s="1"/>
  <c r="L538" i="3"/>
  <c r="Q538" i="3"/>
  <c r="S538" i="3" s="1"/>
  <c r="AA538" i="3"/>
  <c r="Q539" i="3"/>
  <c r="AA539" i="3"/>
  <c r="L540" i="3"/>
  <c r="Q540" i="3"/>
  <c r="AA540" i="3"/>
  <c r="Q541" i="3"/>
  <c r="V541" i="3"/>
  <c r="AA541" i="3"/>
  <c r="AC541" i="3" s="1"/>
  <c r="Q542" i="3"/>
  <c r="Q543" i="3"/>
  <c r="AA543" i="3"/>
  <c r="AC543" i="3" s="1"/>
  <c r="Q544" i="3"/>
  <c r="AA544" i="3"/>
  <c r="V545" i="3"/>
  <c r="V546" i="3"/>
  <c r="AA546" i="3"/>
  <c r="V547" i="3"/>
  <c r="X547" i="3" s="1"/>
  <c r="V548" i="3"/>
  <c r="AA548" i="3"/>
  <c r="Q549" i="3"/>
  <c r="S549" i="3" s="1"/>
  <c r="V549" i="3"/>
  <c r="L550" i="3"/>
  <c r="V550" i="3"/>
  <c r="AC550" i="3"/>
  <c r="Q551" i="3"/>
  <c r="S551" i="3" s="1"/>
  <c r="L552" i="3"/>
  <c r="N552" i="3" s="1"/>
  <c r="V552" i="3"/>
  <c r="X553" i="3"/>
  <c r="AA554" i="3"/>
  <c r="AC554" i="3" s="1"/>
  <c r="Q555" i="3"/>
  <c r="V555" i="3"/>
  <c r="X555" i="3" s="1"/>
  <c r="L556" i="3"/>
  <c r="AA556" i="3"/>
  <c r="AC556" i="3" s="1"/>
  <c r="V557" i="3"/>
  <c r="L558" i="3"/>
  <c r="AA558" i="3"/>
  <c r="AC558" i="3" s="1"/>
  <c r="Q559" i="3"/>
  <c r="V559" i="3"/>
  <c r="L560" i="3"/>
  <c r="S561" i="3"/>
  <c r="V561" i="3"/>
  <c r="AA562" i="3"/>
  <c r="Q563" i="3"/>
  <c r="V563" i="3"/>
  <c r="L564" i="3"/>
  <c r="V564" i="3"/>
  <c r="S565" i="3"/>
  <c r="L566" i="3"/>
  <c r="V566" i="3"/>
  <c r="AA566" i="3"/>
  <c r="AC566" i="3" s="1"/>
  <c r="Q567" i="3"/>
  <c r="V568" i="3"/>
  <c r="X568" i="3" s="1"/>
  <c r="Q569" i="3"/>
  <c r="V569" i="3"/>
  <c r="L570" i="3"/>
  <c r="V571" i="3"/>
  <c r="AA572" i="3"/>
  <c r="Q573" i="3"/>
  <c r="L574" i="3"/>
  <c r="N574" i="3" s="1"/>
  <c r="V574" i="3"/>
  <c r="X574" i="3" s="1"/>
  <c r="AA574" i="3"/>
  <c r="AC574" i="3" s="1"/>
  <c r="V575" i="3"/>
  <c r="X575" i="3" s="1"/>
  <c r="L576" i="3"/>
  <c r="V576" i="3"/>
  <c r="AA576" i="3"/>
  <c r="Q577" i="3"/>
  <c r="V577" i="3"/>
  <c r="AA578" i="3"/>
  <c r="Q579" i="3"/>
  <c r="V579" i="3"/>
  <c r="L580" i="3"/>
  <c r="L582" i="3"/>
  <c r="N582" i="3" s="1"/>
  <c r="V582" i="3"/>
  <c r="AA582" i="3"/>
  <c r="Q583" i="3"/>
  <c r="V584" i="3"/>
  <c r="X584" i="3" s="1"/>
  <c r="AA584" i="3"/>
  <c r="Q585" i="3"/>
  <c r="V585" i="3"/>
  <c r="L586" i="3"/>
  <c r="N586" i="3" s="1"/>
  <c r="V587" i="3"/>
  <c r="L588" i="3"/>
  <c r="AA588" i="3"/>
  <c r="AC588" i="3" s="1"/>
  <c r="Q589" i="3"/>
  <c r="S589" i="3" s="1"/>
  <c r="L590" i="3"/>
  <c r="N590" i="3" s="1"/>
  <c r="V590" i="3"/>
  <c r="AC590" i="3"/>
  <c r="V591" i="3"/>
  <c r="AA592" i="3"/>
  <c r="Q593" i="3"/>
  <c r="V593" i="3"/>
  <c r="X593" i="3" s="1"/>
  <c r="AA594" i="3"/>
  <c r="V595" i="3"/>
  <c r="X595" i="3" s="1"/>
  <c r="L596" i="3"/>
  <c r="S597" i="3"/>
  <c r="V597" i="3"/>
  <c r="L598" i="3"/>
  <c r="V598" i="3"/>
  <c r="AA598" i="3"/>
  <c r="AC598" i="3" s="1"/>
  <c r="Q599" i="3"/>
  <c r="L601" i="3"/>
  <c r="V601" i="3"/>
  <c r="L602" i="3"/>
  <c r="N602" i="3" s="1"/>
  <c r="AA602" i="3"/>
  <c r="L603" i="3"/>
  <c r="V603" i="3"/>
  <c r="L604" i="3"/>
  <c r="V604" i="3"/>
  <c r="AC604" i="3"/>
  <c r="L605" i="3"/>
  <c r="Q605" i="3"/>
  <c r="V605" i="3"/>
  <c r="L606" i="3"/>
  <c r="V606" i="3"/>
  <c r="Q607" i="3"/>
  <c r="V607" i="3"/>
  <c r="V608" i="3"/>
  <c r="Q609" i="3"/>
  <c r="AA610" i="3"/>
  <c r="Q611" i="3"/>
  <c r="Q612" i="3"/>
  <c r="AA612" i="3"/>
  <c r="Q613" i="3"/>
  <c r="V614" i="3"/>
  <c r="AA614" i="3"/>
  <c r="L615" i="3"/>
  <c r="Q615" i="3"/>
  <c r="Q616" i="3"/>
  <c r="AA616" i="3"/>
  <c r="Q617" i="3"/>
  <c r="Q618" i="3"/>
  <c r="AA618" i="3"/>
  <c r="Q619" i="3"/>
  <c r="Q620" i="3"/>
  <c r="AA620" i="3"/>
  <c r="Q621" i="3"/>
  <c r="AA621" i="3"/>
  <c r="AA622" i="3"/>
  <c r="Q623" i="3"/>
  <c r="X623" i="3"/>
  <c r="AA623" i="3"/>
  <c r="Q624" i="3"/>
  <c r="V624" i="3"/>
  <c r="AA624" i="3"/>
  <c r="L625" i="3"/>
  <c r="Q625" i="3"/>
  <c r="V626" i="3"/>
  <c r="AA626" i="3"/>
  <c r="L627" i="3"/>
  <c r="Q627" i="3"/>
  <c r="Q628" i="3"/>
  <c r="V628" i="3"/>
  <c r="AA628" i="3"/>
  <c r="L629" i="3"/>
  <c r="Q629" i="3"/>
  <c r="AA630" i="3"/>
  <c r="L631" i="3"/>
  <c r="Q631" i="3"/>
  <c r="V632" i="3"/>
  <c r="AA632" i="3"/>
  <c r="Q633" i="3"/>
  <c r="Q634" i="3"/>
  <c r="AA634" i="3"/>
  <c r="L635" i="3"/>
  <c r="Q635" i="3"/>
  <c r="S636" i="3"/>
  <c r="V636" i="3"/>
  <c r="AA636" i="3"/>
  <c r="L637" i="3"/>
  <c r="Q637" i="3"/>
  <c r="S637" i="3" s="1"/>
  <c r="AA638" i="3"/>
  <c r="L639" i="3"/>
  <c r="Q639" i="3"/>
  <c r="AA639" i="3"/>
  <c r="L640" i="3"/>
  <c r="AA640" i="3"/>
  <c r="L641" i="3"/>
  <c r="V641" i="3"/>
  <c r="L642" i="3"/>
  <c r="AA642" i="3"/>
  <c r="Q643" i="3"/>
  <c r="V643" i="3"/>
  <c r="X643" i="3" s="1"/>
  <c r="L644" i="3"/>
  <c r="L645" i="3"/>
  <c r="N645" i="3" s="1"/>
  <c r="Q645" i="3"/>
  <c r="V645" i="3"/>
  <c r="L646" i="3"/>
  <c r="V646" i="3"/>
  <c r="AA646" i="3"/>
  <c r="L647" i="3"/>
  <c r="Q647" i="3"/>
  <c r="S647" i="3" s="1"/>
  <c r="V647" i="3"/>
  <c r="X647" i="3" s="1"/>
  <c r="L648" i="3"/>
  <c r="N648" i="3" s="1"/>
  <c r="V648" i="3"/>
  <c r="AA648" i="3"/>
  <c r="Q649" i="3"/>
  <c r="S649" i="3" s="1"/>
  <c r="V649" i="3"/>
  <c r="X649" i="3" s="1"/>
  <c r="L650" i="3"/>
  <c r="AA650" i="3"/>
  <c r="L651" i="3"/>
  <c r="N651" i="3" s="1"/>
  <c r="V651" i="3"/>
  <c r="L652" i="3"/>
  <c r="V652" i="3"/>
  <c r="AA652" i="3"/>
  <c r="L653" i="3"/>
  <c r="V653" i="3"/>
  <c r="L654" i="3"/>
  <c r="V654" i="3"/>
  <c r="Q655" i="3"/>
  <c r="V655" i="3"/>
  <c r="L656" i="3"/>
  <c r="V656" i="3"/>
  <c r="AA656" i="3"/>
  <c r="L657" i="3"/>
  <c r="Q657" i="3"/>
  <c r="V657" i="3"/>
  <c r="L658" i="3"/>
  <c r="V658" i="3"/>
  <c r="AA658" i="3"/>
  <c r="Q659" i="3"/>
  <c r="V659" i="3"/>
  <c r="L660" i="3"/>
  <c r="AA660" i="3"/>
  <c r="Q661" i="3"/>
  <c r="V661" i="3"/>
  <c r="L662" i="3"/>
  <c r="AA662" i="3"/>
  <c r="L663" i="3"/>
  <c r="Q663" i="3"/>
  <c r="V663" i="3"/>
  <c r="L664" i="3"/>
  <c r="AA664" i="3"/>
  <c r="L665" i="3"/>
  <c r="V665" i="3"/>
  <c r="L666" i="3"/>
  <c r="V666" i="3"/>
  <c r="L667" i="3"/>
  <c r="Q667" i="3"/>
  <c r="V667" i="3"/>
  <c r="L668" i="3"/>
  <c r="V668" i="3"/>
  <c r="L669" i="3"/>
  <c r="Q669" i="3"/>
  <c r="V669" i="3"/>
  <c r="L670" i="3"/>
  <c r="V670" i="3"/>
  <c r="AA670" i="3"/>
  <c r="Q671" i="3"/>
  <c r="V671" i="3"/>
  <c r="L672" i="3"/>
  <c r="V672" i="3"/>
  <c r="L673" i="3"/>
  <c r="Q673" i="3"/>
  <c r="Q674" i="3"/>
  <c r="AA674" i="3"/>
  <c r="L675" i="3"/>
  <c r="Q675" i="3"/>
  <c r="V675" i="3"/>
  <c r="AA675" i="3"/>
  <c r="L676" i="3"/>
  <c r="Q676" i="3"/>
  <c r="AA676" i="3"/>
  <c r="L677" i="3"/>
  <c r="V677" i="3"/>
  <c r="AA677" i="3"/>
  <c r="L678" i="3"/>
  <c r="AA678" i="3"/>
  <c r="Q679" i="3"/>
  <c r="V679" i="3"/>
  <c r="Q680" i="3"/>
  <c r="V680" i="3"/>
  <c r="Q681" i="3"/>
  <c r="AA681" i="3"/>
  <c r="L682" i="3"/>
  <c r="Q682" i="3"/>
  <c r="L683" i="3"/>
  <c r="N683" i="3" s="1"/>
  <c r="Q683" i="3"/>
  <c r="V683" i="3"/>
  <c r="AA683" i="3"/>
  <c r="L684" i="3"/>
  <c r="Q684" i="3"/>
  <c r="AA684" i="3"/>
  <c r="L685" i="3"/>
  <c r="V685" i="3"/>
  <c r="AA685" i="3"/>
  <c r="L686" i="3"/>
  <c r="AA686" i="3"/>
  <c r="Q687" i="3"/>
  <c r="V687" i="3"/>
  <c r="Q688" i="3"/>
  <c r="V688" i="3"/>
  <c r="X688" i="3" s="1"/>
  <c r="L689" i="3"/>
  <c r="Q689" i="3"/>
  <c r="AA689" i="3"/>
  <c r="AC689" i="3" s="1"/>
  <c r="Q690" i="3"/>
  <c r="AA690" i="3"/>
  <c r="L691" i="3"/>
  <c r="Q691" i="3"/>
  <c r="S691" i="3" s="1"/>
  <c r="AA691" i="3"/>
  <c r="AC691" i="3" s="1"/>
  <c r="Q692" i="3"/>
  <c r="S692" i="3" s="1"/>
  <c r="AA692" i="3"/>
  <c r="AC692" i="3" s="1"/>
  <c r="Q693" i="3"/>
  <c r="S693" i="3" s="1"/>
  <c r="AA693" i="3"/>
  <c r="AA694" i="3"/>
  <c r="L695" i="3"/>
  <c r="Q695" i="3"/>
  <c r="S695" i="3" s="1"/>
  <c r="AA695" i="3"/>
  <c r="V696" i="3"/>
  <c r="AA696" i="3"/>
  <c r="AC696" i="3" s="1"/>
  <c r="Q697" i="3"/>
  <c r="Q698" i="3"/>
  <c r="S698" i="3" s="1"/>
  <c r="AA698" i="3"/>
  <c r="AC698" i="3" s="1"/>
  <c r="L699" i="3"/>
  <c r="Q699" i="3"/>
  <c r="S699" i="3" s="1"/>
  <c r="Q700" i="3"/>
  <c r="AA700" i="3"/>
  <c r="L701" i="3"/>
  <c r="Q701" i="3"/>
  <c r="S701" i="3" s="1"/>
  <c r="AA701" i="3"/>
  <c r="AC701" i="3" s="1"/>
  <c r="AA702" i="3"/>
  <c r="AC702" i="3" s="1"/>
  <c r="L703" i="3"/>
  <c r="Q703" i="3"/>
  <c r="AA703" i="3"/>
  <c r="AC703" i="3" s="1"/>
  <c r="AA704" i="3"/>
  <c r="AC704" i="3" s="1"/>
  <c r="L705" i="3"/>
  <c r="AA705" i="3"/>
  <c r="AC705" i="3" s="1"/>
  <c r="L706" i="3"/>
  <c r="AA706" i="3"/>
  <c r="AC706" i="3" s="1"/>
  <c r="L707" i="3"/>
  <c r="V707" i="3"/>
  <c r="AA707" i="3"/>
  <c r="AC707" i="3" s="1"/>
  <c r="L708" i="3"/>
  <c r="V708" i="3"/>
  <c r="AA708" i="3"/>
  <c r="L44" i="4" s="1"/>
  <c r="L709" i="3"/>
  <c r="AA709" i="3"/>
  <c r="L710" i="3"/>
  <c r="V710" i="3"/>
  <c r="X710" i="3" s="1"/>
  <c r="AA710" i="3"/>
  <c r="AC710" i="3" s="1"/>
  <c r="L711" i="3"/>
  <c r="AA711" i="3"/>
  <c r="L712" i="3"/>
  <c r="N712" i="3" s="1"/>
  <c r="AA712" i="3"/>
  <c r="L713" i="3"/>
  <c r="AA713" i="3"/>
  <c r="L714" i="3"/>
  <c r="N714" i="3" s="1"/>
  <c r="V714" i="3"/>
  <c r="AA714" i="3"/>
  <c r="AC714" i="3" s="1"/>
  <c r="L715" i="3"/>
  <c r="AA715" i="3"/>
  <c r="AC715" i="3" s="1"/>
  <c r="L716" i="3"/>
  <c r="V716" i="3"/>
  <c r="AA716" i="3"/>
  <c r="AC716" i="3" s="1"/>
  <c r="L717" i="3"/>
  <c r="N717" i="3" s="1"/>
  <c r="AA717" i="3"/>
  <c r="AC717" i="3" s="1"/>
  <c r="L718" i="3"/>
  <c r="AA718" i="3"/>
  <c r="L719" i="3"/>
  <c r="AA719" i="3"/>
  <c r="AC719" i="3" s="1"/>
  <c r="L720" i="3"/>
  <c r="AA720" i="3"/>
  <c r="AC720" i="3" s="1"/>
  <c r="L721" i="3"/>
  <c r="N721" i="3" s="1"/>
  <c r="V721" i="3"/>
  <c r="AA721" i="3"/>
  <c r="AC721" i="3" s="1"/>
  <c r="L722" i="3"/>
  <c r="AA722" i="3"/>
  <c r="AC722" i="3" s="1"/>
  <c r="L723" i="3"/>
  <c r="N723" i="3" s="1"/>
  <c r="AA723" i="3"/>
  <c r="L724" i="3"/>
  <c r="AA724" i="3"/>
  <c r="AC724" i="3" s="1"/>
  <c r="L725" i="3"/>
  <c r="AA725" i="3"/>
  <c r="AC725" i="3" s="1"/>
  <c r="L726" i="3"/>
  <c r="AA726" i="3"/>
  <c r="L727" i="3"/>
  <c r="AA727" i="3"/>
  <c r="AC727" i="3" s="1"/>
  <c r="L728" i="3"/>
  <c r="N728" i="3" s="1"/>
  <c r="AA728" i="3"/>
  <c r="L729" i="3"/>
  <c r="N729" i="3" s="1"/>
  <c r="V729" i="3"/>
  <c r="L730" i="3"/>
  <c r="N730" i="3" s="1"/>
  <c r="AA730" i="3"/>
  <c r="L731" i="3"/>
  <c r="N731" i="3" s="1"/>
  <c r="S731" i="3"/>
  <c r="V731" i="3"/>
  <c r="AA731" i="3"/>
  <c r="V732" i="3"/>
  <c r="X732" i="3" s="1"/>
  <c r="AA732" i="3"/>
  <c r="AC732" i="3" s="1"/>
  <c r="L733" i="3"/>
  <c r="Q733" i="3"/>
  <c r="S733" i="3" s="1"/>
  <c r="Q734" i="3"/>
  <c r="V734" i="3"/>
  <c r="AA734" i="3"/>
  <c r="AC734" i="3" s="1"/>
  <c r="L735" i="3"/>
  <c r="Q735" i="3"/>
  <c r="AA735" i="3"/>
  <c r="Q736" i="3"/>
  <c r="S736" i="3" s="1"/>
  <c r="AA736" i="3"/>
  <c r="L737" i="3"/>
  <c r="Q737" i="3"/>
  <c r="AA737" i="3"/>
  <c r="AC737" i="3" s="1"/>
  <c r="AA738" i="3"/>
  <c r="Q739" i="3"/>
  <c r="V740" i="3"/>
  <c r="X740" i="3" s="1"/>
  <c r="AA740" i="3"/>
  <c r="AC740" i="3" s="1"/>
  <c r="L741" i="3"/>
  <c r="Q741" i="3"/>
  <c r="AA741" i="3"/>
  <c r="AC741" i="3" s="1"/>
  <c r="Q742" i="3"/>
  <c r="V742" i="3"/>
  <c r="AA742" i="3"/>
  <c r="AC742" i="3" s="1"/>
  <c r="Q743" i="3"/>
  <c r="Q744" i="3"/>
  <c r="AA744" i="3"/>
  <c r="L46" i="4" s="1"/>
  <c r="L745" i="3"/>
  <c r="Q745" i="3"/>
  <c r="AA745" i="3"/>
  <c r="AA746" i="3"/>
  <c r="Q747" i="3"/>
  <c r="V748" i="3"/>
  <c r="X748" i="3" s="1"/>
  <c r="L749" i="3"/>
  <c r="N749" i="3" s="1"/>
  <c r="V750" i="3"/>
  <c r="L751" i="3"/>
  <c r="Q752" i="3"/>
  <c r="V752" i="3"/>
  <c r="AA753" i="3"/>
  <c r="L754" i="3"/>
  <c r="Q754" i="3"/>
  <c r="AA754" i="3"/>
  <c r="Q755" i="3"/>
  <c r="L756" i="3"/>
  <c r="Q756" i="3"/>
  <c r="S756" i="3" s="1"/>
  <c r="AA756" i="3"/>
  <c r="AC756" i="3" s="1"/>
  <c r="L757" i="3"/>
  <c r="Q757" i="3"/>
  <c r="S757" i="3" s="1"/>
  <c r="Q758" i="3"/>
  <c r="AA758" i="3"/>
  <c r="AA759" i="3"/>
  <c r="Q760" i="3"/>
  <c r="V760" i="3"/>
  <c r="L761" i="3"/>
  <c r="L16" i="3"/>
  <c r="V19" i="3"/>
  <c r="L32" i="3"/>
  <c r="V35" i="3"/>
  <c r="S40" i="3"/>
  <c r="L48" i="3"/>
  <c r="V51" i="3"/>
  <c r="S56" i="3"/>
  <c r="L64" i="3"/>
  <c r="V67" i="3"/>
  <c r="L80" i="3"/>
  <c r="V83" i="3"/>
  <c r="S88" i="3"/>
  <c r="L96" i="3"/>
  <c r="V99" i="3"/>
  <c r="V113" i="3"/>
  <c r="Q131" i="3"/>
  <c r="AC131" i="3"/>
  <c r="S174" i="3"/>
  <c r="X194" i="3"/>
  <c r="Q230" i="3"/>
  <c r="AA158" i="3"/>
  <c r="Q133" i="3"/>
  <c r="V23" i="3"/>
  <c r="V71" i="3"/>
  <c r="S15" i="3"/>
  <c r="S22" i="3"/>
  <c r="AC28" i="3"/>
  <c r="S31" i="3"/>
  <c r="V33" i="3"/>
  <c r="L62" i="3"/>
  <c r="S63" i="3"/>
  <c r="V65" i="3"/>
  <c r="S70" i="3"/>
  <c r="L78" i="3"/>
  <c r="S79" i="3"/>
  <c r="V81" i="3"/>
  <c r="S86" i="3"/>
  <c r="AC92" i="3"/>
  <c r="L94" i="3"/>
  <c r="V97" i="3"/>
  <c r="S102" i="3"/>
  <c r="V107" i="3"/>
  <c r="L114" i="3"/>
  <c r="Q115" i="3"/>
  <c r="X119" i="3"/>
  <c r="AA144" i="3"/>
  <c r="N171" i="3"/>
  <c r="Q216" i="3"/>
  <c r="S306" i="3"/>
  <c r="L26" i="3"/>
  <c r="V29" i="3"/>
  <c r="L42" i="3"/>
  <c r="L58" i="3"/>
  <c r="V61" i="3"/>
  <c r="L74" i="3"/>
  <c r="AA103" i="3"/>
  <c r="S227" i="3"/>
  <c r="V249" i="3"/>
  <c r="AA253" i="3"/>
  <c r="L20" i="3"/>
  <c r="AA142" i="3"/>
  <c r="S6" i="3"/>
  <c r="L30" i="3"/>
  <c r="L46" i="3"/>
  <c r="AC6" i="3"/>
  <c r="V11" i="3"/>
  <c r="AC22" i="3"/>
  <c r="L24" i="3"/>
  <c r="S25" i="3"/>
  <c r="V27" i="3"/>
  <c r="S32" i="3"/>
  <c r="L40" i="3"/>
  <c r="S41" i="3"/>
  <c r="V43" i="3"/>
  <c r="S48" i="3"/>
  <c r="AC54" i="3"/>
  <c r="L56" i="3"/>
  <c r="S57" i="3"/>
  <c r="V59" i="3"/>
  <c r="S64" i="3"/>
  <c r="AC70" i="3"/>
  <c r="L72" i="3"/>
  <c r="S73" i="3"/>
  <c r="V75" i="3"/>
  <c r="S80" i="3"/>
  <c r="AC86" i="3"/>
  <c r="L88" i="3"/>
  <c r="S89" i="3"/>
  <c r="V91" i="3"/>
  <c r="S96" i="3"/>
  <c r="Q109" i="3"/>
  <c r="AC109" i="3"/>
  <c r="L120" i="3"/>
  <c r="S144" i="3"/>
  <c r="Q163" i="3"/>
  <c r="AC163" i="3"/>
  <c r="X296" i="3"/>
  <c r="V13" i="3"/>
  <c r="V45" i="3"/>
  <c r="V77" i="3"/>
  <c r="L90" i="3"/>
  <c r="L84" i="3"/>
  <c r="L100" i="3"/>
  <c r="X123" i="3"/>
  <c r="AA160" i="3"/>
  <c r="V211" i="3"/>
  <c r="N221" i="3"/>
  <c r="L14" i="3"/>
  <c r="V17" i="3"/>
  <c r="S38" i="3"/>
  <c r="V49" i="3"/>
  <c r="S54" i="3"/>
  <c r="L18" i="3"/>
  <c r="V21" i="3"/>
  <c r="S26" i="3"/>
  <c r="AC32" i="3"/>
  <c r="L34" i="3"/>
  <c r="S35" i="3"/>
  <c r="V37" i="3"/>
  <c r="AC48" i="3"/>
  <c r="L50" i="3"/>
  <c r="S51" i="3"/>
  <c r="V53" i="3"/>
  <c r="AC64" i="3"/>
  <c r="L66" i="3"/>
  <c r="S67" i="3"/>
  <c r="V69" i="3"/>
  <c r="L82" i="3"/>
  <c r="V85" i="3"/>
  <c r="AC96" i="3"/>
  <c r="L98" i="3"/>
  <c r="V101" i="3"/>
  <c r="AA126" i="3"/>
  <c r="Q147" i="3"/>
  <c r="N152" i="3"/>
  <c r="N173" i="3"/>
  <c r="S34" i="3"/>
  <c r="V93" i="3"/>
  <c r="V7" i="3"/>
  <c r="V39" i="3"/>
  <c r="L52" i="3"/>
  <c r="V55" i="3"/>
  <c r="V87" i="3"/>
  <c r="AA191" i="3"/>
  <c r="L442" i="3"/>
  <c r="V15" i="3"/>
  <c r="V31" i="3"/>
  <c r="V63" i="3"/>
  <c r="S68" i="3"/>
  <c r="AC74" i="3"/>
  <c r="L76" i="3"/>
  <c r="V79" i="3"/>
  <c r="S84" i="3"/>
  <c r="L92" i="3"/>
  <c r="V95" i="3"/>
  <c r="AA122" i="3"/>
  <c r="AA128" i="3"/>
  <c r="Q165" i="3"/>
  <c r="AC165" i="3"/>
  <c r="L199" i="3"/>
  <c r="S66" i="3"/>
  <c r="AA176" i="3"/>
  <c r="Q181" i="3"/>
  <c r="L36" i="3"/>
  <c r="L68" i="3"/>
  <c r="Q103" i="3"/>
  <c r="AA116" i="3"/>
  <c r="AC200" i="3"/>
  <c r="L12" i="3"/>
  <c r="L28" i="3"/>
  <c r="L44" i="3"/>
  <c r="V47" i="3"/>
  <c r="L60" i="3"/>
  <c r="V9" i="3"/>
  <c r="S14" i="3"/>
  <c r="AC17" i="3"/>
  <c r="AC20" i="3"/>
  <c r="L22" i="3"/>
  <c r="V25" i="3"/>
  <c r="S30" i="3"/>
  <c r="L38" i="3"/>
  <c r="V41" i="3"/>
  <c r="S46" i="3"/>
  <c r="AC52" i="3"/>
  <c r="L54" i="3"/>
  <c r="S55" i="3"/>
  <c r="V57" i="3"/>
  <c r="S62" i="3"/>
  <c r="AC68" i="3"/>
  <c r="L70" i="3"/>
  <c r="S71" i="3"/>
  <c r="V73" i="3"/>
  <c r="AC84" i="3"/>
  <c r="L86" i="3"/>
  <c r="S87" i="3"/>
  <c r="V89" i="3"/>
  <c r="AC100" i="3"/>
  <c r="L102" i="3"/>
  <c r="AA106" i="3"/>
  <c r="X139" i="3"/>
  <c r="N141" i="3"/>
  <c r="Q149" i="3"/>
  <c r="AA174" i="3"/>
  <c r="AA110" i="3"/>
  <c r="N111" i="3"/>
  <c r="Q119" i="3"/>
  <c r="X127" i="3"/>
  <c r="AA130" i="3"/>
  <c r="S134" i="3"/>
  <c r="Q135" i="3"/>
  <c r="N138" i="3"/>
  <c r="AA146" i="3"/>
  <c r="Q151" i="3"/>
  <c r="N154" i="3"/>
  <c r="AA162" i="3"/>
  <c r="S166" i="3"/>
  <c r="Q167" i="3"/>
  <c r="N170" i="3"/>
  <c r="X170" i="3"/>
  <c r="AA178" i="3"/>
  <c r="V187" i="3"/>
  <c r="AC201" i="3"/>
  <c r="S203" i="3"/>
  <c r="L204" i="3"/>
  <c r="V204" i="3"/>
  <c r="X206" i="3"/>
  <c r="L220" i="3"/>
  <c r="V220" i="3"/>
  <c r="Q252" i="3"/>
  <c r="AA291" i="3"/>
  <c r="Q179" i="3"/>
  <c r="AA215" i="3"/>
  <c r="V226" i="3"/>
  <c r="V281" i="3"/>
  <c r="V355" i="3"/>
  <c r="Q105" i="3"/>
  <c r="AA112" i="3"/>
  <c r="N113" i="3"/>
  <c r="Q121" i="3"/>
  <c r="AA124" i="3"/>
  <c r="Q129" i="3"/>
  <c r="AA140" i="3"/>
  <c r="Q145" i="3"/>
  <c r="X150" i="3"/>
  <c r="N153" i="3"/>
  <c r="AA156" i="3"/>
  <c r="Q161" i="3"/>
  <c r="AA172" i="3"/>
  <c r="Q177" i="3"/>
  <c r="L183" i="3"/>
  <c r="V195" i="3"/>
  <c r="Q200" i="3"/>
  <c r="L212" i="3"/>
  <c r="V212" i="3"/>
  <c r="Q270" i="3"/>
  <c r="Q304" i="3"/>
  <c r="L311" i="3"/>
  <c r="S314" i="3"/>
  <c r="AC350" i="3"/>
  <c r="Q111" i="3"/>
  <c r="AA118" i="3"/>
  <c r="Q127" i="3"/>
  <c r="N135" i="3"/>
  <c r="AA138" i="3"/>
  <c r="Q143" i="3"/>
  <c r="X148" i="3"/>
  <c r="AA154" i="3"/>
  <c r="Q159" i="3"/>
  <c r="N167" i="3"/>
  <c r="X167" i="3"/>
  <c r="N169" i="3"/>
  <c r="AA170" i="3"/>
  <c r="Q175" i="3"/>
  <c r="N178" i="3"/>
  <c r="X178" i="3"/>
  <c r="AA199" i="3"/>
  <c r="X202" i="3"/>
  <c r="AC205" i="3"/>
  <c r="L207" i="3"/>
  <c r="L223" i="3"/>
  <c r="X224" i="3"/>
  <c r="AC225" i="3"/>
  <c r="V241" i="3"/>
  <c r="AC336" i="3"/>
  <c r="N103" i="3"/>
  <c r="AA104" i="3"/>
  <c r="AA108" i="3"/>
  <c r="X109" i="3"/>
  <c r="Q117" i="3"/>
  <c r="Q125" i="3"/>
  <c r="AA136" i="3"/>
  <c r="Q141" i="3"/>
  <c r="X149" i="3"/>
  <c r="AA152" i="3"/>
  <c r="Q157" i="3"/>
  <c r="X162" i="3"/>
  <c r="X165" i="3"/>
  <c r="AA168" i="3"/>
  <c r="Q173" i="3"/>
  <c r="AC177" i="3"/>
  <c r="N181" i="3"/>
  <c r="X181" i="3"/>
  <c r="X192" i="3"/>
  <c r="AC193" i="3"/>
  <c r="L196" i="3"/>
  <c r="V196" i="3"/>
  <c r="N197" i="3"/>
  <c r="X198" i="3"/>
  <c r="V219" i="3"/>
  <c r="S229" i="3"/>
  <c r="N245" i="3"/>
  <c r="V265" i="3"/>
  <c r="L274" i="3"/>
  <c r="S280" i="3"/>
  <c r="S282" i="3"/>
  <c r="AC302" i="3"/>
  <c r="L310" i="3"/>
  <c r="V334" i="3"/>
  <c r="L188" i="3"/>
  <c r="N106" i="3"/>
  <c r="Q107" i="3"/>
  <c r="AA114" i="3"/>
  <c r="V115" i="3"/>
  <c r="S118" i="3"/>
  <c r="L122" i="3"/>
  <c r="Q123" i="3"/>
  <c r="X131" i="3"/>
  <c r="N133" i="3"/>
  <c r="AA134" i="3"/>
  <c r="Q139" i="3"/>
  <c r="X142" i="3"/>
  <c r="AA150" i="3"/>
  <c r="Q155" i="3"/>
  <c r="AA166" i="3"/>
  <c r="Q171" i="3"/>
  <c r="X176" i="3"/>
  <c r="X179" i="3"/>
  <c r="AA183" i="3"/>
  <c r="AC188" i="3"/>
  <c r="AC189" i="3"/>
  <c r="L191" i="3"/>
  <c r="AC192" i="3"/>
  <c r="V203" i="3"/>
  <c r="S208" i="3"/>
  <c r="N225" i="3"/>
  <c r="X274" i="3"/>
  <c r="AC276" i="3"/>
  <c r="AC280" i="3"/>
  <c r="AC282" i="3"/>
  <c r="AC287" i="3"/>
  <c r="L292" i="3"/>
  <c r="V188" i="3"/>
  <c r="X190" i="3"/>
  <c r="L226" i="3"/>
  <c r="X234" i="3"/>
  <c r="N247" i="3"/>
  <c r="S290" i="3"/>
  <c r="AA293" i="3"/>
  <c r="S108" i="3"/>
  <c r="Q113" i="3"/>
  <c r="AA120" i="3"/>
  <c r="N124" i="3"/>
  <c r="AC125" i="3"/>
  <c r="N129" i="3"/>
  <c r="N131" i="3"/>
  <c r="AA132" i="3"/>
  <c r="Q137" i="3"/>
  <c r="AC141" i="3"/>
  <c r="X145" i="3"/>
  <c r="AA148" i="3"/>
  <c r="S152" i="3"/>
  <c r="Q153" i="3"/>
  <c r="X156" i="3"/>
  <c r="X158" i="3"/>
  <c r="X161" i="3"/>
  <c r="AA164" i="3"/>
  <c r="Q169" i="3"/>
  <c r="N172" i="3"/>
  <c r="AC173" i="3"/>
  <c r="AA180" i="3"/>
  <c r="S183" i="3"/>
  <c r="AA207" i="3"/>
  <c r="X210" i="3"/>
  <c r="AC212" i="3"/>
  <c r="L215" i="3"/>
  <c r="AA223" i="3"/>
  <c r="Q224" i="3"/>
  <c r="S235" i="3"/>
  <c r="L240" i="3"/>
  <c r="AC252" i="3"/>
  <c r="S254" i="3"/>
  <c r="AC270" i="3"/>
  <c r="L272" i="3"/>
  <c r="X286" i="3"/>
  <c r="L294" i="3"/>
  <c r="L305" i="3"/>
  <c r="X316" i="3"/>
  <c r="AA343" i="3"/>
  <c r="S186" i="3"/>
  <c r="V189" i="3"/>
  <c r="S194" i="3"/>
  <c r="V197" i="3"/>
  <c r="V205" i="3"/>
  <c r="V213" i="3"/>
  <c r="S218" i="3"/>
  <c r="V221" i="3"/>
  <c r="Q228" i="3"/>
  <c r="AC232" i="3"/>
  <c r="L234" i="3"/>
  <c r="AC235" i="3"/>
  <c r="Q236" i="3"/>
  <c r="S242" i="3"/>
  <c r="L248" i="3"/>
  <c r="Q268" i="3"/>
  <c r="Q284" i="3"/>
  <c r="L286" i="3"/>
  <c r="AC297" i="3"/>
  <c r="AA351" i="3"/>
  <c r="L186" i="3"/>
  <c r="L194" i="3"/>
  <c r="L202" i="3"/>
  <c r="L210" i="3"/>
  <c r="L218" i="3"/>
  <c r="AC230" i="3"/>
  <c r="V232" i="3"/>
  <c r="AC254" i="3"/>
  <c r="V256" i="3"/>
  <c r="L258" i="3"/>
  <c r="AC268" i="3"/>
  <c r="Q276" i="3"/>
  <c r="F20" i="4" s="1"/>
  <c r="S298" i="3"/>
  <c r="L300" i="3"/>
  <c r="V300" i="3"/>
  <c r="V307" i="3"/>
  <c r="S336" i="3"/>
  <c r="V347" i="3"/>
  <c r="V363" i="3"/>
  <c r="X422" i="3"/>
  <c r="Q182" i="3"/>
  <c r="V185" i="3"/>
  <c r="Q190" i="3"/>
  <c r="V193" i="3"/>
  <c r="Q198" i="3"/>
  <c r="V201" i="3"/>
  <c r="Q206" i="3"/>
  <c r="V209" i="3"/>
  <c r="Q214" i="3"/>
  <c r="V217" i="3"/>
  <c r="Q222" i="3"/>
  <c r="V225" i="3"/>
  <c r="L227" i="3"/>
  <c r="L232" i="3"/>
  <c r="L237" i="3"/>
  <c r="S241" i="3"/>
  <c r="AC248" i="3"/>
  <c r="L251" i="3"/>
  <c r="L256" i="3"/>
  <c r="V258" i="3"/>
  <c r="AA259" i="3"/>
  <c r="L269" i="3"/>
  <c r="V273" i="3"/>
  <c r="AA277" i="3"/>
  <c r="L285" i="3"/>
  <c r="Q288" i="3"/>
  <c r="V289" i="3"/>
  <c r="S293" i="3"/>
  <c r="AA299" i="3"/>
  <c r="X320" i="3"/>
  <c r="AA325" i="3"/>
  <c r="L422" i="3"/>
  <c r="V439" i="3"/>
  <c r="L184" i="3"/>
  <c r="L192" i="3"/>
  <c r="AC194" i="3"/>
  <c r="L200" i="3"/>
  <c r="AC202" i="3"/>
  <c r="S205" i="3"/>
  <c r="L208" i="3"/>
  <c r="S213" i="3"/>
  <c r="L216" i="3"/>
  <c r="AC218" i="3"/>
  <c r="S221" i="3"/>
  <c r="L224" i="3"/>
  <c r="L229" i="3"/>
  <c r="V233" i="3"/>
  <c r="L242" i="3"/>
  <c r="V242" i="3"/>
  <c r="AA243" i="3"/>
  <c r="Q260" i="3"/>
  <c r="S272" i="3"/>
  <c r="AC279" i="3"/>
  <c r="V280" i="3"/>
  <c r="S307" i="3"/>
  <c r="X312" i="3"/>
  <c r="S313" i="3"/>
  <c r="L317" i="3"/>
  <c r="V317" i="3"/>
  <c r="X326" i="3"/>
  <c r="AA337" i="3"/>
  <c r="V339" i="3"/>
  <c r="X362" i="3"/>
  <c r="AA368" i="3"/>
  <c r="V183" i="3"/>
  <c r="V191" i="3"/>
  <c r="S196" i="3"/>
  <c r="V199" i="3"/>
  <c r="V207" i="3"/>
  <c r="V215" i="3"/>
  <c r="V223" i="3"/>
  <c r="Q244" i="3"/>
  <c r="V257" i="3"/>
  <c r="X264" i="3"/>
  <c r="L266" i="3"/>
  <c r="AC272" i="3"/>
  <c r="L280" i="3"/>
  <c r="L282" i="3"/>
  <c r="AC289" i="3"/>
  <c r="V297" i="3"/>
  <c r="N301" i="3"/>
  <c r="AC305" i="3"/>
  <c r="L308" i="3"/>
  <c r="V308" i="3"/>
  <c r="Q318" i="3"/>
  <c r="AA319" i="3"/>
  <c r="Q320" i="3"/>
  <c r="V331" i="3"/>
  <c r="S368" i="3"/>
  <c r="V377" i="3"/>
  <c r="Q526" i="3"/>
  <c r="L182" i="3"/>
  <c r="AC184" i="3"/>
  <c r="L190" i="3"/>
  <c r="L198" i="3"/>
  <c r="L206" i="3"/>
  <c r="L214" i="3"/>
  <c r="L222" i="3"/>
  <c r="S232" i="3"/>
  <c r="AC234" i="3"/>
  <c r="AA245" i="3"/>
  <c r="AC246" i="3"/>
  <c r="V248" i="3"/>
  <c r="L250" i="3"/>
  <c r="S256" i="3"/>
  <c r="L264" i="3"/>
  <c r="V266" i="3"/>
  <c r="AA267" i="3"/>
  <c r="L277" i="3"/>
  <c r="AC290" i="3"/>
  <c r="V292" i="3"/>
  <c r="L302" i="3"/>
  <c r="Q312" i="3"/>
  <c r="L313" i="3"/>
  <c r="AC316" i="3"/>
  <c r="N331" i="3"/>
  <c r="Q503" i="3"/>
  <c r="AA503" i="3"/>
  <c r="V231" i="3"/>
  <c r="V239" i="3"/>
  <c r="V247" i="3"/>
  <c r="V255" i="3"/>
  <c r="V263" i="3"/>
  <c r="V271" i="3"/>
  <c r="V279" i="3"/>
  <c r="V287" i="3"/>
  <c r="V295" i="3"/>
  <c r="V301" i="3"/>
  <c r="V309" i="3"/>
  <c r="Q310" i="3"/>
  <c r="AC314" i="3"/>
  <c r="AC322" i="3"/>
  <c r="S325" i="3"/>
  <c r="AA335" i="3"/>
  <c r="AC338" i="3"/>
  <c r="V350" i="3"/>
  <c r="AA353" i="3"/>
  <c r="S354" i="3"/>
  <c r="L360" i="3"/>
  <c r="AA366" i="3"/>
  <c r="X420" i="3"/>
  <c r="N431" i="3"/>
  <c r="S432" i="3"/>
  <c r="N439" i="3"/>
  <c r="N450" i="3"/>
  <c r="N497" i="3"/>
  <c r="N499" i="3"/>
  <c r="L230" i="3"/>
  <c r="L235" i="3"/>
  <c r="L238" i="3"/>
  <c r="L243" i="3"/>
  <c r="L246" i="3"/>
  <c r="L254" i="3"/>
  <c r="L259" i="3"/>
  <c r="L262" i="3"/>
  <c r="L267" i="3"/>
  <c r="L270" i="3"/>
  <c r="L275" i="3"/>
  <c r="L278" i="3"/>
  <c r="L283" i="3"/>
  <c r="Q286" i="3"/>
  <c r="L290" i="3"/>
  <c r="L291" i="3"/>
  <c r="Q294" i="3"/>
  <c r="L298" i="3"/>
  <c r="L299" i="3"/>
  <c r="V315" i="3"/>
  <c r="L316" i="3"/>
  <c r="L319" i="3"/>
  <c r="Q326" i="3"/>
  <c r="AA327" i="3"/>
  <c r="L340" i="3"/>
  <c r="V342" i="3"/>
  <c r="AA345" i="3"/>
  <c r="S346" i="3"/>
  <c r="L356" i="3"/>
  <c r="V403" i="3"/>
  <c r="S444" i="3"/>
  <c r="N476" i="3"/>
  <c r="AA518" i="3"/>
  <c r="V229" i="3"/>
  <c r="V237" i="3"/>
  <c r="V245" i="3"/>
  <c r="V253" i="3"/>
  <c r="S258" i="3"/>
  <c r="V261" i="3"/>
  <c r="V269" i="3"/>
  <c r="V277" i="3"/>
  <c r="V285" i="3"/>
  <c r="V293" i="3"/>
  <c r="S303" i="3"/>
  <c r="L306" i="3"/>
  <c r="S323" i="3"/>
  <c r="S327" i="3"/>
  <c r="AC346" i="3"/>
  <c r="L348" i="3"/>
  <c r="AA358" i="3"/>
  <c r="Q361" i="3"/>
  <c r="X373" i="3"/>
  <c r="V385" i="3"/>
  <c r="AA387" i="3"/>
  <c r="L418" i="3"/>
  <c r="X495" i="3"/>
  <c r="N509" i="3"/>
  <c r="L228" i="3"/>
  <c r="L233" i="3"/>
  <c r="AA233" i="3"/>
  <c r="L236" i="3"/>
  <c r="L241" i="3"/>
  <c r="AA241" i="3"/>
  <c r="L244" i="3"/>
  <c r="V246" i="3"/>
  <c r="L249" i="3"/>
  <c r="AA249" i="3"/>
  <c r="L252" i="3"/>
  <c r="V254" i="3"/>
  <c r="L257" i="3"/>
  <c r="AA257" i="3"/>
  <c r="L260" i="3"/>
  <c r="V262" i="3"/>
  <c r="L265" i="3"/>
  <c r="AA265" i="3"/>
  <c r="L268" i="3"/>
  <c r="V270" i="3"/>
  <c r="L273" i="3"/>
  <c r="AA273" i="3"/>
  <c r="L276" i="3"/>
  <c r="V278" i="3"/>
  <c r="AC278" i="3"/>
  <c r="L281" i="3"/>
  <c r="AA281" i="3"/>
  <c r="L284" i="3"/>
  <c r="L288" i="3"/>
  <c r="L289" i="3"/>
  <c r="Q292" i="3"/>
  <c r="L296" i="3"/>
  <c r="L297" i="3"/>
  <c r="Q302" i="3"/>
  <c r="AC309" i="3"/>
  <c r="S317" i="3"/>
  <c r="L322" i="3"/>
  <c r="V322" i="3"/>
  <c r="L325" i="3"/>
  <c r="V325" i="3"/>
  <c r="Q328" i="3"/>
  <c r="AA329" i="3"/>
  <c r="L332" i="3"/>
  <c r="V348" i="3"/>
  <c r="X384" i="3"/>
  <c r="V395" i="3"/>
  <c r="X461" i="3"/>
  <c r="L515" i="3"/>
  <c r="V227" i="3"/>
  <c r="V235" i="3"/>
  <c r="V243" i="3"/>
  <c r="V251" i="3"/>
  <c r="V259" i="3"/>
  <c r="V267" i="3"/>
  <c r="V275" i="3"/>
  <c r="V283" i="3"/>
  <c r="V291" i="3"/>
  <c r="V299" i="3"/>
  <c r="L303" i="3"/>
  <c r="X306" i="3"/>
  <c r="AC311" i="3"/>
  <c r="AA313" i="3"/>
  <c r="S329" i="3"/>
  <c r="V332" i="3"/>
  <c r="AC334" i="3"/>
  <c r="L376" i="3"/>
  <c r="AA389" i="3"/>
  <c r="N395" i="3"/>
  <c r="S408" i="3"/>
  <c r="V423" i="3"/>
  <c r="Q436" i="3"/>
  <c r="N489" i="3"/>
  <c r="L330" i="3"/>
  <c r="V330" i="3"/>
  <c r="AA333" i="3"/>
  <c r="AA341" i="3"/>
  <c r="AA349" i="3"/>
  <c r="X354" i="3"/>
  <c r="Q359" i="3"/>
  <c r="Q369" i="3"/>
  <c r="N374" i="3"/>
  <c r="AA383" i="3"/>
  <c r="AA393" i="3"/>
  <c r="AA409" i="3"/>
  <c r="Q412" i="3"/>
  <c r="N423" i="3"/>
  <c r="AA433" i="3"/>
  <c r="V443" i="3"/>
  <c r="AA445" i="3"/>
  <c r="Q477" i="3"/>
  <c r="X488" i="3"/>
  <c r="X503" i="3"/>
  <c r="X532" i="3"/>
  <c r="L338" i="3"/>
  <c r="S341" i="3"/>
  <c r="L346" i="3"/>
  <c r="S347" i="3"/>
  <c r="S349" i="3"/>
  <c r="L354" i="3"/>
  <c r="L368" i="3"/>
  <c r="V371" i="3"/>
  <c r="Q392" i="3"/>
  <c r="Q396" i="3"/>
  <c r="L398" i="3"/>
  <c r="AA413" i="3"/>
  <c r="L426" i="3"/>
  <c r="AC435" i="3"/>
  <c r="N443" i="3"/>
  <c r="L454" i="3"/>
  <c r="X459" i="3"/>
  <c r="S469" i="3"/>
  <c r="Q522" i="3"/>
  <c r="AC530" i="3"/>
  <c r="S541" i="3"/>
  <c r="S555" i="3"/>
  <c r="V556" i="3"/>
  <c r="AA363" i="3"/>
  <c r="X364" i="3"/>
  <c r="Q367" i="3"/>
  <c r="N372" i="3"/>
  <c r="V399" i="3"/>
  <c r="X425" i="3"/>
  <c r="AC447" i="3"/>
  <c r="X453" i="3"/>
  <c r="X470" i="3"/>
  <c r="Q500" i="3"/>
  <c r="N501" i="3"/>
  <c r="N650" i="3"/>
  <c r="S352" i="3"/>
  <c r="AA360" i="3"/>
  <c r="X372" i="3"/>
  <c r="AA379" i="3"/>
  <c r="X388" i="3"/>
  <c r="AA397" i="3"/>
  <c r="N399" i="3"/>
  <c r="AA417" i="3"/>
  <c r="AA421" i="3"/>
  <c r="AA429" i="3"/>
  <c r="AC460" i="3"/>
  <c r="X506" i="3"/>
  <c r="X581" i="3"/>
  <c r="X582" i="3"/>
  <c r="X586" i="3"/>
  <c r="L314" i="3"/>
  <c r="V314" i="3"/>
  <c r="AA317" i="3"/>
  <c r="V323" i="3"/>
  <c r="L324" i="3"/>
  <c r="L333" i="3"/>
  <c r="V333" i="3"/>
  <c r="Q334" i="3"/>
  <c r="L341" i="3"/>
  <c r="V341" i="3"/>
  <c r="Q342" i="3"/>
  <c r="L349" i="3"/>
  <c r="V349" i="3"/>
  <c r="Q350" i="3"/>
  <c r="L357" i="3"/>
  <c r="V357" i="3"/>
  <c r="AA371" i="3"/>
  <c r="V375" i="3"/>
  <c r="N381" i="3"/>
  <c r="V381" i="3"/>
  <c r="N389" i="3"/>
  <c r="X389" i="3"/>
  <c r="L394" i="3"/>
  <c r="N410" i="3"/>
  <c r="X412" i="3"/>
  <c r="X414" i="3"/>
  <c r="V431" i="3"/>
  <c r="L434" i="3"/>
  <c r="AA449" i="3"/>
  <c r="N467" i="3"/>
  <c r="AA468" i="3"/>
  <c r="X471" i="3"/>
  <c r="N481" i="3"/>
  <c r="X483" i="3"/>
  <c r="N492" i="3"/>
  <c r="Q498" i="3"/>
  <c r="X500" i="3"/>
  <c r="X502" i="3"/>
  <c r="Q505" i="3"/>
  <c r="V508" i="3"/>
  <c r="S511" i="3"/>
  <c r="AC540" i="3"/>
  <c r="AC315" i="3"/>
  <c r="L318" i="3"/>
  <c r="AC323" i="3"/>
  <c r="L326" i="3"/>
  <c r="AC331" i="3"/>
  <c r="L334" i="3"/>
  <c r="L342" i="3"/>
  <c r="L350" i="3"/>
  <c r="AA376" i="3"/>
  <c r="V379" i="3"/>
  <c r="L382" i="3"/>
  <c r="X382" i="3"/>
  <c r="S384" i="3"/>
  <c r="AA391" i="3"/>
  <c r="V393" i="3"/>
  <c r="X404" i="3"/>
  <c r="AA405" i="3"/>
  <c r="L406" i="3"/>
  <c r="X406" i="3"/>
  <c r="X417" i="3"/>
  <c r="V419" i="3"/>
  <c r="V427" i="3"/>
  <c r="L430" i="3"/>
  <c r="AA437" i="3"/>
  <c r="V455" i="3"/>
  <c r="N461" i="3"/>
  <c r="AA471" i="3"/>
  <c r="AA474" i="3"/>
  <c r="Q476" i="3"/>
  <c r="Q490" i="3"/>
  <c r="AA490" i="3"/>
  <c r="Q492" i="3"/>
  <c r="N493" i="3"/>
  <c r="Q495" i="3"/>
  <c r="AA495" i="3"/>
  <c r="L519" i="3"/>
  <c r="X519" i="3"/>
  <c r="L533" i="3"/>
  <c r="V305" i="3"/>
  <c r="V313" i="3"/>
  <c r="V321" i="3"/>
  <c r="V329" i="3"/>
  <c r="V337" i="3"/>
  <c r="V345" i="3"/>
  <c r="V353" i="3"/>
  <c r="AA357" i="3"/>
  <c r="V359" i="3"/>
  <c r="AA362" i="3"/>
  <c r="Q363" i="3"/>
  <c r="V367" i="3"/>
  <c r="AA370" i="3"/>
  <c r="Q371" i="3"/>
  <c r="Q374" i="3"/>
  <c r="X380" i="3"/>
  <c r="AA385" i="3"/>
  <c r="Q388" i="3"/>
  <c r="V391" i="3"/>
  <c r="N407" i="3"/>
  <c r="V407" i="3"/>
  <c r="AA425" i="3"/>
  <c r="X437" i="3"/>
  <c r="X442" i="3"/>
  <c r="V451" i="3"/>
  <c r="AA463" i="3"/>
  <c r="N464" i="3"/>
  <c r="AC464" i="3"/>
  <c r="Q468" i="3"/>
  <c r="N496" i="3"/>
  <c r="S605" i="3"/>
  <c r="L304" i="3"/>
  <c r="L312" i="3"/>
  <c r="L320" i="3"/>
  <c r="L328" i="3"/>
  <c r="L336" i="3"/>
  <c r="L344" i="3"/>
  <c r="L352" i="3"/>
  <c r="N361" i="3"/>
  <c r="X361" i="3"/>
  <c r="AA364" i="3"/>
  <c r="Q365" i="3"/>
  <c r="X369" i="3"/>
  <c r="AA372" i="3"/>
  <c r="Q373" i="3"/>
  <c r="AA381" i="3"/>
  <c r="V387" i="3"/>
  <c r="L390" i="3"/>
  <c r="X390" i="3"/>
  <c r="X409" i="3"/>
  <c r="V411" i="3"/>
  <c r="X429" i="3"/>
  <c r="V435" i="3"/>
  <c r="AA441" i="3"/>
  <c r="AA453" i="3"/>
  <c r="Q462" i="3"/>
  <c r="N472" i="3"/>
  <c r="Q479" i="3"/>
  <c r="AA479" i="3"/>
  <c r="N494" i="3"/>
  <c r="S501" i="3"/>
  <c r="AA507" i="3"/>
  <c r="V512" i="3"/>
  <c r="L537" i="3"/>
  <c r="S595" i="3"/>
  <c r="S300" i="3"/>
  <c r="V303" i="3"/>
  <c r="V311" i="3"/>
  <c r="S316" i="3"/>
  <c r="V319" i="3"/>
  <c r="S324" i="3"/>
  <c r="V327" i="3"/>
  <c r="S332" i="3"/>
  <c r="V335" i="3"/>
  <c r="V343" i="3"/>
  <c r="V351" i="3"/>
  <c r="AA374" i="3"/>
  <c r="Q375" i="3"/>
  <c r="AA377" i="3"/>
  <c r="V383" i="3"/>
  <c r="AA401" i="3"/>
  <c r="N415" i="3"/>
  <c r="V415" i="3"/>
  <c r="N447" i="3"/>
  <c r="V447" i="3"/>
  <c r="Q471" i="3"/>
  <c r="Q482" i="3"/>
  <c r="Q484" i="3"/>
  <c r="Q487" i="3"/>
  <c r="AA487" i="3"/>
  <c r="Q524" i="3"/>
  <c r="AC532" i="3"/>
  <c r="S547" i="3"/>
  <c r="AA399" i="3"/>
  <c r="AA403" i="3"/>
  <c r="N405" i="3"/>
  <c r="AA407" i="3"/>
  <c r="N409" i="3"/>
  <c r="AA411" i="3"/>
  <c r="N413" i="3"/>
  <c r="AA415" i="3"/>
  <c r="N417" i="3"/>
  <c r="AA419" i="3"/>
  <c r="N421" i="3"/>
  <c r="AA423" i="3"/>
  <c r="N425" i="3"/>
  <c r="N433" i="3"/>
  <c r="N445" i="3"/>
  <c r="N460" i="3"/>
  <c r="X466" i="3"/>
  <c r="AA467" i="3"/>
  <c r="AA476" i="3"/>
  <c r="L511" i="3"/>
  <c r="S515" i="3"/>
  <c r="S527" i="3"/>
  <c r="AA527" i="3"/>
  <c r="AA542" i="3"/>
  <c r="S559" i="3"/>
  <c r="AC619" i="3"/>
  <c r="AA361" i="3"/>
  <c r="AA365" i="3"/>
  <c r="AA369" i="3"/>
  <c r="AA373" i="3"/>
  <c r="Q378" i="3"/>
  <c r="Q382" i="3"/>
  <c r="Q386" i="3"/>
  <c r="Q390" i="3"/>
  <c r="Q394" i="3"/>
  <c r="Q398" i="3"/>
  <c r="Q402" i="3"/>
  <c r="Q406" i="3"/>
  <c r="Q410" i="3"/>
  <c r="Q414" i="3"/>
  <c r="Q418" i="3"/>
  <c r="Q422" i="3"/>
  <c r="Q426" i="3"/>
  <c r="Q430" i="3"/>
  <c r="Q434" i="3"/>
  <c r="Q438" i="3"/>
  <c r="Q442" i="3"/>
  <c r="Q446" i="3"/>
  <c r="Q450" i="3"/>
  <c r="Q454" i="3"/>
  <c r="AA462" i="3"/>
  <c r="N469" i="3"/>
  <c r="Q474" i="3"/>
  <c r="N479" i="3"/>
  <c r="N487" i="3"/>
  <c r="N495" i="3"/>
  <c r="Q517" i="3"/>
  <c r="L542" i="3"/>
  <c r="X559" i="3"/>
  <c r="N576" i="3"/>
  <c r="Q372" i="3"/>
  <c r="Q376" i="3"/>
  <c r="L380" i="3"/>
  <c r="L384" i="3"/>
  <c r="L388" i="3"/>
  <c r="L392" i="3"/>
  <c r="L396" i="3"/>
  <c r="L400" i="3"/>
  <c r="L404" i="3"/>
  <c r="L408" i="3"/>
  <c r="L412" i="3"/>
  <c r="L416" i="3"/>
  <c r="L420" i="3"/>
  <c r="L424" i="3"/>
  <c r="L428" i="3"/>
  <c r="L432" i="3"/>
  <c r="N436" i="3"/>
  <c r="N444" i="3"/>
  <c r="L452" i="3"/>
  <c r="L456" i="3"/>
  <c r="X458" i="3"/>
  <c r="X460" i="3"/>
  <c r="Q466" i="3"/>
  <c r="AA466" i="3"/>
  <c r="AA483" i="3"/>
  <c r="AA491" i="3"/>
  <c r="X498" i="3"/>
  <c r="AA499" i="3"/>
  <c r="Q504" i="3"/>
  <c r="L507" i="3"/>
  <c r="N513" i="3"/>
  <c r="X518" i="3"/>
  <c r="V524" i="3"/>
  <c r="V526" i="3"/>
  <c r="AA529" i="3"/>
  <c r="N538" i="3"/>
  <c r="S571" i="3"/>
  <c r="X436" i="3"/>
  <c r="X440" i="3"/>
  <c r="X444" i="3"/>
  <c r="X448" i="3"/>
  <c r="X456" i="3"/>
  <c r="AA459" i="3"/>
  <c r="Q463" i="3"/>
  <c r="Q464" i="3"/>
  <c r="N465" i="3"/>
  <c r="X474" i="3"/>
  <c r="AA475" i="3"/>
  <c r="AA484" i="3"/>
  <c r="AA492" i="3"/>
  <c r="L32" i="4" s="1"/>
  <c r="AA500" i="3"/>
  <c r="AA515" i="3"/>
  <c r="V522" i="3"/>
  <c r="AC535" i="3"/>
  <c r="L541" i="3"/>
  <c r="S567" i="3"/>
  <c r="AC570" i="3"/>
  <c r="X589" i="3"/>
  <c r="AA457" i="3"/>
  <c r="AA465" i="3"/>
  <c r="AA473" i="3"/>
  <c r="AA481" i="3"/>
  <c r="AA489" i="3"/>
  <c r="AA497" i="3"/>
  <c r="AA506" i="3"/>
  <c r="AA514" i="3"/>
  <c r="N516" i="3"/>
  <c r="V516" i="3"/>
  <c r="Q521" i="3"/>
  <c r="V525" i="3"/>
  <c r="Q530" i="3"/>
  <c r="S542" i="3"/>
  <c r="X566" i="3"/>
  <c r="X576" i="3"/>
  <c r="S579" i="3"/>
  <c r="Q460" i="3"/>
  <c r="Q472" i="3"/>
  <c r="Q480" i="3"/>
  <c r="Q488" i="3"/>
  <c r="Q496" i="3"/>
  <c r="Q509" i="3"/>
  <c r="V515" i="3"/>
  <c r="AC517" i="3"/>
  <c r="L518" i="3"/>
  <c r="Q520" i="3"/>
  <c r="V521" i="3"/>
  <c r="L526" i="3"/>
  <c r="Q528" i="3"/>
  <c r="L532" i="3"/>
  <c r="L543" i="3"/>
  <c r="X545" i="3"/>
  <c r="X550" i="3"/>
  <c r="X561" i="3"/>
  <c r="V580" i="3"/>
  <c r="Q610" i="3"/>
  <c r="Q377" i="3"/>
  <c r="AA378" i="3"/>
  <c r="Q379" i="3"/>
  <c r="AA380" i="3"/>
  <c r="Q381" i="3"/>
  <c r="AA382" i="3"/>
  <c r="Q383" i="3"/>
  <c r="AA384" i="3"/>
  <c r="Q385" i="3"/>
  <c r="AA386" i="3"/>
  <c r="Q387" i="3"/>
  <c r="AA388" i="3"/>
  <c r="Q389" i="3"/>
  <c r="AA390" i="3"/>
  <c r="Q391" i="3"/>
  <c r="AA392" i="3"/>
  <c r="Q393" i="3"/>
  <c r="AA394" i="3"/>
  <c r="Q395" i="3"/>
  <c r="AA396" i="3"/>
  <c r="Q397" i="3"/>
  <c r="AA398" i="3"/>
  <c r="Q399" i="3"/>
  <c r="AA400" i="3"/>
  <c r="Q401" i="3"/>
  <c r="AA402" i="3"/>
  <c r="Q403" i="3"/>
  <c r="AA404" i="3"/>
  <c r="Q405" i="3"/>
  <c r="AA406" i="3"/>
  <c r="Q407" i="3"/>
  <c r="AA408" i="3"/>
  <c r="Q409" i="3"/>
  <c r="AA410" i="3"/>
  <c r="Q411" i="3"/>
  <c r="AA412" i="3"/>
  <c r="Q413" i="3"/>
  <c r="AA414" i="3"/>
  <c r="Q415" i="3"/>
  <c r="AA416" i="3"/>
  <c r="Q417" i="3"/>
  <c r="AA418" i="3"/>
  <c r="Q419" i="3"/>
  <c r="AA420" i="3"/>
  <c r="Q421" i="3"/>
  <c r="AA422" i="3"/>
  <c r="Q423" i="3"/>
  <c r="AA424" i="3"/>
  <c r="Q425" i="3"/>
  <c r="AA426" i="3"/>
  <c r="Q427" i="3"/>
  <c r="AA428" i="3"/>
  <c r="Q429" i="3"/>
  <c r="AA430" i="3"/>
  <c r="Q431" i="3"/>
  <c r="AA432" i="3"/>
  <c r="Q433" i="3"/>
  <c r="AA434" i="3"/>
  <c r="Q435" i="3"/>
  <c r="AA436" i="3"/>
  <c r="Q437" i="3"/>
  <c r="AA438" i="3"/>
  <c r="Q439" i="3"/>
  <c r="AA440" i="3"/>
  <c r="Q441" i="3"/>
  <c r="AA442" i="3"/>
  <c r="Q443" i="3"/>
  <c r="AA444" i="3"/>
  <c r="Q445" i="3"/>
  <c r="AA446" i="3"/>
  <c r="Q447" i="3"/>
  <c r="AA448" i="3"/>
  <c r="Q449" i="3"/>
  <c r="AA450" i="3"/>
  <c r="Q451" i="3"/>
  <c r="AA452" i="3"/>
  <c r="Q453" i="3"/>
  <c r="AA454" i="3"/>
  <c r="Q455" i="3"/>
  <c r="AA456" i="3"/>
  <c r="Q459" i="3"/>
  <c r="AA461" i="3"/>
  <c r="Q467" i="3"/>
  <c r="AA469" i="3"/>
  <c r="AA472" i="3"/>
  <c r="Q475" i="3"/>
  <c r="AA477" i="3"/>
  <c r="AA480" i="3"/>
  <c r="Q483" i="3"/>
  <c r="AA485" i="3"/>
  <c r="AA488" i="3"/>
  <c r="Q491" i="3"/>
  <c r="AA493" i="3"/>
  <c r="AA496" i="3"/>
  <c r="Q499" i="3"/>
  <c r="AA501" i="3"/>
  <c r="AA505" i="3"/>
  <c r="V507" i="3"/>
  <c r="L510" i="3"/>
  <c r="Q512" i="3"/>
  <c r="Q513" i="3"/>
  <c r="N524" i="3"/>
  <c r="AA525" i="3"/>
  <c r="Q531" i="3"/>
  <c r="L545" i="3"/>
  <c r="X557" i="3"/>
  <c r="N588" i="3"/>
  <c r="Q458" i="3"/>
  <c r="Q470" i="3"/>
  <c r="Q478" i="3"/>
  <c r="Q486" i="3"/>
  <c r="Q494" i="3"/>
  <c r="Q502" i="3"/>
  <c r="AC508" i="3"/>
  <c r="AA523" i="3"/>
  <c r="Q534" i="3"/>
  <c r="AC548" i="3"/>
  <c r="AC560" i="3"/>
  <c r="V570" i="3"/>
  <c r="AC576" i="3"/>
  <c r="AC592" i="3"/>
  <c r="V509" i="3"/>
  <c r="V517" i="3"/>
  <c r="AC522" i="3"/>
  <c r="L525" i="3"/>
  <c r="S539" i="3"/>
  <c r="V543" i="3"/>
  <c r="AC544" i="3"/>
  <c r="X549" i="3"/>
  <c r="N560" i="3"/>
  <c r="L561" i="3"/>
  <c r="N562" i="3"/>
  <c r="N572" i="3"/>
  <c r="V572" i="3"/>
  <c r="V588" i="3"/>
  <c r="L506" i="3"/>
  <c r="L514" i="3"/>
  <c r="V529" i="3"/>
  <c r="N530" i="3"/>
  <c r="V530" i="3"/>
  <c r="V554" i="3"/>
  <c r="V558" i="3"/>
  <c r="AC562" i="3"/>
  <c r="X564" i="3"/>
  <c r="S569" i="3"/>
  <c r="N592" i="3"/>
  <c r="V596" i="3"/>
  <c r="V600" i="3"/>
  <c r="X624" i="3"/>
  <c r="AC528" i="3"/>
  <c r="N536" i="3"/>
  <c r="V536" i="3"/>
  <c r="V539" i="3"/>
  <c r="L551" i="3"/>
  <c r="X551" i="3"/>
  <c r="N554" i="3"/>
  <c r="S557" i="3"/>
  <c r="AC584" i="3"/>
  <c r="L623" i="3"/>
  <c r="Q510" i="3"/>
  <c r="L512" i="3"/>
  <c r="Q518" i="3"/>
  <c r="L520" i="3"/>
  <c r="L521" i="3"/>
  <c r="AA521" i="3"/>
  <c r="V534" i="3"/>
  <c r="X541" i="3"/>
  <c r="S591" i="3"/>
  <c r="L600" i="3"/>
  <c r="AA613" i="3"/>
  <c r="Q641" i="3"/>
  <c r="V642" i="3"/>
  <c r="V531" i="3"/>
  <c r="S535" i="3"/>
  <c r="V538" i="3"/>
  <c r="N596" i="3"/>
  <c r="AC596" i="3"/>
  <c r="N601" i="3"/>
  <c r="L535" i="3"/>
  <c r="AA536" i="3"/>
  <c r="Q545" i="3"/>
  <c r="AC552" i="3"/>
  <c r="S585" i="3"/>
  <c r="Q640" i="3"/>
  <c r="AA666" i="3"/>
  <c r="Q668" i="3"/>
  <c r="AA533" i="3"/>
  <c r="S536" i="3"/>
  <c r="L544" i="3"/>
  <c r="L547" i="3"/>
  <c r="L553" i="3"/>
  <c r="X569" i="3"/>
  <c r="X583" i="3"/>
  <c r="V592" i="3"/>
  <c r="S599" i="3"/>
  <c r="V602" i="3"/>
  <c r="X605" i="3"/>
  <c r="X626" i="3"/>
  <c r="N637" i="3"/>
  <c r="X637" i="3"/>
  <c r="AC534" i="3"/>
  <c r="Q537" i="3"/>
  <c r="V542" i="3"/>
  <c r="V544" i="3"/>
  <c r="N546" i="3"/>
  <c r="X546" i="3"/>
  <c r="L549" i="3"/>
  <c r="X552" i="3"/>
  <c r="V560" i="3"/>
  <c r="X573" i="3"/>
  <c r="AC580" i="3"/>
  <c r="N584" i="3"/>
  <c r="X587" i="3"/>
  <c r="Q608" i="3"/>
  <c r="AA608" i="3"/>
  <c r="N612" i="3"/>
  <c r="AA633" i="3"/>
  <c r="L609" i="3"/>
  <c r="V638" i="3"/>
  <c r="Q656" i="3"/>
  <c r="V540" i="3"/>
  <c r="L555" i="3"/>
  <c r="Q606" i="3"/>
  <c r="AC606" i="3"/>
  <c r="AA609" i="3"/>
  <c r="AC610" i="3"/>
  <c r="AA615" i="3"/>
  <c r="Q622" i="3"/>
  <c r="V630" i="3"/>
  <c r="Q654" i="3"/>
  <c r="L539" i="3"/>
  <c r="L557" i="3"/>
  <c r="V562" i="3"/>
  <c r="V578" i="3"/>
  <c r="V594" i="3"/>
  <c r="S603" i="3"/>
  <c r="S611" i="3"/>
  <c r="AA611" i="3"/>
  <c r="X629" i="3"/>
  <c r="AC650" i="3"/>
  <c r="L559" i="3"/>
  <c r="X610" i="3"/>
  <c r="AC620" i="3"/>
  <c r="V644" i="3"/>
  <c r="N634" i="3"/>
  <c r="V634" i="3"/>
  <c r="AA637" i="3"/>
  <c r="Q638" i="3"/>
  <c r="X645" i="3"/>
  <c r="V650" i="3"/>
  <c r="Q600" i="3"/>
  <c r="L607" i="3"/>
  <c r="S615" i="3"/>
  <c r="L617" i="3"/>
  <c r="V618" i="3"/>
  <c r="N630" i="3"/>
  <c r="AA631" i="3"/>
  <c r="S548" i="3"/>
  <c r="AC553" i="3"/>
  <c r="S562" i="3"/>
  <c r="L563" i="3"/>
  <c r="L565" i="3"/>
  <c r="L567" i="3"/>
  <c r="L569" i="3"/>
  <c r="L571" i="3"/>
  <c r="L573" i="3"/>
  <c r="L575" i="3"/>
  <c r="L577" i="3"/>
  <c r="L579" i="3"/>
  <c r="L581" i="3"/>
  <c r="L583" i="3"/>
  <c r="L585" i="3"/>
  <c r="L587" i="3"/>
  <c r="L589" i="3"/>
  <c r="L591" i="3"/>
  <c r="L593" i="3"/>
  <c r="L595" i="3"/>
  <c r="L597" i="3"/>
  <c r="L599" i="3"/>
  <c r="AA603" i="3"/>
  <c r="L613" i="3"/>
  <c r="L619" i="3"/>
  <c r="V620" i="3"/>
  <c r="L621" i="3"/>
  <c r="V622" i="3"/>
  <c r="Q632" i="3"/>
  <c r="L633" i="3"/>
  <c r="X639" i="3"/>
  <c r="AA645" i="3"/>
  <c r="N654" i="3"/>
  <c r="V664" i="3"/>
  <c r="AA545" i="3"/>
  <c r="Q546" i="3"/>
  <c r="AA559" i="3"/>
  <c r="Q560" i="3"/>
  <c r="AA563" i="3"/>
  <c r="AA565" i="3"/>
  <c r="Q566" i="3"/>
  <c r="AA567" i="3"/>
  <c r="AA571" i="3"/>
  <c r="AA573" i="3"/>
  <c r="Q574" i="3"/>
  <c r="AA575" i="3"/>
  <c r="Q576" i="3"/>
  <c r="AA577" i="3"/>
  <c r="Q578" i="3"/>
  <c r="Q580" i="3"/>
  <c r="AA595" i="3"/>
  <c r="Q596" i="3"/>
  <c r="AA597" i="3"/>
  <c r="Q598" i="3"/>
  <c r="AA599" i="3"/>
  <c r="AA600" i="3"/>
  <c r="AA601" i="3"/>
  <c r="L608" i="3"/>
  <c r="L611" i="3"/>
  <c r="Q614" i="3"/>
  <c r="AC635" i="3"/>
  <c r="X636" i="3"/>
  <c r="S643" i="3"/>
  <c r="X648" i="3"/>
  <c r="AC690" i="3"/>
  <c r="N693" i="3"/>
  <c r="N699" i="3"/>
  <c r="Q604" i="3"/>
  <c r="AA607" i="3"/>
  <c r="N624" i="3"/>
  <c r="Q626" i="3"/>
  <c r="AA629" i="3"/>
  <c r="N638" i="3"/>
  <c r="L655" i="3"/>
  <c r="AA673" i="3"/>
  <c r="Q678" i="3"/>
  <c r="Q728" i="3"/>
  <c r="S745" i="3"/>
  <c r="Q602" i="3"/>
  <c r="AA605" i="3"/>
  <c r="AA617" i="3"/>
  <c r="AA625" i="3"/>
  <c r="S627" i="3"/>
  <c r="X646" i="3"/>
  <c r="N660" i="3"/>
  <c r="X662" i="3"/>
  <c r="Q672" i="3"/>
  <c r="F42" i="4" s="1"/>
  <c r="AA682" i="3"/>
  <c r="N709" i="3"/>
  <c r="Q630" i="3"/>
  <c r="S631" i="3"/>
  <c r="X633" i="3"/>
  <c r="S639" i="3"/>
  <c r="Q665" i="3"/>
  <c r="S624" i="3"/>
  <c r="N632" i="3"/>
  <c r="L643" i="3"/>
  <c r="S653" i="3"/>
  <c r="AA654" i="3"/>
  <c r="V660" i="3"/>
  <c r="AA661" i="3"/>
  <c r="AA668" i="3"/>
  <c r="L681" i="3"/>
  <c r="S688" i="3"/>
  <c r="N628" i="3"/>
  <c r="AA647" i="3"/>
  <c r="AA659" i="3"/>
  <c r="S680" i="3"/>
  <c r="X669" i="3"/>
  <c r="AA671" i="3"/>
  <c r="X675" i="3"/>
  <c r="N703" i="3"/>
  <c r="X635" i="3"/>
  <c r="N640" i="3"/>
  <c r="X651" i="3"/>
  <c r="Q652" i="3"/>
  <c r="AC670" i="3"/>
  <c r="L674" i="3"/>
  <c r="N675" i="3"/>
  <c r="X683" i="3"/>
  <c r="V702" i="3"/>
  <c r="X655" i="3"/>
  <c r="N664" i="3"/>
  <c r="Q670" i="3"/>
  <c r="X671" i="3"/>
  <c r="S645" i="3"/>
  <c r="N653" i="3"/>
  <c r="AA655" i="3"/>
  <c r="AC662" i="3"/>
  <c r="Q664" i="3"/>
  <c r="AA667" i="3"/>
  <c r="AA669" i="3"/>
  <c r="AC676" i="3"/>
  <c r="V692" i="3"/>
  <c r="AC694" i="3"/>
  <c r="V705" i="3"/>
  <c r="X722" i="3"/>
  <c r="AC728" i="3"/>
  <c r="AA643" i="3"/>
  <c r="Q644" i="3"/>
  <c r="AA644" i="3"/>
  <c r="Q646" i="3"/>
  <c r="L649" i="3"/>
  <c r="Q651" i="3"/>
  <c r="X667" i="3"/>
  <c r="V676" i="3"/>
  <c r="Q686" i="3"/>
  <c r="X698" i="3"/>
  <c r="N701" i="3"/>
  <c r="Q726" i="3"/>
  <c r="V615" i="3"/>
  <c r="V619" i="3"/>
  <c r="L620" i="3"/>
  <c r="N652" i="3"/>
  <c r="X652" i="3"/>
  <c r="AA663" i="3"/>
  <c r="AA672" i="3"/>
  <c r="V678" i="3"/>
  <c r="N641" i="3"/>
  <c r="AA641" i="3"/>
  <c r="Q642" i="3"/>
  <c r="Q648" i="3"/>
  <c r="AA651" i="3"/>
  <c r="AA653" i="3"/>
  <c r="X654" i="3"/>
  <c r="Q660" i="3"/>
  <c r="Q662" i="3"/>
  <c r="X666" i="3"/>
  <c r="L671" i="3"/>
  <c r="AC700" i="3"/>
  <c r="X717" i="3"/>
  <c r="V718" i="3"/>
  <c r="N668" i="3"/>
  <c r="L680" i="3"/>
  <c r="N682" i="3"/>
  <c r="V686" i="3"/>
  <c r="S689" i="3"/>
  <c r="L692" i="3"/>
  <c r="L696" i="3"/>
  <c r="V706" i="3"/>
  <c r="X716" i="3"/>
  <c r="N735" i="3"/>
  <c r="Q724" i="3"/>
  <c r="AC726" i="3"/>
  <c r="AA649" i="3"/>
  <c r="Q650" i="3"/>
  <c r="AA657" i="3"/>
  <c r="Q658" i="3"/>
  <c r="AA665" i="3"/>
  <c r="Q666" i="3"/>
  <c r="V684" i="3"/>
  <c r="L697" i="3"/>
  <c r="L700" i="3"/>
  <c r="L702" i="3"/>
  <c r="V711" i="3"/>
  <c r="V723" i="3"/>
  <c r="N755" i="3"/>
  <c r="Q677" i="3"/>
  <c r="L688" i="3"/>
  <c r="L698" i="3"/>
  <c r="L704" i="3"/>
  <c r="N711" i="3"/>
  <c r="V725" i="3"/>
  <c r="V747" i="3"/>
  <c r="AC709" i="3"/>
  <c r="V712" i="3"/>
  <c r="V720" i="3"/>
  <c r="AA743" i="3"/>
  <c r="AC760" i="3"/>
  <c r="Q685" i="3"/>
  <c r="AC693" i="3"/>
  <c r="L694" i="3"/>
  <c r="V694" i="3"/>
  <c r="AA697" i="3"/>
  <c r="AA699" i="3"/>
  <c r="N708" i="3"/>
  <c r="AC713" i="3"/>
  <c r="S715" i="3"/>
  <c r="S717" i="3"/>
  <c r="N727" i="3"/>
  <c r="V727" i="3"/>
  <c r="X729" i="3"/>
  <c r="AC730" i="3"/>
  <c r="Q708" i="3"/>
  <c r="N716" i="3"/>
  <c r="L760" i="3"/>
  <c r="L679" i="3"/>
  <c r="L687" i="3"/>
  <c r="V693" i="3"/>
  <c r="V695" i="3"/>
  <c r="V700" i="3"/>
  <c r="V701" i="3"/>
  <c r="V703" i="3"/>
  <c r="V713" i="3"/>
  <c r="N722" i="3"/>
  <c r="S723" i="3"/>
  <c r="V730" i="3"/>
  <c r="X731" i="3"/>
  <c r="S742" i="3"/>
  <c r="V673" i="3"/>
  <c r="V674" i="3"/>
  <c r="AA679" i="3"/>
  <c r="AA680" i="3"/>
  <c r="V681" i="3"/>
  <c r="V682" i="3"/>
  <c r="AA687" i="3"/>
  <c r="AA688" i="3"/>
  <c r="V689" i="3"/>
  <c r="V690" i="3"/>
  <c r="Q694" i="3"/>
  <c r="Q696" i="3"/>
  <c r="V699" i="3"/>
  <c r="Q702" i="3"/>
  <c r="Q704" i="3"/>
  <c r="AC708" i="3"/>
  <c r="Q710" i="3"/>
  <c r="Q718" i="3"/>
  <c r="AC718" i="3"/>
  <c r="N724" i="3"/>
  <c r="V726" i="3"/>
  <c r="V728" i="3"/>
  <c r="S729" i="3"/>
  <c r="AA729" i="3"/>
  <c r="S735" i="3"/>
  <c r="S741" i="3"/>
  <c r="V746" i="3"/>
  <c r="Q712" i="3"/>
  <c r="N715" i="3"/>
  <c r="V715" i="3"/>
  <c r="Q716" i="3"/>
  <c r="Q740" i="3"/>
  <c r="L746" i="3"/>
  <c r="S752" i="3"/>
  <c r="S758" i="3"/>
  <c r="AC686" i="3"/>
  <c r="S705" i="3"/>
  <c r="Q706" i="3"/>
  <c r="X707" i="3"/>
  <c r="S711" i="3"/>
  <c r="X721" i="3"/>
  <c r="AA733" i="3"/>
  <c r="S734" i="3"/>
  <c r="N741" i="3"/>
  <c r="V744" i="3"/>
  <c r="Q748" i="3"/>
  <c r="N720" i="3"/>
  <c r="Q722" i="3"/>
  <c r="S727" i="3"/>
  <c r="AC736" i="3"/>
  <c r="V745" i="3"/>
  <c r="L747" i="3"/>
  <c r="L753" i="3"/>
  <c r="L759" i="3"/>
  <c r="Q714" i="3"/>
  <c r="N718" i="3"/>
  <c r="Q720" i="3"/>
  <c r="AA739" i="3"/>
  <c r="S749" i="3"/>
  <c r="AA749" i="3"/>
  <c r="Q750" i="3"/>
  <c r="V743" i="3"/>
  <c r="AC753" i="3"/>
  <c r="N754" i="3"/>
  <c r="AA755" i="3"/>
  <c r="L744" i="3"/>
  <c r="S753" i="3"/>
  <c r="S755" i="3"/>
  <c r="AC761" i="3"/>
  <c r="V735" i="3"/>
  <c r="S746" i="3"/>
  <c r="AC748" i="3"/>
  <c r="V697" i="3"/>
  <c r="L736" i="3"/>
  <c r="V737" i="3"/>
  <c r="L738" i="3"/>
  <c r="V738" i="3"/>
  <c r="L743" i="3"/>
  <c r="AC745" i="3"/>
  <c r="AC750" i="3"/>
  <c r="L758" i="3"/>
  <c r="V736" i="3"/>
  <c r="L739" i="3"/>
  <c r="V739" i="3"/>
  <c r="S744" i="3"/>
  <c r="AC744" i="3"/>
  <c r="S747" i="3"/>
  <c r="AA747" i="3"/>
  <c r="V759" i="3"/>
  <c r="Q730" i="3"/>
  <c r="N733" i="3"/>
  <c r="S737" i="3"/>
  <c r="L750" i="3"/>
  <c r="V751" i="3"/>
  <c r="N757" i="3"/>
  <c r="L734" i="3"/>
  <c r="L742" i="3"/>
  <c r="L748" i="3"/>
  <c r="L752" i="3"/>
  <c r="V733" i="3"/>
  <c r="V741" i="3"/>
  <c r="V749" i="3"/>
  <c r="V753" i="3"/>
  <c r="L732" i="3"/>
  <c r="L740" i="3"/>
  <c r="AA757" i="3"/>
  <c r="V761" i="3"/>
  <c r="V754" i="3"/>
  <c r="V756" i="3"/>
  <c r="V758" i="3"/>
  <c r="F44" i="4" l="1"/>
  <c r="D33" i="9"/>
  <c r="I21" i="4"/>
  <c r="X294" i="3"/>
  <c r="N132" i="3"/>
  <c r="C12" i="4"/>
  <c r="J38" i="9"/>
  <c r="M12" i="9"/>
  <c r="M42" i="9"/>
  <c r="J45" i="9"/>
  <c r="F38" i="4"/>
  <c r="C33" i="4"/>
  <c r="I43" i="4"/>
  <c r="C38" i="4"/>
  <c r="L29" i="4"/>
  <c r="L27" i="4"/>
  <c r="C28" i="4"/>
  <c r="F29" i="4"/>
  <c r="D54" i="9"/>
  <c r="C53" i="4"/>
  <c r="R60" i="4" s="1"/>
  <c r="D37" i="9"/>
  <c r="D14" i="9"/>
  <c r="L35" i="4"/>
  <c r="C34" i="4"/>
  <c r="M34" i="4"/>
  <c r="I45" i="4"/>
  <c r="F45" i="4"/>
  <c r="L41" i="4"/>
  <c r="L38" i="4"/>
  <c r="F35" i="4"/>
  <c r="F41" i="4"/>
  <c r="AC546" i="3"/>
  <c r="F34" i="4"/>
  <c r="C30" i="4"/>
  <c r="F31" i="4"/>
  <c r="F27" i="4"/>
  <c r="I23" i="4"/>
  <c r="C21" i="4"/>
  <c r="J35" i="9"/>
  <c r="I42" i="4"/>
  <c r="C41" i="4"/>
  <c r="I40" i="4"/>
  <c r="S623" i="3"/>
  <c r="F39" i="4"/>
  <c r="J13" i="9"/>
  <c r="D36" i="9"/>
  <c r="D13" i="9"/>
  <c r="D53" i="9"/>
  <c r="D34" i="9"/>
  <c r="D11" i="9"/>
  <c r="D41" i="9"/>
  <c r="M19" i="9"/>
  <c r="AC29" i="3"/>
  <c r="D18" i="9"/>
  <c r="M55" i="9"/>
  <c r="M40" i="9"/>
  <c r="M17" i="9"/>
  <c r="I52" i="4"/>
  <c r="R69" i="4" s="1"/>
  <c r="J43" i="9"/>
  <c r="J56" i="9"/>
  <c r="J20" i="9"/>
  <c r="I6" i="4"/>
  <c r="D30" i="9"/>
  <c r="M29" i="9"/>
  <c r="AC13" i="3"/>
  <c r="J32" i="9"/>
  <c r="D7" i="9"/>
  <c r="M6" i="9"/>
  <c r="D69" i="9"/>
  <c r="D51" i="9"/>
  <c r="D28" i="9"/>
  <c r="D5" i="9"/>
  <c r="N53" i="9"/>
  <c r="N34" i="9"/>
  <c r="N11" i="9"/>
  <c r="M53" i="4"/>
  <c r="S75" i="4" s="1"/>
  <c r="M45" i="4"/>
  <c r="J20" i="4"/>
  <c r="G41" i="4"/>
  <c r="D33" i="4"/>
  <c r="G32" i="4"/>
  <c r="D29" i="4"/>
  <c r="G27" i="4"/>
  <c r="D53" i="4"/>
  <c r="S60" i="4" s="1"/>
  <c r="E37" i="9"/>
  <c r="E54" i="9"/>
  <c r="E14" i="9"/>
  <c r="D7" i="4"/>
  <c r="E21" i="9"/>
  <c r="E33" i="9"/>
  <c r="D42" i="4"/>
  <c r="D41" i="4"/>
  <c r="D43" i="4"/>
  <c r="N690" i="3"/>
  <c r="J41" i="4"/>
  <c r="G34" i="4"/>
  <c r="J39" i="4"/>
  <c r="F36" i="4"/>
  <c r="I33" i="4"/>
  <c r="D25" i="4"/>
  <c r="N366" i="3"/>
  <c r="G33" i="4"/>
  <c r="N473" i="3"/>
  <c r="J23" i="4"/>
  <c r="G22" i="4"/>
  <c r="G20" i="4"/>
  <c r="E36" i="9"/>
  <c r="E13" i="9"/>
  <c r="E18" i="9"/>
  <c r="E41" i="9"/>
  <c r="E17" i="9"/>
  <c r="E7" i="9"/>
  <c r="E30" i="9"/>
  <c r="E6" i="9"/>
  <c r="E69" i="9"/>
  <c r="E51" i="9"/>
  <c r="E5" i="9"/>
  <c r="E28" i="9"/>
  <c r="H18" i="9"/>
  <c r="G6" i="4"/>
  <c r="K44" i="9"/>
  <c r="H39" i="9"/>
  <c r="H38" i="9"/>
  <c r="L42" i="4"/>
  <c r="I16" i="4"/>
  <c r="D45" i="9"/>
  <c r="L16" i="4"/>
  <c r="M35" i="9"/>
  <c r="J15" i="9"/>
  <c r="J22" i="9"/>
  <c r="I39" i="4"/>
  <c r="F21" i="4"/>
  <c r="L25" i="4"/>
  <c r="C16" i="4"/>
  <c r="AC45" i="3"/>
  <c r="C45" i="4"/>
  <c r="C29" i="4"/>
  <c r="F26" i="4"/>
  <c r="AC348" i="3"/>
  <c r="L24" i="4"/>
  <c r="AC326" i="3"/>
  <c r="L22" i="4"/>
  <c r="AC310" i="3"/>
  <c r="D32" i="9"/>
  <c r="J29" i="9"/>
  <c r="J18" i="9"/>
  <c r="J7" i="9"/>
  <c r="D44" i="9"/>
  <c r="L45" i="4"/>
  <c r="S700" i="3"/>
  <c r="AC695" i="3"/>
  <c r="N43" i="4" s="1"/>
  <c r="S690" i="3"/>
  <c r="F43" i="4"/>
  <c r="N673" i="3"/>
  <c r="I41" i="4"/>
  <c r="L40" i="4"/>
  <c r="L39" i="4"/>
  <c r="N564" i="3"/>
  <c r="C36" i="4"/>
  <c r="I34" i="4"/>
  <c r="C32" i="4"/>
  <c r="N451" i="3"/>
  <c r="X438" i="3"/>
  <c r="I29" i="4"/>
  <c r="X434" i="3"/>
  <c r="F28" i="4"/>
  <c r="N402" i="3"/>
  <c r="C27" i="4"/>
  <c r="I26" i="4"/>
  <c r="N371" i="3"/>
  <c r="C25" i="4"/>
  <c r="S353" i="3"/>
  <c r="N307" i="3"/>
  <c r="AC294" i="3"/>
  <c r="L21" i="4"/>
  <c r="X284" i="3"/>
  <c r="F19" i="4"/>
  <c r="S209" i="3"/>
  <c r="F15" i="4"/>
  <c r="C14" i="4"/>
  <c r="X159" i="3"/>
  <c r="X151" i="3"/>
  <c r="N150" i="3"/>
  <c r="C13" i="4"/>
  <c r="X138" i="3"/>
  <c r="X126" i="3"/>
  <c r="X122" i="3"/>
  <c r="S58" i="3"/>
  <c r="D68" i="4" s="1"/>
  <c r="AC56" i="3"/>
  <c r="G36" i="9"/>
  <c r="G39" i="9"/>
  <c r="S50" i="3"/>
  <c r="G13" i="9"/>
  <c r="E55" i="9"/>
  <c r="D12" i="4"/>
  <c r="G23" i="4"/>
  <c r="K55" i="9"/>
  <c r="K40" i="9"/>
  <c r="K17" i="9"/>
  <c r="H69" i="9"/>
  <c r="H51" i="9"/>
  <c r="H28" i="9"/>
  <c r="H5" i="9"/>
  <c r="H13" i="9"/>
  <c r="D31" i="4"/>
  <c r="I31" i="4"/>
  <c r="F18" i="4"/>
  <c r="M51" i="4"/>
  <c r="G38" i="4"/>
  <c r="J46" i="4"/>
  <c r="H36" i="9"/>
  <c r="J28" i="4"/>
  <c r="M16" i="4"/>
  <c r="J38" i="4"/>
  <c r="G42" i="4"/>
  <c r="N20" i="9"/>
  <c r="F33" i="4"/>
  <c r="I38" i="4"/>
  <c r="L30" i="4"/>
  <c r="L28" i="4"/>
  <c r="L26" i="4"/>
  <c r="C26" i="4"/>
  <c r="C22" i="4"/>
  <c r="F32" i="4"/>
  <c r="C23" i="4"/>
  <c r="I24" i="4"/>
  <c r="C20" i="4"/>
  <c r="C24" i="4"/>
  <c r="I19" i="4"/>
  <c r="C19" i="4"/>
  <c r="J55" i="9"/>
  <c r="J40" i="9"/>
  <c r="J17" i="9"/>
  <c r="D15" i="9"/>
  <c r="J41" i="9"/>
  <c r="J69" i="9"/>
  <c r="J51" i="9"/>
  <c r="J28" i="9"/>
  <c r="J5" i="9"/>
  <c r="J42" i="9"/>
  <c r="D20" i="9"/>
  <c r="C52" i="4"/>
  <c r="R59" i="4" s="1"/>
  <c r="D43" i="9"/>
  <c r="D56" i="9"/>
  <c r="C6" i="4"/>
  <c r="S47" i="3"/>
  <c r="J19" i="9"/>
  <c r="S754" i="3"/>
  <c r="AC711" i="3"/>
  <c r="N44" i="4" s="1"/>
  <c r="I44" i="4"/>
  <c r="N707" i="3"/>
  <c r="C42" i="4"/>
  <c r="X653" i="3"/>
  <c r="X641" i="3"/>
  <c r="N570" i="3"/>
  <c r="I35" i="4"/>
  <c r="S525" i="3"/>
  <c r="X493" i="3"/>
  <c r="N478" i="3"/>
  <c r="I30" i="4"/>
  <c r="X374" i="3"/>
  <c r="X366" i="3"/>
  <c r="I25" i="4"/>
  <c r="F24" i="4"/>
  <c r="L23" i="4"/>
  <c r="I22" i="4"/>
  <c r="S295" i="3"/>
  <c r="N279" i="3"/>
  <c r="L20" i="4"/>
  <c r="X240" i="3"/>
  <c r="I18" i="4"/>
  <c r="F16" i="4"/>
  <c r="N164" i="3"/>
  <c r="S101" i="3"/>
  <c r="S72" i="3"/>
  <c r="S69" i="3"/>
  <c r="G35" i="9"/>
  <c r="G38" i="9"/>
  <c r="AC46" i="3"/>
  <c r="S45" i="3"/>
  <c r="G12" i="9"/>
  <c r="G15" i="9"/>
  <c r="AC42" i="3"/>
  <c r="L53" i="4"/>
  <c r="R75" i="4" s="1"/>
  <c r="S37" i="3"/>
  <c r="G42" i="9"/>
  <c r="S29" i="3"/>
  <c r="G19" i="9"/>
  <c r="G55" i="9"/>
  <c r="G40" i="9"/>
  <c r="G17" i="9"/>
  <c r="S24" i="3"/>
  <c r="F52" i="4"/>
  <c r="R64" i="4" s="1"/>
  <c r="F6" i="4"/>
  <c r="S13" i="3"/>
  <c r="G29" i="9"/>
  <c r="G32" i="9"/>
  <c r="G6" i="9"/>
  <c r="L51" i="4"/>
  <c r="N35" i="9"/>
  <c r="N55" i="9"/>
  <c r="N40" i="9"/>
  <c r="N17" i="9"/>
  <c r="N6" i="9"/>
  <c r="M43" i="4"/>
  <c r="M20" i="4"/>
  <c r="K53" i="9"/>
  <c r="K34" i="9"/>
  <c r="K11" i="9"/>
  <c r="J21" i="4"/>
  <c r="G30" i="4"/>
  <c r="D27" i="4"/>
  <c r="J35" i="4"/>
  <c r="G52" i="4"/>
  <c r="S64" i="4" s="1"/>
  <c r="L31" i="4"/>
  <c r="F22" i="4"/>
  <c r="C15" i="4"/>
  <c r="C18" i="4"/>
  <c r="D39" i="9"/>
  <c r="J6" i="9"/>
  <c r="D22" i="9"/>
  <c r="J36" i="9"/>
  <c r="J12" i="9"/>
  <c r="J53" i="9"/>
  <c r="J34" i="9"/>
  <c r="J11" i="9"/>
  <c r="D16" i="9"/>
  <c r="D21" i="9"/>
  <c r="D38" i="9"/>
  <c r="J30" i="9"/>
  <c r="S760" i="3"/>
  <c r="C44" i="4"/>
  <c r="L43" i="4"/>
  <c r="I36" i="4"/>
  <c r="N550" i="3"/>
  <c r="S543" i="3"/>
  <c r="L34" i="4"/>
  <c r="AC510" i="3"/>
  <c r="L33" i="4"/>
  <c r="X477" i="3"/>
  <c r="N474" i="3"/>
  <c r="C31" i="4"/>
  <c r="N462" i="3"/>
  <c r="F30" i="4"/>
  <c r="I28" i="4"/>
  <c r="X402" i="3"/>
  <c r="I27" i="4"/>
  <c r="N379" i="3"/>
  <c r="F25" i="4"/>
  <c r="N337" i="3"/>
  <c r="F23" i="4"/>
  <c r="X298" i="3"/>
  <c r="X290" i="3"/>
  <c r="X276" i="3"/>
  <c r="I20" i="4"/>
  <c r="X238" i="3"/>
  <c r="S225" i="3"/>
  <c r="S202" i="3"/>
  <c r="N185" i="3"/>
  <c r="F14" i="4"/>
  <c r="N144" i="3"/>
  <c r="N142" i="3"/>
  <c r="I12" i="4"/>
  <c r="AC55" i="3"/>
  <c r="F68" i="4" s="1"/>
  <c r="M36" i="9"/>
  <c r="J39" i="9"/>
  <c r="D35" i="9"/>
  <c r="M13" i="9"/>
  <c r="J16" i="9"/>
  <c r="D12" i="9"/>
  <c r="AC43" i="3"/>
  <c r="M53" i="9"/>
  <c r="M34" i="9"/>
  <c r="M11" i="9"/>
  <c r="I53" i="4"/>
  <c r="R70" i="4" s="1"/>
  <c r="J37" i="9"/>
  <c r="J14" i="9"/>
  <c r="J54" i="9"/>
  <c r="D42" i="9"/>
  <c r="AC31" i="3"/>
  <c r="M41" i="9"/>
  <c r="J44" i="9"/>
  <c r="N29" i="3"/>
  <c r="D19" i="9"/>
  <c r="M18" i="9"/>
  <c r="X26" i="3"/>
  <c r="J21" i="9"/>
  <c r="D55" i="9"/>
  <c r="D40" i="9"/>
  <c r="D17" i="9"/>
  <c r="M30" i="9"/>
  <c r="J33" i="9"/>
  <c r="D29" i="9"/>
  <c r="AC11" i="3"/>
  <c r="M7" i="9"/>
  <c r="D6" i="9"/>
  <c r="M69" i="9"/>
  <c r="M51" i="9"/>
  <c r="M28" i="9"/>
  <c r="M5" i="9"/>
  <c r="I51" i="4"/>
  <c r="N36" i="9"/>
  <c r="N13" i="9"/>
  <c r="N41" i="9"/>
  <c r="N69" i="9"/>
  <c r="N51" i="9"/>
  <c r="N28" i="9"/>
  <c r="N5" i="9"/>
  <c r="M33" i="4"/>
  <c r="M24" i="4"/>
  <c r="M22" i="4"/>
  <c r="AC295" i="3"/>
  <c r="M21" i="4"/>
  <c r="K35" i="9"/>
  <c r="J24" i="4"/>
  <c r="X214" i="3"/>
  <c r="J16" i="4"/>
  <c r="X186" i="3"/>
  <c r="J15" i="4"/>
  <c r="N705" i="3"/>
  <c r="S563" i="3"/>
  <c r="N531" i="3"/>
  <c r="D30" i="4"/>
  <c r="N446" i="3"/>
  <c r="S420" i="3"/>
  <c r="G28" i="4"/>
  <c r="G26" i="4"/>
  <c r="E39" i="9"/>
  <c r="E16" i="9"/>
  <c r="E44" i="9"/>
  <c r="N6" i="3"/>
  <c r="D51" i="4"/>
  <c r="E8" i="9"/>
  <c r="N726" i="3"/>
  <c r="D45" i="4"/>
  <c r="N713" i="3"/>
  <c r="J44" i="4"/>
  <c r="G43" i="4"/>
  <c r="N636" i="3"/>
  <c r="C40" i="4"/>
  <c r="S725" i="3"/>
  <c r="S719" i="3"/>
  <c r="M38" i="4"/>
  <c r="X597" i="3"/>
  <c r="N580" i="3"/>
  <c r="N556" i="3"/>
  <c r="D35" i="4"/>
  <c r="S583" i="3"/>
  <c r="D39" i="4"/>
  <c r="X577" i="3"/>
  <c r="N558" i="3"/>
  <c r="G35" i="4"/>
  <c r="S532" i="3"/>
  <c r="N528" i="3"/>
  <c r="D34" i="4"/>
  <c r="N522" i="3"/>
  <c r="X513" i="3"/>
  <c r="J32" i="4"/>
  <c r="N435" i="3"/>
  <c r="X368" i="3"/>
  <c r="N364" i="3"/>
  <c r="G24" i="4"/>
  <c r="S340" i="3"/>
  <c r="S257" i="3"/>
  <c r="X473" i="3"/>
  <c r="X452" i="3"/>
  <c r="S355" i="3"/>
  <c r="S344" i="3"/>
  <c r="X376" i="3"/>
  <c r="X490" i="3"/>
  <c r="S321" i="3"/>
  <c r="S315" i="3"/>
  <c r="S301" i="3"/>
  <c r="S273" i="3"/>
  <c r="S255" i="3"/>
  <c r="S243" i="3"/>
  <c r="D9" i="4"/>
  <c r="M37" i="4"/>
  <c r="M42" i="4"/>
  <c r="S234" i="3"/>
  <c r="S211" i="3"/>
  <c r="D16" i="4"/>
  <c r="S176" i="3"/>
  <c r="S168" i="3"/>
  <c r="G14" i="4"/>
  <c r="S351" i="3"/>
  <c r="S291" i="3"/>
  <c r="S265" i="3"/>
  <c r="S249" i="3"/>
  <c r="S223" i="3"/>
  <c r="N203" i="3"/>
  <c r="S195" i="3"/>
  <c r="N163" i="3"/>
  <c r="N159" i="3"/>
  <c r="N151" i="3"/>
  <c r="N146" i="3"/>
  <c r="X157" i="3"/>
  <c r="X132" i="3"/>
  <c r="J12" i="4"/>
  <c r="X128" i="3"/>
  <c r="X104" i="3"/>
  <c r="S52" i="3"/>
  <c r="I16" i="9" s="1"/>
  <c r="S44" i="3"/>
  <c r="H15" i="9"/>
  <c r="S36" i="3"/>
  <c r="S20" i="3"/>
  <c r="S12" i="3"/>
  <c r="H32" i="9"/>
  <c r="E12" i="9"/>
  <c r="H30" i="9"/>
  <c r="H7" i="9"/>
  <c r="J51" i="4"/>
  <c r="S42" i="3"/>
  <c r="H54" i="9"/>
  <c r="G53" i="4"/>
  <c r="S65" i="4" s="1"/>
  <c r="H37" i="9"/>
  <c r="H14" i="9"/>
  <c r="K56" i="9"/>
  <c r="K43" i="9"/>
  <c r="K20" i="9"/>
  <c r="J52" i="4"/>
  <c r="S69" i="4" s="1"/>
  <c r="J6" i="4"/>
  <c r="H35" i="9"/>
  <c r="N134" i="3"/>
  <c r="N130" i="3"/>
  <c r="N127" i="3"/>
  <c r="X114" i="3"/>
  <c r="M23" i="4"/>
  <c r="K19" i="9"/>
  <c r="AC36" i="3"/>
  <c r="AC520" i="3"/>
  <c r="X492" i="3"/>
  <c r="I32" i="4"/>
  <c r="X464" i="3"/>
  <c r="N441" i="3"/>
  <c r="X489" i="3"/>
  <c r="X475" i="3"/>
  <c r="K31" i="4" s="1"/>
  <c r="X446" i="3"/>
  <c r="M27" i="4"/>
  <c r="X484" i="3"/>
  <c r="K15" i="9"/>
  <c r="S575" i="3"/>
  <c r="S246" i="3"/>
  <c r="S240" i="3"/>
  <c r="G18" i="4"/>
  <c r="K29" i="9"/>
  <c r="AC12" i="3"/>
  <c r="S16" i="3"/>
  <c r="S204" i="3"/>
  <c r="G16" i="4"/>
  <c r="AC76" i="3"/>
  <c r="N176" i="3"/>
  <c r="X168" i="3"/>
  <c r="J14" i="4"/>
  <c r="S184" i="3"/>
  <c r="X177" i="3"/>
  <c r="N105" i="3"/>
  <c r="X141" i="3"/>
  <c r="X140" i="3"/>
  <c r="S713" i="3"/>
  <c r="G44" i="4"/>
  <c r="G39" i="4"/>
  <c r="X598" i="3"/>
  <c r="N419" i="3"/>
  <c r="N401" i="3"/>
  <c r="S759" i="3"/>
  <c r="X510" i="3"/>
  <c r="J33" i="4"/>
  <c r="S215" i="3"/>
  <c r="N168" i="3"/>
  <c r="D14" i="4"/>
  <c r="S142" i="3"/>
  <c r="S533" i="3"/>
  <c r="S309" i="3"/>
  <c r="S305" i="3"/>
  <c r="X714" i="3"/>
  <c r="N411" i="3"/>
  <c r="N370" i="3"/>
  <c r="S191" i="3"/>
  <c r="X528" i="3"/>
  <c r="J34" i="4"/>
  <c r="M40" i="4"/>
  <c r="M39" i="4"/>
  <c r="G16" i="9"/>
  <c r="AC44" i="3"/>
  <c r="S43" i="3"/>
  <c r="G53" i="9"/>
  <c r="G34" i="9"/>
  <c r="G11" i="9"/>
  <c r="G54" i="9"/>
  <c r="F53" i="4"/>
  <c r="R65" i="4" s="1"/>
  <c r="G37" i="9"/>
  <c r="G14" i="9"/>
  <c r="G41" i="9"/>
  <c r="G18" i="9"/>
  <c r="AC24" i="3"/>
  <c r="L52" i="4"/>
  <c r="R74" i="4" s="1"/>
  <c r="L6" i="4"/>
  <c r="G30" i="9"/>
  <c r="S18" i="3"/>
  <c r="G33" i="9"/>
  <c r="G7" i="9"/>
  <c r="S7" i="3"/>
  <c r="S62" i="9" s="1"/>
  <c r="G69" i="9"/>
  <c r="G51" i="9"/>
  <c r="G28" i="9"/>
  <c r="G5" i="9"/>
  <c r="F51" i="4"/>
  <c r="N12" i="9"/>
  <c r="N42" i="9"/>
  <c r="N19" i="9"/>
  <c r="N29" i="9"/>
  <c r="K36" i="9"/>
  <c r="K13" i="9"/>
  <c r="K41" i="9"/>
  <c r="J22" i="4"/>
  <c r="J19" i="4"/>
  <c r="J18" i="4"/>
  <c r="G31" i="4"/>
  <c r="G29" i="4"/>
  <c r="D28" i="4"/>
  <c r="D26" i="4"/>
  <c r="G25" i="4"/>
  <c r="E15" i="9"/>
  <c r="E45" i="9"/>
  <c r="E22" i="9"/>
  <c r="E32" i="9"/>
  <c r="D40" i="4"/>
  <c r="D38" i="4"/>
  <c r="D36" i="4"/>
  <c r="J40" i="4"/>
  <c r="AC564" i="3"/>
  <c r="L36" i="4"/>
  <c r="J30" i="4"/>
  <c r="D18" i="4"/>
  <c r="G15" i="4"/>
  <c r="D23" i="4"/>
  <c r="K54" i="9"/>
  <c r="J53" i="4"/>
  <c r="S70" i="4" s="1"/>
  <c r="K14" i="9"/>
  <c r="K37" i="9"/>
  <c r="K21" i="9"/>
  <c r="K33" i="9"/>
  <c r="H53" i="9"/>
  <c r="H34" i="9"/>
  <c r="H11" i="9"/>
  <c r="E19" i="9"/>
  <c r="H33" i="9"/>
  <c r="K16" i="9"/>
  <c r="K22" i="9"/>
  <c r="E53" i="9"/>
  <c r="E34" i="9"/>
  <c r="E11" i="9"/>
  <c r="J27" i="4"/>
  <c r="J31" i="4"/>
  <c r="H16" i="9"/>
  <c r="K7" i="9"/>
  <c r="K30" i="9"/>
  <c r="G51" i="4"/>
  <c r="D15" i="4"/>
  <c r="I14" i="4"/>
  <c r="D44" i="4"/>
  <c r="J42" i="4"/>
  <c r="J36" i="4"/>
  <c r="E38" i="9"/>
  <c r="D52" i="4"/>
  <c r="S59" i="4" s="1"/>
  <c r="E43" i="9"/>
  <c r="E56" i="9"/>
  <c r="E20" i="9"/>
  <c r="D6" i="4"/>
  <c r="C43" i="4"/>
  <c r="C39" i="4"/>
  <c r="G36" i="4"/>
  <c r="C35" i="4"/>
  <c r="G21" i="4"/>
  <c r="D19" i="4"/>
  <c r="J29" i="4"/>
  <c r="J26" i="4"/>
  <c r="J25" i="4"/>
  <c r="H12" i="9"/>
  <c r="H42" i="9"/>
  <c r="H19" i="9"/>
  <c r="H29" i="9"/>
  <c r="C51" i="4"/>
  <c r="E42" i="9"/>
  <c r="E29" i="9"/>
  <c r="H55" i="9"/>
  <c r="H40" i="9"/>
  <c r="H17" i="9"/>
  <c r="H6" i="9"/>
  <c r="K38" i="9"/>
  <c r="K39" i="9"/>
  <c r="M25" i="4"/>
  <c r="K18" i="9"/>
  <c r="K69" i="9"/>
  <c r="K51" i="9"/>
  <c r="K28" i="9"/>
  <c r="K5" i="9"/>
  <c r="H41" i="9"/>
  <c r="M52" i="4"/>
  <c r="S74" i="4" s="1"/>
  <c r="M6" i="4"/>
  <c r="K45" i="9"/>
  <c r="E35" i="9"/>
  <c r="D32" i="4"/>
  <c r="K32" i="9"/>
  <c r="I15" i="4"/>
  <c r="G40" i="4"/>
  <c r="G45" i="4"/>
  <c r="J43" i="4"/>
  <c r="D24" i="4"/>
  <c r="D22" i="4"/>
  <c r="K6" i="9"/>
  <c r="G19" i="4"/>
  <c r="J45" i="4"/>
  <c r="E40" i="9"/>
  <c r="F40" i="4"/>
  <c r="S10" i="3"/>
  <c r="AC10" i="3"/>
  <c r="M7" i="4"/>
  <c r="J7" i="4"/>
  <c r="I7" i="4"/>
  <c r="C7" i="4"/>
  <c r="G7" i="4"/>
  <c r="S8" i="3"/>
  <c r="H9" i="9"/>
  <c r="N31" i="9"/>
  <c r="M5" i="4"/>
  <c r="D5" i="4"/>
  <c r="I5" i="4"/>
  <c r="L5" i="4"/>
  <c r="S9" i="3"/>
  <c r="F5" i="4"/>
  <c r="C5" i="4"/>
  <c r="G5" i="4"/>
  <c r="J5" i="4"/>
  <c r="M10" i="4"/>
  <c r="I10" i="4"/>
  <c r="L10" i="4"/>
  <c r="S97" i="3"/>
  <c r="H10" i="4" s="1"/>
  <c r="F10" i="4"/>
  <c r="C10" i="4"/>
  <c r="AC97" i="3"/>
  <c r="J10" i="4"/>
  <c r="G10" i="4"/>
  <c r="D10" i="4"/>
  <c r="E74" i="9"/>
  <c r="H45" i="9"/>
  <c r="G45" i="9"/>
  <c r="J9" i="4"/>
  <c r="AC95" i="3"/>
  <c r="AC91" i="3"/>
  <c r="M9" i="4"/>
  <c r="S83" i="3"/>
  <c r="S65" i="3"/>
  <c r="AC63" i="3"/>
  <c r="J11" i="4"/>
  <c r="G11" i="4"/>
  <c r="H10" i="9"/>
  <c r="F11" i="4"/>
  <c r="D11" i="4"/>
  <c r="I11" i="4"/>
  <c r="M11" i="4"/>
  <c r="L11" i="4"/>
  <c r="G12" i="4"/>
  <c r="F12" i="4"/>
  <c r="AC88" i="3"/>
  <c r="AC147" i="3"/>
  <c r="M12" i="4"/>
  <c r="AC133" i="3"/>
  <c r="L12" i="4"/>
  <c r="H21" i="9"/>
  <c r="G21" i="9"/>
  <c r="H44" i="9"/>
  <c r="H20" i="9"/>
  <c r="G44" i="9"/>
  <c r="G20" i="9"/>
  <c r="G64" i="9"/>
  <c r="M13" i="4"/>
  <c r="I9" i="4"/>
  <c r="C9" i="4"/>
  <c r="H56" i="9"/>
  <c r="H43" i="9"/>
  <c r="H22" i="9"/>
  <c r="G9" i="4"/>
  <c r="AC82" i="3"/>
  <c r="L9" i="4"/>
  <c r="G56" i="9"/>
  <c r="G43" i="9"/>
  <c r="G22" i="9"/>
  <c r="F9" i="4"/>
  <c r="M8" i="4"/>
  <c r="C11" i="4"/>
  <c r="X599" i="3"/>
  <c r="K64" i="9"/>
  <c r="J37" i="4"/>
  <c r="AC59" i="3"/>
  <c r="L7" i="4"/>
  <c r="S59" i="3"/>
  <c r="I36" i="9" s="1"/>
  <c r="F7" i="4"/>
  <c r="L37" i="4"/>
  <c r="F37" i="4"/>
  <c r="H64" i="9"/>
  <c r="G37" i="4"/>
  <c r="K10" i="9"/>
  <c r="K74" i="9"/>
  <c r="K8" i="9"/>
  <c r="H74" i="9"/>
  <c r="H70" i="9"/>
  <c r="H52" i="9"/>
  <c r="H31" i="9"/>
  <c r="H8" i="9"/>
  <c r="G8" i="4"/>
  <c r="G10" i="9"/>
  <c r="AC62" i="3"/>
  <c r="G9" i="9"/>
  <c r="AC60" i="3"/>
  <c r="L8" i="4"/>
  <c r="G74" i="9"/>
  <c r="G70" i="9"/>
  <c r="G52" i="9"/>
  <c r="G31" i="9"/>
  <c r="G8" i="9"/>
  <c r="F8" i="4"/>
  <c r="S60" i="3"/>
  <c r="E64" i="9"/>
  <c r="D37" i="4"/>
  <c r="D64" i="9"/>
  <c r="C37" i="4"/>
  <c r="X591" i="3"/>
  <c r="J64" i="9"/>
  <c r="I37" i="4"/>
  <c r="E10" i="9"/>
  <c r="D10" i="9"/>
  <c r="J10" i="9"/>
  <c r="K70" i="9"/>
  <c r="K52" i="9"/>
  <c r="K31" i="9"/>
  <c r="K9" i="9"/>
  <c r="J8" i="4"/>
  <c r="E9" i="9"/>
  <c r="E70" i="9"/>
  <c r="E52" i="9"/>
  <c r="E31" i="9"/>
  <c r="D8" i="4"/>
  <c r="D9" i="9"/>
  <c r="D75" i="9"/>
  <c r="X62" i="3"/>
  <c r="J9" i="9"/>
  <c r="M46" i="4"/>
  <c r="S761" i="3"/>
  <c r="G46" i="4"/>
  <c r="F46" i="4"/>
  <c r="D46" i="4"/>
  <c r="I46" i="4"/>
  <c r="N761" i="3"/>
  <c r="C46" i="4"/>
  <c r="D65" i="9"/>
  <c r="D74" i="9"/>
  <c r="D70" i="9"/>
  <c r="D52" i="9"/>
  <c r="D31" i="9"/>
  <c r="D8" i="9"/>
  <c r="C8" i="4"/>
  <c r="J74" i="9"/>
  <c r="J70" i="9"/>
  <c r="J52" i="9"/>
  <c r="J31" i="9"/>
  <c r="J8" i="9"/>
  <c r="I8" i="4"/>
  <c r="K75" i="9"/>
  <c r="K65" i="9"/>
  <c r="J13" i="4"/>
  <c r="H75" i="9"/>
  <c r="H65" i="9"/>
  <c r="G13" i="4"/>
  <c r="G75" i="9"/>
  <c r="G65" i="9"/>
  <c r="F13" i="4"/>
  <c r="L13" i="4"/>
  <c r="N165" i="3"/>
  <c r="E75" i="9"/>
  <c r="E65" i="9"/>
  <c r="D13" i="4"/>
  <c r="J75" i="9"/>
  <c r="J65" i="9"/>
  <c r="I13" i="4"/>
  <c r="AC255" i="3"/>
  <c r="AC251" i="3"/>
  <c r="AC247" i="3"/>
  <c r="AC256" i="3"/>
  <c r="N45" i="9"/>
  <c r="M45" i="9"/>
  <c r="AC250" i="3"/>
  <c r="N21" i="9"/>
  <c r="N44" i="9"/>
  <c r="M44" i="9"/>
  <c r="AC244" i="3"/>
  <c r="M22" i="9"/>
  <c r="N22" i="9"/>
  <c r="N56" i="9"/>
  <c r="N43" i="9"/>
  <c r="M18" i="4"/>
  <c r="AC242" i="3"/>
  <c r="M21" i="9"/>
  <c r="M56" i="9"/>
  <c r="M43" i="9"/>
  <c r="M20" i="9"/>
  <c r="L18" i="4"/>
  <c r="AC238" i="3"/>
  <c r="N10" i="9"/>
  <c r="AC236" i="3"/>
  <c r="N33" i="9"/>
  <c r="M33" i="9"/>
  <c r="M32" i="9"/>
  <c r="N32" i="9"/>
  <c r="N52" i="9"/>
  <c r="AC226" i="3"/>
  <c r="AC224" i="3"/>
  <c r="AC222" i="3"/>
  <c r="M52" i="9"/>
  <c r="M31" i="9"/>
  <c r="K76" i="9"/>
  <c r="K63" i="9"/>
  <c r="J17" i="4"/>
  <c r="H76" i="9"/>
  <c r="H63" i="9"/>
  <c r="G17" i="4"/>
  <c r="G76" i="9"/>
  <c r="G63" i="9"/>
  <c r="F17" i="4"/>
  <c r="E76" i="9"/>
  <c r="E63" i="9"/>
  <c r="D17" i="4"/>
  <c r="J76" i="9"/>
  <c r="J63" i="9"/>
  <c r="I17" i="4"/>
  <c r="D76" i="9"/>
  <c r="D63" i="9"/>
  <c r="C17" i="4"/>
  <c r="AC239" i="3"/>
  <c r="AC231" i="3"/>
  <c r="AC229" i="3"/>
  <c r="AC227" i="3"/>
  <c r="L17" i="4"/>
  <c r="M17" i="4"/>
  <c r="AC274" i="3"/>
  <c r="M39" i="9"/>
  <c r="N39" i="9"/>
  <c r="M38" i="9"/>
  <c r="N38" i="9"/>
  <c r="AC262" i="3"/>
  <c r="M16" i="9"/>
  <c r="N16" i="9"/>
  <c r="AC260" i="3"/>
  <c r="M15" i="9"/>
  <c r="N15" i="9"/>
  <c r="M70" i="9"/>
  <c r="M54" i="9"/>
  <c r="M37" i="9"/>
  <c r="M14" i="9"/>
  <c r="AC258" i="3"/>
  <c r="N70" i="9"/>
  <c r="N54" i="9"/>
  <c r="N37" i="9"/>
  <c r="N14" i="9"/>
  <c r="AC275" i="3"/>
  <c r="M65" i="9"/>
  <c r="N65" i="9"/>
  <c r="AC269" i="3"/>
  <c r="M64" i="9"/>
  <c r="N64" i="9"/>
  <c r="AC263" i="3"/>
  <c r="M76" i="9"/>
  <c r="N76" i="9"/>
  <c r="M75" i="9"/>
  <c r="N75" i="9"/>
  <c r="M74" i="9"/>
  <c r="M63" i="9"/>
  <c r="L19" i="4"/>
  <c r="N74" i="9"/>
  <c r="N63" i="9"/>
  <c r="M19" i="4"/>
  <c r="AC182" i="3"/>
  <c r="M10" i="9"/>
  <c r="M9" i="9"/>
  <c r="N9" i="9"/>
  <c r="M8" i="9"/>
  <c r="N8" i="9"/>
  <c r="M14" i="4"/>
  <c r="AC181" i="3"/>
  <c r="AC197" i="3"/>
  <c r="AC185" i="3"/>
  <c r="L14" i="4"/>
  <c r="AC196" i="3"/>
  <c r="AC190" i="3"/>
  <c r="M15" i="4"/>
  <c r="AC186" i="3"/>
  <c r="L15" i="4"/>
  <c r="AC217" i="3"/>
  <c r="AC213" i="3"/>
  <c r="AC209" i="3"/>
  <c r="AC214" i="3"/>
  <c r="AC220" i="3"/>
  <c r="AC216" i="3"/>
  <c r="AC206" i="3"/>
  <c r="AC210" i="3"/>
  <c r="AC208" i="3"/>
  <c r="AC204" i="3"/>
  <c r="S609" i="3"/>
  <c r="S683" i="3"/>
  <c r="X679" i="3"/>
  <c r="S675" i="3"/>
  <c r="N667" i="3"/>
  <c r="X661" i="3"/>
  <c r="S673" i="3"/>
  <c r="N627" i="3"/>
  <c r="S687" i="3"/>
  <c r="N684" i="3"/>
  <c r="S679" i="3"/>
  <c r="X677" i="3"/>
  <c r="N676" i="3"/>
  <c r="AC664" i="3"/>
  <c r="S661" i="3"/>
  <c r="AC642" i="3"/>
  <c r="AC632" i="3"/>
  <c r="S621" i="3"/>
  <c r="AC612" i="3"/>
  <c r="X601" i="3"/>
  <c r="S676" i="3"/>
  <c r="S663" i="3"/>
  <c r="S619" i="3"/>
  <c r="AC656" i="3"/>
  <c r="AC618" i="3"/>
  <c r="N666" i="3"/>
  <c r="AC658" i="3"/>
  <c r="S657" i="3"/>
  <c r="AC648" i="3"/>
  <c r="X632" i="3"/>
  <c r="S601" i="3"/>
  <c r="AC685" i="3"/>
  <c r="AC677" i="3"/>
  <c r="S635" i="3"/>
  <c r="AC646" i="3"/>
  <c r="X685" i="3"/>
  <c r="S681" i="3"/>
  <c r="N663" i="3"/>
  <c r="S659" i="3"/>
  <c r="X657" i="3"/>
  <c r="X656" i="3"/>
  <c r="K41" i="4" s="1"/>
  <c r="AC652" i="3"/>
  <c r="AC640" i="3"/>
  <c r="AC636" i="3"/>
  <c r="X628" i="3"/>
  <c r="AC626" i="3"/>
  <c r="AC624" i="3"/>
  <c r="AC616" i="3"/>
  <c r="AC614" i="3"/>
  <c r="X603" i="3"/>
  <c r="N665" i="3"/>
  <c r="S617" i="3"/>
  <c r="S613" i="3"/>
  <c r="N635" i="3"/>
  <c r="AC675" i="3"/>
  <c r="AC678" i="3"/>
  <c r="X687" i="3"/>
  <c r="N686" i="3"/>
  <c r="X668" i="3"/>
  <c r="X670" i="3"/>
  <c r="N661" i="3"/>
  <c r="X627" i="3"/>
  <c r="S682" i="3"/>
  <c r="X616" i="3"/>
  <c r="S616" i="3"/>
  <c r="X658" i="3"/>
  <c r="X606" i="3"/>
  <c r="X609" i="3"/>
  <c r="N603" i="3"/>
  <c r="S607" i="3"/>
  <c r="N610" i="3"/>
  <c r="N604" i="3"/>
  <c r="X604" i="3"/>
  <c r="N678" i="3"/>
  <c r="X663" i="3"/>
  <c r="N662" i="3"/>
  <c r="N629" i="3"/>
  <c r="S625" i="3"/>
  <c r="X617" i="3"/>
  <c r="N614" i="3"/>
  <c r="X607" i="3"/>
  <c r="N658" i="3"/>
  <c r="S655" i="3"/>
  <c r="AC628" i="3"/>
  <c r="N625" i="3"/>
  <c r="AC621" i="3"/>
  <c r="AC684" i="3"/>
  <c r="N669" i="3"/>
  <c r="N657" i="3"/>
  <c r="N631" i="3"/>
  <c r="N659" i="3"/>
  <c r="S674" i="3"/>
  <c r="X659" i="3"/>
  <c r="N656" i="3"/>
  <c r="X612" i="3"/>
  <c r="X608" i="3"/>
  <c r="X621" i="3"/>
  <c r="X613" i="3"/>
  <c r="X611" i="3"/>
  <c r="N626" i="3"/>
  <c r="S618" i="3"/>
  <c r="X625" i="3"/>
  <c r="S92" i="3"/>
  <c r="N689" i="3"/>
  <c r="N706" i="3"/>
  <c r="N471" i="3"/>
  <c r="X120" i="3"/>
  <c r="X116" i="3"/>
  <c r="AC758" i="3"/>
  <c r="AC754" i="3"/>
  <c r="N239" i="3"/>
  <c r="AC237" i="3"/>
  <c r="X230" i="3"/>
  <c r="X222" i="3"/>
  <c r="S193" i="3"/>
  <c r="X169" i="3"/>
  <c r="X160" i="3"/>
  <c r="X153" i="3"/>
  <c r="K13" i="4" s="1"/>
  <c r="X467" i="3"/>
  <c r="X426" i="3"/>
  <c r="X418" i="3"/>
  <c r="X410" i="3"/>
  <c r="N377" i="3"/>
  <c r="S356" i="3"/>
  <c r="N351" i="3"/>
  <c r="S348" i="3"/>
  <c r="N345" i="3"/>
  <c r="S343" i="3"/>
  <c r="S339" i="3"/>
  <c r="S335" i="3"/>
  <c r="AC330" i="3"/>
  <c r="AC307" i="3"/>
  <c r="X304" i="3"/>
  <c r="S285" i="3"/>
  <c r="AC266" i="3"/>
  <c r="N253" i="3"/>
  <c r="S251" i="3"/>
  <c r="S493" i="3"/>
  <c r="N486" i="3"/>
  <c r="X481" i="3"/>
  <c r="X479" i="3"/>
  <c r="AC735" i="3"/>
  <c r="AC723" i="3"/>
  <c r="N710" i="3"/>
  <c r="E44" i="4" s="1"/>
  <c r="X708" i="3"/>
  <c r="S703" i="3"/>
  <c r="S697" i="3"/>
  <c r="S629" i="3"/>
  <c r="N606" i="3"/>
  <c r="S593" i="3"/>
  <c r="AC578" i="3"/>
  <c r="X571" i="3"/>
  <c r="N566" i="3"/>
  <c r="X563" i="3"/>
  <c r="X514" i="3"/>
  <c r="N508" i="3"/>
  <c r="N385" i="3"/>
  <c r="X328" i="3"/>
  <c r="S231" i="3"/>
  <c r="AC221" i="3"/>
  <c r="N201" i="3"/>
  <c r="AC198" i="3"/>
  <c r="N148" i="3"/>
  <c r="X112" i="3"/>
  <c r="AC72" i="3"/>
  <c r="S19" i="3"/>
  <c r="S11" i="3"/>
  <c r="AC8" i="3"/>
  <c r="O70" i="9" s="1"/>
  <c r="S739" i="3"/>
  <c r="N598" i="3"/>
  <c r="AC582" i="3"/>
  <c r="X537" i="3"/>
  <c r="X535" i="3"/>
  <c r="S516" i="3"/>
  <c r="X457" i="3"/>
  <c r="K30" i="4" s="1"/>
  <c r="N453" i="3"/>
  <c r="X394" i="3"/>
  <c r="N387" i="3"/>
  <c r="AC356" i="3"/>
  <c r="AC321" i="3"/>
  <c r="S278" i="3"/>
  <c r="X268" i="3"/>
  <c r="X252" i="3"/>
  <c r="S188" i="3"/>
  <c r="H15" i="4" s="1"/>
  <c r="N175" i="3"/>
  <c r="X166" i="3"/>
  <c r="X124" i="3"/>
  <c r="AC65" i="3"/>
  <c r="AC21" i="3"/>
  <c r="AC746" i="3"/>
  <c r="AC712" i="3"/>
  <c r="X696" i="3"/>
  <c r="X579" i="3"/>
  <c r="N500" i="3"/>
  <c r="E32" i="4" s="1"/>
  <c r="N484" i="3"/>
  <c r="N480" i="3"/>
  <c r="N475" i="3"/>
  <c r="N468" i="3"/>
  <c r="X463" i="3"/>
  <c r="S457" i="3"/>
  <c r="N440" i="3"/>
  <c r="E29" i="4" s="1"/>
  <c r="N414" i="3"/>
  <c r="X356" i="3"/>
  <c r="S338" i="3"/>
  <c r="AC312" i="3"/>
  <c r="AC264" i="3"/>
  <c r="X260" i="3"/>
  <c r="AC228" i="3"/>
  <c r="N139" i="3"/>
  <c r="S128" i="3"/>
  <c r="N123" i="3"/>
  <c r="N109" i="3"/>
  <c r="AC98" i="3"/>
  <c r="S85" i="3"/>
  <c r="D64" i="4" s="1"/>
  <c r="S81" i="3"/>
  <c r="AC78" i="3"/>
  <c r="AC50" i="3"/>
  <c r="S49" i="3"/>
  <c r="AC34" i="3"/>
  <c r="AC30" i="3"/>
  <c r="S28" i="3"/>
  <c r="I43" i="9" s="1"/>
  <c r="X719" i="3"/>
  <c r="S738" i="3"/>
  <c r="S586" i="3"/>
  <c r="N725" i="3"/>
  <c r="N121" i="3"/>
  <c r="N117" i="3"/>
  <c r="N115" i="3"/>
  <c r="AC81" i="3"/>
  <c r="AC71" i="3"/>
  <c r="AC37" i="3"/>
  <c r="AC15" i="3"/>
  <c r="AC738" i="3"/>
  <c r="X352" i="3"/>
  <c r="S360" i="3"/>
  <c r="S553" i="3"/>
  <c r="X180" i="3"/>
  <c r="S564" i="3"/>
  <c r="S333" i="3"/>
  <c r="S261" i="3"/>
  <c r="N136" i="3"/>
  <c r="S707" i="3"/>
  <c r="X742" i="3"/>
  <c r="S78" i="3"/>
  <c r="H9" i="4" s="1"/>
  <c r="AC731" i="3"/>
  <c r="AC751" i="3"/>
  <c r="X760" i="3"/>
  <c r="X750" i="3"/>
  <c r="X752" i="3"/>
  <c r="N756" i="3"/>
  <c r="S751" i="3"/>
  <c r="N646" i="3"/>
  <c r="N110" i="3"/>
  <c r="X118" i="3"/>
  <c r="N119" i="3"/>
  <c r="S100" i="3"/>
  <c r="X125" i="3"/>
  <c r="S136" i="3"/>
  <c r="X136" i="3"/>
  <c r="X147" i="3"/>
  <c r="X137" i="3"/>
  <c r="S150" i="3"/>
  <c r="X103" i="3"/>
  <c r="AC594" i="3"/>
  <c r="S99" i="3"/>
  <c r="X590" i="3"/>
  <c r="S220" i="3"/>
  <c r="AC77" i="3"/>
  <c r="S217" i="3"/>
  <c r="N231" i="3"/>
  <c r="X20" i="3"/>
  <c r="AC572" i="3"/>
  <c r="S23" i="3"/>
  <c r="AC568" i="3"/>
  <c r="S271" i="3"/>
  <c r="AC538" i="3"/>
  <c r="AC526" i="3"/>
  <c r="AC504" i="3"/>
  <c r="AC509" i="3"/>
  <c r="S540" i="3"/>
  <c r="N488" i="3"/>
  <c r="S519" i="3"/>
  <c r="S544" i="3"/>
  <c r="X472" i="3"/>
  <c r="AC49" i="3"/>
  <c r="AC39" i="3"/>
  <c r="S39" i="3"/>
  <c r="X432" i="3"/>
  <c r="X413" i="3"/>
  <c r="X405" i="3"/>
  <c r="AC27" i="3"/>
  <c r="S330" i="3"/>
  <c r="H23" i="4" s="1"/>
  <c r="X340" i="3"/>
  <c r="X346" i="3"/>
  <c r="AC347" i="3"/>
  <c r="N343" i="3"/>
  <c r="N358" i="3"/>
  <c r="AC355" i="3"/>
  <c r="N363" i="3"/>
  <c r="N353" i="3"/>
  <c r="N644" i="3"/>
  <c r="S577" i="3"/>
  <c r="AC47" i="3"/>
  <c r="AC7" i="3"/>
  <c r="N51" i="4" s="1"/>
  <c r="N695" i="3"/>
  <c r="AC53" i="3"/>
  <c r="S27" i="3"/>
  <c r="I40" i="9" s="1"/>
  <c r="AC23" i="3"/>
  <c r="N719" i="3"/>
  <c r="S684" i="3"/>
  <c r="S633" i="3"/>
  <c r="S671" i="3"/>
  <c r="AC627" i="3"/>
  <c r="N616" i="3"/>
  <c r="N622" i="3"/>
  <c r="N605" i="3"/>
  <c r="AC591" i="3"/>
  <c r="S362" i="3"/>
  <c r="S440" i="3"/>
  <c r="AC303" i="3"/>
  <c r="X121" i="3"/>
  <c r="X100" i="3"/>
  <c r="X90" i="3"/>
  <c r="N79" i="3"/>
  <c r="N77" i="3"/>
  <c r="X72" i="3"/>
  <c r="X68" i="3"/>
  <c r="N59" i="3"/>
  <c r="X58" i="3"/>
  <c r="X52" i="3"/>
  <c r="N45" i="3"/>
  <c r="N31" i="3"/>
  <c r="X24" i="3"/>
  <c r="N15" i="3"/>
  <c r="AC759" i="3"/>
  <c r="N751" i="3"/>
  <c r="N745" i="3"/>
  <c r="N737" i="3"/>
  <c r="X734" i="3"/>
  <c r="N691" i="3"/>
  <c r="N685" i="3"/>
  <c r="AC683" i="3"/>
  <c r="X680" i="3"/>
  <c r="N677" i="3"/>
  <c r="X672" i="3"/>
  <c r="N670" i="3"/>
  <c r="S667" i="3"/>
  <c r="X665" i="3"/>
  <c r="AC660" i="3"/>
  <c r="AC638" i="3"/>
  <c r="AC634" i="3"/>
  <c r="AC630" i="3"/>
  <c r="AC622" i="3"/>
  <c r="AC602" i="3"/>
  <c r="AC539" i="3"/>
  <c r="N534" i="3"/>
  <c r="N517" i="3"/>
  <c r="AC512" i="3"/>
  <c r="N458" i="3"/>
  <c r="S456" i="3"/>
  <c r="H30" i="4" s="1"/>
  <c r="S452" i="3"/>
  <c r="AC451" i="3"/>
  <c r="AC443" i="3"/>
  <c r="S428" i="3"/>
  <c r="S416" i="3"/>
  <c r="S404" i="3"/>
  <c r="S400" i="3"/>
  <c r="S380" i="3"/>
  <c r="AC375" i="3"/>
  <c r="AC367" i="3"/>
  <c r="S366" i="3"/>
  <c r="S364" i="3"/>
  <c r="AC359" i="3"/>
  <c r="S358" i="3"/>
  <c r="AC292" i="3"/>
  <c r="X288" i="3"/>
  <c r="N287" i="3"/>
  <c r="AC284" i="3"/>
  <c r="S248" i="3"/>
  <c r="AC219" i="3"/>
  <c r="N219" i="3"/>
  <c r="X216" i="3"/>
  <c r="AC211" i="3"/>
  <c r="N211" i="3"/>
  <c r="X200" i="3"/>
  <c r="AC195" i="3"/>
  <c r="AC187" i="3"/>
  <c r="N187" i="3"/>
  <c r="X184" i="3"/>
  <c r="S180" i="3"/>
  <c r="AC179" i="3"/>
  <c r="S178" i="3"/>
  <c r="AC175" i="3"/>
  <c r="S172" i="3"/>
  <c r="AC171" i="3"/>
  <c r="S170" i="3"/>
  <c r="AC169" i="3"/>
  <c r="AC167" i="3"/>
  <c r="S164" i="3"/>
  <c r="S162" i="3"/>
  <c r="AC161" i="3"/>
  <c r="AC159" i="3"/>
  <c r="S156" i="3"/>
  <c r="AC155" i="3"/>
  <c r="S154" i="3"/>
  <c r="AC153" i="3"/>
  <c r="AC151" i="3"/>
  <c r="S148" i="3"/>
  <c r="S146" i="3"/>
  <c r="AC145" i="3"/>
  <c r="AC143" i="3"/>
  <c r="S140" i="3"/>
  <c r="AC139" i="3"/>
  <c r="S138" i="3"/>
  <c r="I44" i="9" s="1"/>
  <c r="AC137" i="3"/>
  <c r="AC135" i="3"/>
  <c r="S132" i="3"/>
  <c r="S130" i="3"/>
  <c r="AC129" i="3"/>
  <c r="AC127" i="3"/>
  <c r="S124" i="3"/>
  <c r="AC123" i="3"/>
  <c r="AC121" i="3"/>
  <c r="S120" i="3"/>
  <c r="AC119" i="3"/>
  <c r="S114" i="3"/>
  <c r="AC113" i="3"/>
  <c r="S112" i="3"/>
  <c r="AC111" i="3"/>
  <c r="S110" i="3"/>
  <c r="AC107" i="3"/>
  <c r="AC105" i="3"/>
  <c r="S104" i="3"/>
  <c r="AC99" i="3"/>
  <c r="AC89" i="3"/>
  <c r="AC83" i="3"/>
  <c r="AC73" i="3"/>
  <c r="AC67" i="3"/>
  <c r="AC57" i="3"/>
  <c r="AC51" i="3"/>
  <c r="AC41" i="3"/>
  <c r="AC35" i="3"/>
  <c r="AC25" i="3"/>
  <c r="AC19" i="3"/>
  <c r="U64" i="9" s="1"/>
  <c r="AC9" i="3"/>
  <c r="N649" i="3"/>
  <c r="S612" i="3"/>
  <c r="S596" i="3"/>
  <c r="S560" i="3"/>
  <c r="AC625" i="3"/>
  <c r="AC567" i="3"/>
  <c r="X534" i="3"/>
  <c r="AC521" i="3"/>
  <c r="S470" i="3"/>
  <c r="S447" i="3"/>
  <c r="S431" i="3"/>
  <c r="S423" i="3"/>
  <c r="S415" i="3"/>
  <c r="S407" i="3"/>
  <c r="S399" i="3"/>
  <c r="S391" i="3"/>
  <c r="S383" i="3"/>
  <c r="X738" i="3"/>
  <c r="X694" i="3"/>
  <c r="N655" i="3"/>
  <c r="E41" i="4" s="1"/>
  <c r="AC575" i="3"/>
  <c r="N510" i="3"/>
  <c r="AC461" i="3"/>
  <c r="AC733" i="3"/>
  <c r="N692" i="3"/>
  <c r="N597" i="3"/>
  <c r="N567" i="3"/>
  <c r="S654" i="3"/>
  <c r="S537" i="3"/>
  <c r="S439" i="3"/>
  <c r="X720" i="3"/>
  <c r="X712" i="3"/>
  <c r="AC651" i="3"/>
  <c r="X592" i="3"/>
  <c r="N529" i="3"/>
  <c r="AC681" i="3"/>
  <c r="S632" i="3"/>
  <c r="S590" i="3"/>
  <c r="X544" i="3"/>
  <c r="S640" i="3"/>
  <c r="S455" i="3"/>
  <c r="X689" i="3"/>
  <c r="AC679" i="3"/>
  <c r="X678" i="3"/>
  <c r="S570" i="3"/>
  <c r="X531" i="3"/>
  <c r="N600" i="3"/>
  <c r="S488" i="3"/>
  <c r="X753" i="3"/>
  <c r="X723" i="3"/>
  <c r="AC587" i="3"/>
  <c r="N732" i="3"/>
  <c r="N742" i="3"/>
  <c r="N744" i="3"/>
  <c r="S750" i="3"/>
  <c r="N697" i="3"/>
  <c r="X650" i="3"/>
  <c r="X509" i="3"/>
  <c r="X516" i="3"/>
  <c r="AC515" i="3"/>
  <c r="N396" i="3"/>
  <c r="S450" i="3"/>
  <c r="N537" i="3"/>
  <c r="S468" i="3"/>
  <c r="AC518" i="3"/>
  <c r="N316" i="3"/>
  <c r="X183" i="3"/>
  <c r="X289" i="3"/>
  <c r="X185" i="3"/>
  <c r="N258" i="3"/>
  <c r="AC351" i="3"/>
  <c r="S284" i="3"/>
  <c r="AC118" i="3"/>
  <c r="N12" i="3"/>
  <c r="X107" i="3"/>
  <c r="X35" i="3"/>
  <c r="S740" i="3"/>
  <c r="S696" i="3"/>
  <c r="X713" i="3"/>
  <c r="AC643" i="3"/>
  <c r="N587" i="3"/>
  <c r="AC446" i="3"/>
  <c r="AC414" i="3"/>
  <c r="X580" i="3"/>
  <c r="AC473" i="3"/>
  <c r="N507" i="3"/>
  <c r="S372" i="3"/>
  <c r="S406" i="3"/>
  <c r="AC401" i="3"/>
  <c r="S388" i="3"/>
  <c r="X353" i="3"/>
  <c r="X379" i="3"/>
  <c r="N333" i="3"/>
  <c r="S369" i="3"/>
  <c r="AC341" i="3"/>
  <c r="X423" i="3"/>
  <c r="K28" i="4" s="1"/>
  <c r="S328" i="3"/>
  <c r="AC249" i="3"/>
  <c r="N298" i="3"/>
  <c r="N275" i="3"/>
  <c r="N246" i="3"/>
  <c r="X279" i="3"/>
  <c r="X292" i="3"/>
  <c r="X191" i="3"/>
  <c r="N200" i="3"/>
  <c r="N269" i="3"/>
  <c r="N251" i="3"/>
  <c r="X347" i="3"/>
  <c r="N210" i="3"/>
  <c r="N194" i="3"/>
  <c r="S268" i="3"/>
  <c r="X205" i="3"/>
  <c r="AC164" i="3"/>
  <c r="X203" i="3"/>
  <c r="AC114" i="3"/>
  <c r="N310" i="3"/>
  <c r="AC104" i="3"/>
  <c r="AC199" i="3"/>
  <c r="S304" i="3"/>
  <c r="N212" i="3"/>
  <c r="S177" i="3"/>
  <c r="AC156" i="3"/>
  <c r="N204" i="3"/>
  <c r="AC178" i="3"/>
  <c r="AC130" i="3"/>
  <c r="X86" i="3"/>
  <c r="X70" i="3"/>
  <c r="X54" i="3"/>
  <c r="X38" i="3"/>
  <c r="X22" i="3"/>
  <c r="X6" i="3"/>
  <c r="N70" i="3"/>
  <c r="X63" i="3"/>
  <c r="X39" i="3"/>
  <c r="X101" i="3"/>
  <c r="N50" i="3"/>
  <c r="N97" i="3"/>
  <c r="X59" i="3"/>
  <c r="N33" i="3"/>
  <c r="X11" i="3"/>
  <c r="X61" i="3"/>
  <c r="AC144" i="3"/>
  <c r="N114" i="3"/>
  <c r="X97" i="3"/>
  <c r="X65" i="3"/>
  <c r="X23" i="3"/>
  <c r="N96" i="3"/>
  <c r="X44" i="3"/>
  <c r="X60" i="3"/>
  <c r="AC757" i="3"/>
  <c r="N752" i="3"/>
  <c r="X735" i="3"/>
  <c r="AC755" i="3"/>
  <c r="AC749" i="3"/>
  <c r="S720" i="3"/>
  <c r="S714" i="3"/>
  <c r="N759" i="3"/>
  <c r="N747" i="3"/>
  <c r="S716" i="3"/>
  <c r="S718" i="3"/>
  <c r="AC688" i="3"/>
  <c r="X682" i="3"/>
  <c r="N687" i="3"/>
  <c r="N760" i="3"/>
  <c r="AC699" i="3"/>
  <c r="AC743" i="3"/>
  <c r="X747" i="3"/>
  <c r="S658" i="3"/>
  <c r="S662" i="3"/>
  <c r="S642" i="3"/>
  <c r="N620" i="3"/>
  <c r="S646" i="3"/>
  <c r="AC667" i="3"/>
  <c r="S670" i="3"/>
  <c r="X702" i="3"/>
  <c r="N643" i="3"/>
  <c r="S630" i="3"/>
  <c r="S604" i="3"/>
  <c r="AC600" i="3"/>
  <c r="S580" i="3"/>
  <c r="S574" i="3"/>
  <c r="S566" i="3"/>
  <c r="AC545" i="3"/>
  <c r="X620" i="3"/>
  <c r="N593" i="3"/>
  <c r="AC583" i="3"/>
  <c r="N573" i="3"/>
  <c r="N563" i="3"/>
  <c r="S558" i="3"/>
  <c r="S550" i="3"/>
  <c r="N539" i="3"/>
  <c r="S622" i="3"/>
  <c r="S606" i="3"/>
  <c r="S656" i="3"/>
  <c r="AC608" i="3"/>
  <c r="X542" i="3"/>
  <c r="S668" i="3"/>
  <c r="AC536" i="3"/>
  <c r="X642" i="3"/>
  <c r="N520" i="3"/>
  <c r="X600" i="3"/>
  <c r="S568" i="3"/>
  <c r="X558" i="3"/>
  <c r="X517" i="3"/>
  <c r="AC551" i="3"/>
  <c r="AC513" i="3"/>
  <c r="S486" i="3"/>
  <c r="S453" i="3"/>
  <c r="S445" i="3"/>
  <c r="S437" i="3"/>
  <c r="S429" i="3"/>
  <c r="S421" i="3"/>
  <c r="S413" i="3"/>
  <c r="S405" i="3"/>
  <c r="S397" i="3"/>
  <c r="S389" i="3"/>
  <c r="S381" i="3"/>
  <c r="N532" i="3"/>
  <c r="S496" i="3"/>
  <c r="AC484" i="3"/>
  <c r="AC475" i="3"/>
  <c r="AC549" i="3"/>
  <c r="X524" i="3"/>
  <c r="N404" i="3"/>
  <c r="N542" i="3"/>
  <c r="AC462" i="3"/>
  <c r="AC411" i="3"/>
  <c r="AC487" i="3"/>
  <c r="S482" i="3"/>
  <c r="X383" i="3"/>
  <c r="AC377" i="3"/>
  <c r="X335" i="3"/>
  <c r="X303" i="3"/>
  <c r="X435" i="3"/>
  <c r="AC372" i="3"/>
  <c r="AC364" i="3"/>
  <c r="N336" i="3"/>
  <c r="AC362" i="3"/>
  <c r="S490" i="3"/>
  <c r="AC474" i="3"/>
  <c r="X455" i="3"/>
  <c r="N430" i="3"/>
  <c r="AC405" i="3"/>
  <c r="N342" i="3"/>
  <c r="N394" i="3"/>
  <c r="AC429" i="3"/>
  <c r="S370" i="3"/>
  <c r="AC360" i="3"/>
  <c r="X399" i="3"/>
  <c r="X556" i="3"/>
  <c r="N398" i="3"/>
  <c r="N354" i="3"/>
  <c r="S477" i="3"/>
  <c r="AC445" i="3"/>
  <c r="AC433" i="3"/>
  <c r="X267" i="3"/>
  <c r="X243" i="3"/>
  <c r="X348" i="3"/>
  <c r="N322" i="3"/>
  <c r="N296" i="3"/>
  <c r="N265" i="3"/>
  <c r="AC257" i="3"/>
  <c r="N241" i="3"/>
  <c r="X229" i="3"/>
  <c r="X315" i="3"/>
  <c r="S286" i="3"/>
  <c r="AC353" i="3"/>
  <c r="X295" i="3"/>
  <c r="N250" i="3"/>
  <c r="N214" i="3"/>
  <c r="N190" i="3"/>
  <c r="X308" i="3"/>
  <c r="X297" i="3"/>
  <c r="N266" i="3"/>
  <c r="X199" i="3"/>
  <c r="X317" i="3"/>
  <c r="N229" i="3"/>
  <c r="N208" i="3"/>
  <c r="N422" i="3"/>
  <c r="S222" i="3"/>
  <c r="S214" i="3"/>
  <c r="S236" i="3"/>
  <c r="N240" i="3"/>
  <c r="S153" i="3"/>
  <c r="S137" i="3"/>
  <c r="X188" i="3"/>
  <c r="AC183" i="3"/>
  <c r="S107" i="3"/>
  <c r="N188" i="3"/>
  <c r="S117" i="3"/>
  <c r="N207" i="3"/>
  <c r="S159" i="3"/>
  <c r="AC215" i="3"/>
  <c r="X187" i="3"/>
  <c r="X96" i="3"/>
  <c r="X80" i="3"/>
  <c r="X64" i="3"/>
  <c r="X48" i="3"/>
  <c r="X32" i="3"/>
  <c r="X16" i="3"/>
  <c r="N95" i="3"/>
  <c r="X57" i="3"/>
  <c r="N44" i="3"/>
  <c r="N68" i="3"/>
  <c r="N36" i="3"/>
  <c r="N92" i="3"/>
  <c r="X87" i="3"/>
  <c r="X93" i="3"/>
  <c r="N75" i="3"/>
  <c r="X37" i="3"/>
  <c r="N11" i="3"/>
  <c r="X49" i="3"/>
  <c r="X17" i="3"/>
  <c r="N100" i="3"/>
  <c r="S109" i="3"/>
  <c r="N88" i="3"/>
  <c r="X78" i="3"/>
  <c r="N24" i="3"/>
  <c r="N46" i="3"/>
  <c r="X36" i="3"/>
  <c r="X249" i="3"/>
  <c r="N74" i="3"/>
  <c r="X29" i="3"/>
  <c r="X105" i="3"/>
  <c r="N78" i="3"/>
  <c r="N39" i="3"/>
  <c r="N112" i="3"/>
  <c r="S230" i="3"/>
  <c r="X67" i="3"/>
  <c r="N48" i="3"/>
  <c r="X19" i="3"/>
  <c r="N13" i="3"/>
  <c r="S466" i="3"/>
  <c r="AC476" i="3"/>
  <c r="AC419" i="3"/>
  <c r="S484" i="3"/>
  <c r="X327" i="3"/>
  <c r="S363" i="3"/>
  <c r="S476" i="3"/>
  <c r="AC395" i="3"/>
  <c r="S505" i="3"/>
  <c r="S392" i="3"/>
  <c r="AC349" i="3"/>
  <c r="N297" i="3"/>
  <c r="N281" i="3"/>
  <c r="AC233" i="3"/>
  <c r="N292" i="3"/>
  <c r="X226" i="3"/>
  <c r="X41" i="3"/>
  <c r="X85" i="3"/>
  <c r="N758" i="3"/>
  <c r="S672" i="3"/>
  <c r="AC607" i="3"/>
  <c r="N621" i="3"/>
  <c r="N607" i="3"/>
  <c r="N609" i="3"/>
  <c r="S534" i="3"/>
  <c r="AC438" i="3"/>
  <c r="AC390" i="3"/>
  <c r="N384" i="3"/>
  <c r="S414" i="3"/>
  <c r="N368" i="3"/>
  <c r="X322" i="3"/>
  <c r="N273" i="3"/>
  <c r="AC241" i="3"/>
  <c r="N233" i="3"/>
  <c r="X758" i="3"/>
  <c r="X754" i="3"/>
  <c r="X749" i="3"/>
  <c r="X733" i="3"/>
  <c r="N750" i="3"/>
  <c r="X736" i="3"/>
  <c r="N746" i="3"/>
  <c r="X728" i="3"/>
  <c r="S702" i="3"/>
  <c r="S694" i="3"/>
  <c r="X681" i="3"/>
  <c r="S685" i="3"/>
  <c r="N688" i="3"/>
  <c r="N680" i="3"/>
  <c r="X619" i="3"/>
  <c r="N674" i="3"/>
  <c r="AC661" i="3"/>
  <c r="AC654" i="3"/>
  <c r="S665" i="3"/>
  <c r="S626" i="3"/>
  <c r="AC599" i="3"/>
  <c r="AC573" i="3"/>
  <c r="AC565" i="3"/>
  <c r="X622" i="3"/>
  <c r="N599" i="3"/>
  <c r="S592" i="3"/>
  <c r="AC589" i="3"/>
  <c r="N583" i="3"/>
  <c r="E37" i="4" s="1"/>
  <c r="S572" i="3"/>
  <c r="N618" i="3"/>
  <c r="S600" i="3"/>
  <c r="AC637" i="3"/>
  <c r="X630" i="3"/>
  <c r="S518" i="3"/>
  <c r="X588" i="3"/>
  <c r="K37" i="4" s="1"/>
  <c r="N561" i="3"/>
  <c r="X570" i="3"/>
  <c r="K36" i="4" s="1"/>
  <c r="AC511" i="3"/>
  <c r="S494" i="3"/>
  <c r="X507" i="3"/>
  <c r="AC501" i="3"/>
  <c r="AC493" i="3"/>
  <c r="AC485" i="3"/>
  <c r="AC477" i="3"/>
  <c r="AC469" i="3"/>
  <c r="AC452" i="3"/>
  <c r="AC444" i="3"/>
  <c r="AC436" i="3"/>
  <c r="AC428" i="3"/>
  <c r="AC420" i="3"/>
  <c r="AC412" i="3"/>
  <c r="AC404" i="3"/>
  <c r="AC396" i="3"/>
  <c r="AC388" i="3"/>
  <c r="AC380" i="3"/>
  <c r="S509" i="3"/>
  <c r="S460" i="3"/>
  <c r="S530" i="3"/>
  <c r="S521" i="3"/>
  <c r="AC459" i="3"/>
  <c r="AC483" i="3"/>
  <c r="N456" i="3"/>
  <c r="N424" i="3"/>
  <c r="N392" i="3"/>
  <c r="S446" i="3"/>
  <c r="AC365" i="3"/>
  <c r="N511" i="3"/>
  <c r="AC423" i="3"/>
  <c r="S479" i="3"/>
  <c r="S462" i="3"/>
  <c r="AC385" i="3"/>
  <c r="AC370" i="3"/>
  <c r="S495" i="3"/>
  <c r="X381" i="3"/>
  <c r="S350" i="3"/>
  <c r="AC379" i="3"/>
  <c r="S396" i="3"/>
  <c r="S412" i="3"/>
  <c r="AC333" i="3"/>
  <c r="X330" i="3"/>
  <c r="AC389" i="3"/>
  <c r="X395" i="3"/>
  <c r="S302" i="3"/>
  <c r="N284" i="3"/>
  <c r="X278" i="3"/>
  <c r="X270" i="3"/>
  <c r="N257" i="3"/>
  <c r="N249" i="3"/>
  <c r="N228" i="3"/>
  <c r="N418" i="3"/>
  <c r="X245" i="3"/>
  <c r="X237" i="3"/>
  <c r="N356" i="3"/>
  <c r="X342" i="3"/>
  <c r="N283" i="3"/>
  <c r="N270" i="3"/>
  <c r="N259" i="3"/>
  <c r="N235" i="3"/>
  <c r="AC366" i="3"/>
  <c r="N360" i="3"/>
  <c r="X287" i="3"/>
  <c r="AC245" i="3"/>
  <c r="S526" i="3"/>
  <c r="S318" i="3"/>
  <c r="X207" i="3"/>
  <c r="X339" i="3"/>
  <c r="X242" i="3"/>
  <c r="N216" i="3"/>
  <c r="S288" i="3"/>
  <c r="X273" i="3"/>
  <c r="X258" i="3"/>
  <c r="N237" i="3"/>
  <c r="N227" i="3"/>
  <c r="S206" i="3"/>
  <c r="X307" i="3"/>
  <c r="X300" i="3"/>
  <c r="X256" i="3"/>
  <c r="X213" i="3"/>
  <c r="AC343" i="3"/>
  <c r="N305" i="3"/>
  <c r="AC207" i="3"/>
  <c r="N191" i="3"/>
  <c r="S171" i="3"/>
  <c r="S139" i="3"/>
  <c r="N274" i="3"/>
  <c r="X265" i="3"/>
  <c r="X219" i="3"/>
  <c r="S173" i="3"/>
  <c r="S157" i="3"/>
  <c r="AC108" i="3"/>
  <c r="AC170" i="3"/>
  <c r="S143" i="3"/>
  <c r="AC172" i="3"/>
  <c r="S129" i="3"/>
  <c r="AC162" i="3"/>
  <c r="N101" i="3"/>
  <c r="N85" i="3"/>
  <c r="N69" i="3"/>
  <c r="N53" i="3"/>
  <c r="N37" i="3"/>
  <c r="N21" i="3"/>
  <c r="AC106" i="3"/>
  <c r="N86" i="3"/>
  <c r="N22" i="3"/>
  <c r="N442" i="3"/>
  <c r="X55" i="3"/>
  <c r="N91" i="3"/>
  <c r="N66" i="3"/>
  <c r="N90" i="3"/>
  <c r="X75" i="3"/>
  <c r="N49" i="3"/>
  <c r="AC142" i="3"/>
  <c r="AC103" i="3"/>
  <c r="N58" i="3"/>
  <c r="X33" i="3"/>
  <c r="AC158" i="3"/>
  <c r="X113" i="3"/>
  <c r="N17" i="3"/>
  <c r="X92" i="3"/>
  <c r="X12" i="3"/>
  <c r="N352" i="3"/>
  <c r="N406" i="3"/>
  <c r="X375" i="3"/>
  <c r="N341" i="3"/>
  <c r="S367" i="3"/>
  <c r="N346" i="3"/>
  <c r="X255" i="3"/>
  <c r="S503" i="3"/>
  <c r="S312" i="3"/>
  <c r="AC267" i="3"/>
  <c r="AC277" i="3"/>
  <c r="N20" i="4" s="1"/>
  <c r="X334" i="3"/>
  <c r="S111" i="3"/>
  <c r="N72" i="3"/>
  <c r="AC253" i="3"/>
  <c r="N738" i="3"/>
  <c r="N611" i="3"/>
  <c r="AC547" i="3"/>
  <c r="N544" i="3"/>
  <c r="N521" i="3"/>
  <c r="AC454" i="3"/>
  <c r="AC398" i="3"/>
  <c r="N526" i="3"/>
  <c r="AC489" i="3"/>
  <c r="AC457" i="3"/>
  <c r="S398" i="3"/>
  <c r="AC369" i="3"/>
  <c r="N386" i="3"/>
  <c r="AC479" i="3"/>
  <c r="AC495" i="3"/>
  <c r="AC417" i="3"/>
  <c r="AC363" i="3"/>
  <c r="X761" i="3"/>
  <c r="N734" i="3"/>
  <c r="X737" i="3"/>
  <c r="AC739" i="3"/>
  <c r="X745" i="3"/>
  <c r="X715" i="3"/>
  <c r="S712" i="3"/>
  <c r="X695" i="3"/>
  <c r="S708" i="3"/>
  <c r="X727" i="3"/>
  <c r="AC697" i="3"/>
  <c r="N704" i="3"/>
  <c r="N700" i="3"/>
  <c r="AC657" i="3"/>
  <c r="S732" i="3"/>
  <c r="AC641" i="3"/>
  <c r="AC663" i="3"/>
  <c r="N647" i="3"/>
  <c r="X615" i="3"/>
  <c r="S686" i="3"/>
  <c r="AC659" i="3"/>
  <c r="AC647" i="3"/>
  <c r="N615" i="3"/>
  <c r="N608" i="3"/>
  <c r="S578" i="3"/>
  <c r="N613" i="3"/>
  <c r="N589" i="3"/>
  <c r="S582" i="3"/>
  <c r="H37" i="4" s="1"/>
  <c r="N579" i="3"/>
  <c r="N569" i="3"/>
  <c r="S634" i="3"/>
  <c r="N559" i="3"/>
  <c r="S628" i="3"/>
  <c r="S608" i="3"/>
  <c r="N549" i="3"/>
  <c r="AC533" i="3"/>
  <c r="S620" i="3"/>
  <c r="N535" i="3"/>
  <c r="S641" i="3"/>
  <c r="N527" i="3"/>
  <c r="N623" i="3"/>
  <c r="X539" i="3"/>
  <c r="X596" i="3"/>
  <c r="X554" i="3"/>
  <c r="K35" i="4" s="1"/>
  <c r="X529" i="3"/>
  <c r="N514" i="3"/>
  <c r="X572" i="3"/>
  <c r="S502" i="3"/>
  <c r="S459" i="3"/>
  <c r="S451" i="3"/>
  <c r="S443" i="3"/>
  <c r="S435" i="3"/>
  <c r="S427" i="3"/>
  <c r="S419" i="3"/>
  <c r="S411" i="3"/>
  <c r="S403" i="3"/>
  <c r="S395" i="3"/>
  <c r="S387" i="3"/>
  <c r="S379" i="3"/>
  <c r="X521" i="3"/>
  <c r="X515" i="3"/>
  <c r="S472" i="3"/>
  <c r="AC514" i="3"/>
  <c r="N541" i="3"/>
  <c r="AC492" i="3"/>
  <c r="S504" i="3"/>
  <c r="N412" i="3"/>
  <c r="N380" i="3"/>
  <c r="S517" i="3"/>
  <c r="S454" i="3"/>
  <c r="AC403" i="3"/>
  <c r="S487" i="3"/>
  <c r="X343" i="3"/>
  <c r="X311" i="3"/>
  <c r="AC441" i="3"/>
  <c r="N390" i="3"/>
  <c r="N320" i="3"/>
  <c r="N304" i="3"/>
  <c r="AC569" i="3"/>
  <c r="X451" i="3"/>
  <c r="X359" i="3"/>
  <c r="N533" i="3"/>
  <c r="AC471" i="3"/>
  <c r="X427" i="3"/>
  <c r="X419" i="3"/>
  <c r="X393" i="3"/>
  <c r="N326" i="3"/>
  <c r="X508" i="3"/>
  <c r="AC371" i="3"/>
  <c r="X357" i="3"/>
  <c r="S342" i="3"/>
  <c r="AC397" i="3"/>
  <c r="S500" i="3"/>
  <c r="N426" i="3"/>
  <c r="N338" i="3"/>
  <c r="N330" i="3"/>
  <c r="S436" i="3"/>
  <c r="AC313" i="3"/>
  <c r="N303" i="3"/>
  <c r="X275" i="3"/>
  <c r="X251" i="3"/>
  <c r="N276" i="3"/>
  <c r="N268" i="3"/>
  <c r="N236" i="3"/>
  <c r="X253" i="3"/>
  <c r="AC327" i="3"/>
  <c r="N319" i="3"/>
  <c r="S294" i="3"/>
  <c r="H21" i="4" s="1"/>
  <c r="N243" i="3"/>
  <c r="X301" i="3"/>
  <c r="N277" i="3"/>
  <c r="X266" i="3"/>
  <c r="N198" i="3"/>
  <c r="S320" i="3"/>
  <c r="N308" i="3"/>
  <c r="X215" i="3"/>
  <c r="AC368" i="3"/>
  <c r="N317" i="3"/>
  <c r="N242" i="3"/>
  <c r="X233" i="3"/>
  <c r="N224" i="3"/>
  <c r="N256" i="3"/>
  <c r="X225" i="3"/>
  <c r="X217" i="3"/>
  <c r="S198" i="3"/>
  <c r="S276" i="3"/>
  <c r="X232" i="3"/>
  <c r="N272" i="3"/>
  <c r="S169" i="3"/>
  <c r="N226" i="3"/>
  <c r="X241" i="3"/>
  <c r="S200" i="3"/>
  <c r="X220" i="3"/>
  <c r="AC146" i="3"/>
  <c r="S135" i="3"/>
  <c r="X73" i="3"/>
  <c r="N47" i="3"/>
  <c r="X9" i="3"/>
  <c r="AC116" i="3"/>
  <c r="S181" i="3"/>
  <c r="N76" i="3"/>
  <c r="X31" i="3"/>
  <c r="X15" i="3"/>
  <c r="X7" i="3"/>
  <c r="AC126" i="3"/>
  <c r="X53" i="3"/>
  <c r="N27" i="3"/>
  <c r="X211" i="3"/>
  <c r="X13" i="3"/>
  <c r="X94" i="3"/>
  <c r="N40" i="3"/>
  <c r="X30" i="3"/>
  <c r="N23" i="3"/>
  <c r="N20" i="3"/>
  <c r="N26" i="3"/>
  <c r="X84" i="3"/>
  <c r="X42" i="3"/>
  <c r="X99" i="3"/>
  <c r="N80" i="3"/>
  <c r="X8" i="3"/>
  <c r="N87" i="3"/>
  <c r="N428" i="3"/>
  <c r="AC542" i="3"/>
  <c r="X337" i="3"/>
  <c r="S424" i="3"/>
  <c r="S498" i="3"/>
  <c r="N434" i="3"/>
  <c r="N288" i="3"/>
  <c r="S361" i="3"/>
  <c r="N299" i="3"/>
  <c r="N238" i="3"/>
  <c r="AC335" i="3"/>
  <c r="X271" i="3"/>
  <c r="X247" i="3"/>
  <c r="S244" i="3"/>
  <c r="N192" i="3"/>
  <c r="AC128" i="3"/>
  <c r="X21" i="3"/>
  <c r="X700" i="3"/>
  <c r="X725" i="3"/>
  <c r="S664" i="3"/>
  <c r="N681" i="3"/>
  <c r="AC617" i="3"/>
  <c r="AC601" i="3"/>
  <c r="AC559" i="3"/>
  <c r="N557" i="3"/>
  <c r="S545" i="3"/>
  <c r="X538" i="3"/>
  <c r="AC406" i="3"/>
  <c r="AC382" i="3"/>
  <c r="N518" i="3"/>
  <c r="AC465" i="3"/>
  <c r="N416" i="3"/>
  <c r="S430" i="3"/>
  <c r="AC399" i="3"/>
  <c r="X415" i="3"/>
  <c r="N318" i="3"/>
  <c r="X323" i="3"/>
  <c r="N182" i="3"/>
  <c r="X757" i="3"/>
  <c r="N748" i="3"/>
  <c r="S730" i="3"/>
  <c r="X739" i="3"/>
  <c r="X743" i="3"/>
  <c r="N753" i="3"/>
  <c r="S748" i="3"/>
  <c r="H46" i="4" s="1"/>
  <c r="S706" i="3"/>
  <c r="X746" i="3"/>
  <c r="X726" i="3"/>
  <c r="AC687" i="3"/>
  <c r="AC680" i="3"/>
  <c r="X674" i="3"/>
  <c r="X703" i="3"/>
  <c r="N679" i="3"/>
  <c r="X711" i="3"/>
  <c r="S666" i="3"/>
  <c r="S724" i="3"/>
  <c r="AC653" i="3"/>
  <c r="X692" i="3"/>
  <c r="AC671" i="3"/>
  <c r="S728" i="3"/>
  <c r="S614" i="3"/>
  <c r="S598" i="3"/>
  <c r="AC577" i="3"/>
  <c r="AC571" i="3"/>
  <c r="AC563" i="3"/>
  <c r="AC645" i="3"/>
  <c r="N619" i="3"/>
  <c r="N595" i="3"/>
  <c r="S588" i="3"/>
  <c r="N575" i="3"/>
  <c r="N565" i="3"/>
  <c r="AC561" i="3"/>
  <c r="AC611" i="3"/>
  <c r="X594" i="3"/>
  <c r="AC609" i="3"/>
  <c r="N555" i="3"/>
  <c r="X602" i="3"/>
  <c r="AC557" i="3"/>
  <c r="N512" i="3"/>
  <c r="N551" i="3"/>
  <c r="AC585" i="3"/>
  <c r="S531" i="3"/>
  <c r="S513" i="3"/>
  <c r="AC505" i="3"/>
  <c r="S499" i="3"/>
  <c r="S491" i="3"/>
  <c r="S483" i="3"/>
  <c r="S475" i="3"/>
  <c r="S467" i="3"/>
  <c r="AC450" i="3"/>
  <c r="AC442" i="3"/>
  <c r="AC434" i="3"/>
  <c r="AC426" i="3"/>
  <c r="AC418" i="3"/>
  <c r="AC410" i="3"/>
  <c r="AC402" i="3"/>
  <c r="AC394" i="3"/>
  <c r="AC386" i="3"/>
  <c r="AC378" i="3"/>
  <c r="X522" i="3"/>
  <c r="S464" i="3"/>
  <c r="N432" i="3"/>
  <c r="N400" i="3"/>
  <c r="S434" i="3"/>
  <c r="S426" i="3"/>
  <c r="S418" i="3"/>
  <c r="S410" i="3"/>
  <c r="S402" i="3"/>
  <c r="S394" i="3"/>
  <c r="S386" i="3"/>
  <c r="S378" i="3"/>
  <c r="AC361" i="3"/>
  <c r="AC527" i="3"/>
  <c r="AC415" i="3"/>
  <c r="S524" i="3"/>
  <c r="X447" i="3"/>
  <c r="S375" i="3"/>
  <c r="X512" i="3"/>
  <c r="AC453" i="3"/>
  <c r="X411" i="3"/>
  <c r="N344" i="3"/>
  <c r="AC463" i="3"/>
  <c r="X407" i="3"/>
  <c r="X367" i="3"/>
  <c r="X313" i="3"/>
  <c r="K22" i="4" s="1"/>
  <c r="X305" i="3"/>
  <c r="N350" i="3"/>
  <c r="AC449" i="3"/>
  <c r="X349" i="3"/>
  <c r="S334" i="3"/>
  <c r="AC421" i="3"/>
  <c r="AC555" i="3"/>
  <c r="X371" i="3"/>
  <c r="X299" i="3"/>
  <c r="X227" i="3"/>
  <c r="N332" i="3"/>
  <c r="X325" i="3"/>
  <c r="S292" i="3"/>
  <c r="X262" i="3"/>
  <c r="X254" i="3"/>
  <c r="X246" i="3"/>
  <c r="AC358" i="3"/>
  <c r="N306" i="3"/>
  <c r="X293" i="3"/>
  <c r="X285" i="3"/>
  <c r="X261" i="3"/>
  <c r="N254" i="3"/>
  <c r="S310" i="3"/>
  <c r="N264" i="3"/>
  <c r="N222" i="3"/>
  <c r="X377" i="3"/>
  <c r="N282" i="3"/>
  <c r="X223" i="3"/>
  <c r="AC337" i="3"/>
  <c r="X280" i="3"/>
  <c r="S260" i="3"/>
  <c r="H19" i="4" s="1"/>
  <c r="N285" i="3"/>
  <c r="N232" i="3"/>
  <c r="X209" i="3"/>
  <c r="S190" i="3"/>
  <c r="N300" i="3"/>
  <c r="N218" i="3"/>
  <c r="N202" i="3"/>
  <c r="N186" i="3"/>
  <c r="N248" i="3"/>
  <c r="S228" i="3"/>
  <c r="X221" i="3"/>
  <c r="X189" i="3"/>
  <c r="AC166" i="3"/>
  <c r="AC134" i="3"/>
  <c r="X115" i="3"/>
  <c r="AC168" i="3"/>
  <c r="AC152" i="3"/>
  <c r="S141" i="3"/>
  <c r="S125" i="3"/>
  <c r="AC102" i="3"/>
  <c r="X195" i="3"/>
  <c r="S145" i="3"/>
  <c r="S121" i="3"/>
  <c r="X355" i="3"/>
  <c r="S179" i="3"/>
  <c r="S252" i="3"/>
  <c r="S119" i="3"/>
  <c r="N89" i="3"/>
  <c r="N73" i="3"/>
  <c r="N57" i="3"/>
  <c r="N41" i="3"/>
  <c r="N25" i="3"/>
  <c r="S149" i="3"/>
  <c r="N102" i="3"/>
  <c r="N38" i="3"/>
  <c r="N60" i="3"/>
  <c r="N28" i="3"/>
  <c r="N61" i="3"/>
  <c r="AC122" i="3"/>
  <c r="X95" i="3"/>
  <c r="AC191" i="3"/>
  <c r="N52" i="3"/>
  <c r="N82" i="3"/>
  <c r="N18" i="3"/>
  <c r="N14" i="3"/>
  <c r="X45" i="3"/>
  <c r="L12" i="9" s="1"/>
  <c r="X91" i="3"/>
  <c r="N65" i="3"/>
  <c r="X27" i="3"/>
  <c r="N30" i="3"/>
  <c r="N7" i="3"/>
  <c r="X81" i="3"/>
  <c r="X51" i="3"/>
  <c r="N32" i="3"/>
  <c r="N71" i="3"/>
  <c r="X76" i="3"/>
  <c r="S471" i="3"/>
  <c r="AC265" i="3"/>
  <c r="X263" i="3"/>
  <c r="AC140" i="3"/>
  <c r="X755" i="3"/>
  <c r="S704" i="3"/>
  <c r="N671" i="3"/>
  <c r="AC673" i="3"/>
  <c r="AC595" i="3"/>
  <c r="S546" i="3"/>
  <c r="AC593" i="3"/>
  <c r="N577" i="3"/>
  <c r="S638" i="3"/>
  <c r="H40" i="4" s="1"/>
  <c r="S478" i="3"/>
  <c r="AC525" i="3"/>
  <c r="AC422" i="3"/>
  <c r="AC481" i="3"/>
  <c r="S438" i="3"/>
  <c r="S390" i="3"/>
  <c r="AC490" i="3"/>
  <c r="X431" i="3"/>
  <c r="S359" i="3"/>
  <c r="N740" i="3"/>
  <c r="X741" i="3"/>
  <c r="AC747" i="3"/>
  <c r="N46" i="4" s="1"/>
  <c r="N743" i="3"/>
  <c r="N736" i="3"/>
  <c r="X697" i="3"/>
  <c r="AC729" i="3"/>
  <c r="N45" i="4" s="1"/>
  <c r="X699" i="3"/>
  <c r="X673" i="3"/>
  <c r="X693" i="3"/>
  <c r="N698" i="3"/>
  <c r="X684" i="3"/>
  <c r="N696" i="3"/>
  <c r="X718" i="3"/>
  <c r="S660" i="3"/>
  <c r="S648" i="3"/>
  <c r="AC672" i="3"/>
  <c r="X676" i="3"/>
  <c r="S651" i="3"/>
  <c r="AC644" i="3"/>
  <c r="N672" i="3"/>
  <c r="AC655" i="3"/>
  <c r="AC668" i="3"/>
  <c r="X660" i="3"/>
  <c r="X691" i="3"/>
  <c r="AC682" i="3"/>
  <c r="AC639" i="3"/>
  <c r="AC605" i="3"/>
  <c r="N639" i="3"/>
  <c r="AC597" i="3"/>
  <c r="N633" i="3"/>
  <c r="AC603" i="3"/>
  <c r="S594" i="3"/>
  <c r="N585" i="3"/>
  <c r="AC581" i="3"/>
  <c r="S556" i="3"/>
  <c r="AC631" i="3"/>
  <c r="X634" i="3"/>
  <c r="X578" i="3"/>
  <c r="AC615" i="3"/>
  <c r="X638" i="3"/>
  <c r="K40" i="4" s="1"/>
  <c r="AC633" i="3"/>
  <c r="N547" i="3"/>
  <c r="E35" i="4" s="1"/>
  <c r="AC666" i="3"/>
  <c r="AC613" i="3"/>
  <c r="S510" i="3"/>
  <c r="N506" i="3"/>
  <c r="AC623" i="3"/>
  <c r="N525" i="3"/>
  <c r="N545" i="3"/>
  <c r="AC519" i="3"/>
  <c r="S512" i="3"/>
  <c r="AC496" i="3"/>
  <c r="AC488" i="3"/>
  <c r="AC480" i="3"/>
  <c r="AC472" i="3"/>
  <c r="S449" i="3"/>
  <c r="S441" i="3"/>
  <c r="S433" i="3"/>
  <c r="S425" i="3"/>
  <c r="S417" i="3"/>
  <c r="S409" i="3"/>
  <c r="S401" i="3"/>
  <c r="S393" i="3"/>
  <c r="S385" i="3"/>
  <c r="H26" i="4" s="1"/>
  <c r="S377" i="3"/>
  <c r="N543" i="3"/>
  <c r="S528" i="3"/>
  <c r="S520" i="3"/>
  <c r="S480" i="3"/>
  <c r="AC500" i="3"/>
  <c r="X526" i="3"/>
  <c r="N452" i="3"/>
  <c r="N420" i="3"/>
  <c r="N388" i="3"/>
  <c r="S442" i="3"/>
  <c r="S506" i="3"/>
  <c r="X351" i="3"/>
  <c r="X319" i="3"/>
  <c r="X387" i="3"/>
  <c r="S373" i="3"/>
  <c r="S365" i="3"/>
  <c r="S554" i="3"/>
  <c r="AC425" i="3"/>
  <c r="S374" i="3"/>
  <c r="X321" i="3"/>
  <c r="N519" i="3"/>
  <c r="AC437" i="3"/>
  <c r="N357" i="3"/>
  <c r="X341" i="3"/>
  <c r="AC317" i="3"/>
  <c r="X314" i="3"/>
  <c r="S522" i="3"/>
  <c r="AC393" i="3"/>
  <c r="AC383" i="3"/>
  <c r="N376" i="3"/>
  <c r="X291" i="3"/>
  <c r="X235" i="3"/>
  <c r="N289" i="3"/>
  <c r="AC281" i="3"/>
  <c r="N260" i="3"/>
  <c r="N252" i="3"/>
  <c r="N244" i="3"/>
  <c r="AC387" i="3"/>
  <c r="N348" i="3"/>
  <c r="X318" i="3"/>
  <c r="X277" i="3"/>
  <c r="X269" i="3"/>
  <c r="X403" i="3"/>
  <c r="AC345" i="3"/>
  <c r="S326" i="3"/>
  <c r="N291" i="3"/>
  <c r="N278" i="3"/>
  <c r="N267" i="3"/>
  <c r="AC503" i="3"/>
  <c r="N329" i="3"/>
  <c r="N313" i="3"/>
  <c r="X248" i="3"/>
  <c r="X331" i="3"/>
  <c r="AC319" i="3"/>
  <c r="X257" i="3"/>
  <c r="X439" i="3"/>
  <c r="AC325" i="3"/>
  <c r="AC299" i="3"/>
  <c r="X201" i="3"/>
  <c r="S182" i="3"/>
  <c r="X363" i="3"/>
  <c r="N286" i="3"/>
  <c r="S224" i="3"/>
  <c r="AC120" i="3"/>
  <c r="S155" i="3"/>
  <c r="S123" i="3"/>
  <c r="X196" i="3"/>
  <c r="N223" i="3"/>
  <c r="AC154" i="3"/>
  <c r="S127" i="3"/>
  <c r="S270" i="3"/>
  <c r="S161" i="3"/>
  <c r="AC124" i="3"/>
  <c r="N220" i="3"/>
  <c r="S167" i="3"/>
  <c r="AC110" i="3"/>
  <c r="N99" i="3"/>
  <c r="N83" i="3"/>
  <c r="N67" i="3"/>
  <c r="N51" i="3"/>
  <c r="N35" i="3"/>
  <c r="N19" i="3"/>
  <c r="AC174" i="3"/>
  <c r="X89" i="3"/>
  <c r="N63" i="3"/>
  <c r="X25" i="3"/>
  <c r="S103" i="3"/>
  <c r="AC176" i="3"/>
  <c r="S165" i="3"/>
  <c r="N98" i="3"/>
  <c r="X69" i="3"/>
  <c r="N43" i="3"/>
  <c r="X14" i="3"/>
  <c r="AC160" i="3"/>
  <c r="N84" i="3"/>
  <c r="X77" i="3"/>
  <c r="S163" i="3"/>
  <c r="N120" i="3"/>
  <c r="N56" i="3"/>
  <c r="X46" i="3"/>
  <c r="N94" i="3"/>
  <c r="N62" i="3"/>
  <c r="X71" i="3"/>
  <c r="S133" i="3"/>
  <c r="X74" i="3"/>
  <c r="X88" i="3"/>
  <c r="X56" i="3"/>
  <c r="S474" i="3"/>
  <c r="AC467" i="3"/>
  <c r="N312" i="3"/>
  <c r="N262" i="3"/>
  <c r="AC150" i="3"/>
  <c r="N122" i="3"/>
  <c r="N196" i="3"/>
  <c r="S105" i="3"/>
  <c r="X281" i="3"/>
  <c r="N694" i="3"/>
  <c r="N702" i="3"/>
  <c r="AC649" i="3"/>
  <c r="AC629" i="3"/>
  <c r="X618" i="3"/>
  <c r="K39" i="4" s="1"/>
  <c r="AC523" i="3"/>
  <c r="AC430" i="3"/>
  <c r="AC497" i="3"/>
  <c r="AC529" i="3"/>
  <c r="N34" i="4" s="1"/>
  <c r="AC491" i="3"/>
  <c r="S422" i="3"/>
  <c r="S382" i="3"/>
  <c r="X391" i="3"/>
  <c r="S371" i="3"/>
  <c r="X345" i="3"/>
  <c r="AC468" i="3"/>
  <c r="X756" i="3"/>
  <c r="X751" i="3"/>
  <c r="X759" i="3"/>
  <c r="N739" i="3"/>
  <c r="S722" i="3"/>
  <c r="X744" i="3"/>
  <c r="S710" i="3"/>
  <c r="X690" i="3"/>
  <c r="X730" i="3"/>
  <c r="X701" i="3"/>
  <c r="S677" i="3"/>
  <c r="AC665" i="3"/>
  <c r="S650" i="3"/>
  <c r="X706" i="3"/>
  <c r="X686" i="3"/>
  <c r="S726" i="3"/>
  <c r="H45" i="4" s="1"/>
  <c r="S644" i="3"/>
  <c r="X705" i="3"/>
  <c r="AC669" i="3"/>
  <c r="S652" i="3"/>
  <c r="S602" i="3"/>
  <c r="S678" i="3"/>
  <c r="S576" i="3"/>
  <c r="X664" i="3"/>
  <c r="N591" i="3"/>
  <c r="S584" i="3"/>
  <c r="N581" i="3"/>
  <c r="N571" i="3"/>
  <c r="AC674" i="3"/>
  <c r="N617" i="3"/>
  <c r="X644" i="3"/>
  <c r="X562" i="3"/>
  <c r="X540" i="3"/>
  <c r="X560" i="3"/>
  <c r="N553" i="3"/>
  <c r="N523" i="3"/>
  <c r="X536" i="3"/>
  <c r="X530" i="3"/>
  <c r="X543" i="3"/>
  <c r="S458" i="3"/>
  <c r="AC456" i="3"/>
  <c r="AC448" i="3"/>
  <c r="AC440" i="3"/>
  <c r="AC432" i="3"/>
  <c r="AC424" i="3"/>
  <c r="AC416" i="3"/>
  <c r="AC408" i="3"/>
  <c r="AC400" i="3"/>
  <c r="AC392" i="3"/>
  <c r="AC384" i="3"/>
  <c r="S610" i="3"/>
  <c r="AC579" i="3"/>
  <c r="X525" i="3"/>
  <c r="AC506" i="3"/>
  <c r="S463" i="3"/>
  <c r="AC499" i="3"/>
  <c r="AC466" i="3"/>
  <c r="N408" i="3"/>
  <c r="S376" i="3"/>
  <c r="AC373" i="3"/>
  <c r="AC407" i="3"/>
  <c r="AC374" i="3"/>
  <c r="AC507" i="3"/>
  <c r="AC381" i="3"/>
  <c r="N328" i="3"/>
  <c r="AC357" i="3"/>
  <c r="X329" i="3"/>
  <c r="S492" i="3"/>
  <c r="AC391" i="3"/>
  <c r="N382" i="3"/>
  <c r="AC376" i="3"/>
  <c r="N334" i="3"/>
  <c r="N349" i="3"/>
  <c r="X333" i="3"/>
  <c r="N324" i="3"/>
  <c r="N314" i="3"/>
  <c r="N454" i="3"/>
  <c r="AC413" i="3"/>
  <c r="X443" i="3"/>
  <c r="AC409" i="3"/>
  <c r="X332" i="3"/>
  <c r="X283" i="3"/>
  <c r="X259" i="3"/>
  <c r="N515" i="3"/>
  <c r="AC329" i="3"/>
  <c r="N325" i="3"/>
  <c r="AC273" i="3"/>
  <c r="X385" i="3"/>
  <c r="K26" i="4" s="1"/>
  <c r="N340" i="3"/>
  <c r="N290" i="3"/>
  <c r="N230" i="3"/>
  <c r="X350" i="3"/>
  <c r="X309" i="3"/>
  <c r="X239" i="3"/>
  <c r="X231" i="3"/>
  <c r="N302" i="3"/>
  <c r="N206" i="3"/>
  <c r="N280" i="3"/>
  <c r="AC243" i="3"/>
  <c r="N184" i="3"/>
  <c r="AC259" i="3"/>
  <c r="X193" i="3"/>
  <c r="N234" i="3"/>
  <c r="X197" i="3"/>
  <c r="N294" i="3"/>
  <c r="E21" i="4" s="1"/>
  <c r="AC223" i="3"/>
  <c r="N215" i="3"/>
  <c r="AC180" i="3"/>
  <c r="AC148" i="3"/>
  <c r="AC132" i="3"/>
  <c r="S113" i="3"/>
  <c r="AC293" i="3"/>
  <c r="AC136" i="3"/>
  <c r="S175" i="3"/>
  <c r="AC138" i="3"/>
  <c r="N311" i="3"/>
  <c r="X212" i="3"/>
  <c r="N183" i="3"/>
  <c r="AC112" i="3"/>
  <c r="AC291" i="3"/>
  <c r="X204" i="3"/>
  <c r="K16" i="4" s="1"/>
  <c r="S151" i="3"/>
  <c r="X98" i="3"/>
  <c r="X82" i="3"/>
  <c r="X66" i="3"/>
  <c r="X50" i="3"/>
  <c r="X34" i="3"/>
  <c r="X18" i="3"/>
  <c r="N54" i="3"/>
  <c r="X47" i="3"/>
  <c r="N199" i="3"/>
  <c r="X79" i="3"/>
  <c r="S147" i="3"/>
  <c r="N34" i="3"/>
  <c r="N81" i="3"/>
  <c r="X43" i="3"/>
  <c r="N55" i="3"/>
  <c r="F36" i="9" s="1"/>
  <c r="N42" i="3"/>
  <c r="S216" i="3"/>
  <c r="S115" i="3"/>
  <c r="X10" i="3"/>
  <c r="L76" i="9" s="1"/>
  <c r="S131" i="3"/>
  <c r="X83" i="3"/>
  <c r="N64" i="3"/>
  <c r="N16" i="3"/>
  <c r="X40" i="3"/>
  <c r="X28" i="3"/>
  <c r="T73" i="4" l="1"/>
  <c r="H8" i="4"/>
  <c r="N7" i="4"/>
  <c r="I22" i="9"/>
  <c r="I20" i="9"/>
  <c r="I76" i="9"/>
  <c r="K14" i="4"/>
  <c r="H16" i="4"/>
  <c r="D62" i="4"/>
  <c r="H53" i="4"/>
  <c r="T65" i="4" s="1"/>
  <c r="I54" i="9"/>
  <c r="I37" i="9"/>
  <c r="H7" i="4"/>
  <c r="I14" i="9"/>
  <c r="D67" i="4"/>
  <c r="H28" i="4"/>
  <c r="R68" i="4"/>
  <c r="R53" i="4"/>
  <c r="E31" i="4"/>
  <c r="I19" i="9"/>
  <c r="F62" i="4"/>
  <c r="N53" i="4"/>
  <c r="T75" i="4" s="1"/>
  <c r="S54" i="4"/>
  <c r="S73" i="4"/>
  <c r="H43" i="4"/>
  <c r="I39" i="9"/>
  <c r="N24" i="4"/>
  <c r="I17" i="9"/>
  <c r="D60" i="4"/>
  <c r="C68" i="4"/>
  <c r="F39" i="9"/>
  <c r="C64" i="4"/>
  <c r="F44" i="9"/>
  <c r="L75" i="9"/>
  <c r="L69" i="9"/>
  <c r="L51" i="9"/>
  <c r="L28" i="9"/>
  <c r="L5" i="9"/>
  <c r="E23" i="4"/>
  <c r="T63" i="9"/>
  <c r="E63" i="4"/>
  <c r="L32" i="9"/>
  <c r="L42" i="9"/>
  <c r="O30" i="9"/>
  <c r="F64" i="4"/>
  <c r="N40" i="4"/>
  <c r="L53" i="9"/>
  <c r="L34" i="9"/>
  <c r="L11" i="9"/>
  <c r="K43" i="4"/>
  <c r="H31" i="4"/>
  <c r="F76" i="9"/>
  <c r="F22" i="9"/>
  <c r="F18" i="9"/>
  <c r="K19" i="4"/>
  <c r="H38" i="4"/>
  <c r="K38" i="4"/>
  <c r="E46" i="4"/>
  <c r="O42" i="9"/>
  <c r="L36" i="9"/>
  <c r="E30" i="4"/>
  <c r="N28" i="4"/>
  <c r="E39" i="4"/>
  <c r="N41" i="4"/>
  <c r="E26" i="4"/>
  <c r="H42" i="4"/>
  <c r="F29" i="9"/>
  <c r="E67" i="4"/>
  <c r="L45" i="9"/>
  <c r="L35" i="9"/>
  <c r="H17" i="4"/>
  <c r="N31" i="4"/>
  <c r="L15" i="9"/>
  <c r="L7" i="9"/>
  <c r="F75" i="9"/>
  <c r="H11" i="4"/>
  <c r="H13" i="4"/>
  <c r="H36" i="4"/>
  <c r="I35" i="9"/>
  <c r="I30" i="9"/>
  <c r="H24" i="4"/>
  <c r="K17" i="4"/>
  <c r="I75" i="9"/>
  <c r="R58" i="4"/>
  <c r="R51" i="4"/>
  <c r="N36" i="4"/>
  <c r="R52" i="4"/>
  <c r="R63" i="4"/>
  <c r="D66" i="4"/>
  <c r="S64" i="9"/>
  <c r="I33" i="9"/>
  <c r="F61" i="4"/>
  <c r="N52" i="4"/>
  <c r="T74" i="4" s="1"/>
  <c r="N6" i="4"/>
  <c r="K34" i="4"/>
  <c r="H18" i="4"/>
  <c r="K32" i="4"/>
  <c r="S68" i="4"/>
  <c r="S53" i="4"/>
  <c r="H14" i="4"/>
  <c r="S58" i="4"/>
  <c r="S51" i="4"/>
  <c r="O41" i="9"/>
  <c r="O36" i="9"/>
  <c r="K18" i="4"/>
  <c r="K25" i="4"/>
  <c r="I41" i="9"/>
  <c r="I38" i="9"/>
  <c r="E13" i="4"/>
  <c r="E27" i="4"/>
  <c r="K29" i="4"/>
  <c r="E43" i="4"/>
  <c r="N30" i="4"/>
  <c r="E64" i="4"/>
  <c r="L44" i="9"/>
  <c r="F42" i="9"/>
  <c r="K23" i="4"/>
  <c r="N29" i="4"/>
  <c r="C65" i="4"/>
  <c r="F38" i="9"/>
  <c r="C61" i="4"/>
  <c r="F43" i="9"/>
  <c r="E6" i="4"/>
  <c r="E52" i="4"/>
  <c r="F56" i="9"/>
  <c r="F20" i="9"/>
  <c r="E65" i="4"/>
  <c r="L38" i="9"/>
  <c r="K24" i="4"/>
  <c r="E60" i="4"/>
  <c r="T62" i="9"/>
  <c r="L70" i="9"/>
  <c r="K51" i="4"/>
  <c r="E16" i="4"/>
  <c r="E38" i="4"/>
  <c r="F41" i="9"/>
  <c r="O69" i="9"/>
  <c r="O51" i="9"/>
  <c r="O28" i="9"/>
  <c r="O5" i="9"/>
  <c r="O75" i="9"/>
  <c r="N16" i="4"/>
  <c r="T64" i="9"/>
  <c r="E66" i="4"/>
  <c r="L33" i="9"/>
  <c r="H32" i="4"/>
  <c r="L16" i="9"/>
  <c r="F53" i="9"/>
  <c r="F34" i="9"/>
  <c r="F11" i="9"/>
  <c r="E28" i="4"/>
  <c r="H33" i="4"/>
  <c r="L18" i="9"/>
  <c r="E17" i="4"/>
  <c r="F21" i="9"/>
  <c r="F35" i="9"/>
  <c r="N25" i="4"/>
  <c r="E9" i="4"/>
  <c r="K9" i="4"/>
  <c r="C67" i="4"/>
  <c r="F45" i="9"/>
  <c r="K8" i="4"/>
  <c r="C63" i="4"/>
  <c r="R63" i="9"/>
  <c r="F32" i="9"/>
  <c r="F64" i="9"/>
  <c r="E19" i="4"/>
  <c r="E33" i="4"/>
  <c r="O55" i="9"/>
  <c r="O40" i="9"/>
  <c r="O17" i="9"/>
  <c r="H25" i="4"/>
  <c r="F12" i="9"/>
  <c r="I18" i="9"/>
  <c r="O13" i="9"/>
  <c r="O18" i="9"/>
  <c r="I7" i="9"/>
  <c r="N23" i="4"/>
  <c r="L22" i="9"/>
  <c r="E24" i="4"/>
  <c r="E42" i="4"/>
  <c r="N42" i="4"/>
  <c r="C66" i="4"/>
  <c r="G66" i="4" s="1"/>
  <c r="R64" i="9"/>
  <c r="F33" i="9"/>
  <c r="F65" i="9"/>
  <c r="E8" i="4"/>
  <c r="F6" i="9"/>
  <c r="L41" i="9"/>
  <c r="L6" i="9"/>
  <c r="H20" i="4"/>
  <c r="E20" i="4"/>
  <c r="C62" i="4"/>
  <c r="F54" i="9"/>
  <c r="E53" i="4"/>
  <c r="F37" i="9"/>
  <c r="E7" i="4"/>
  <c r="F14" i="9"/>
  <c r="L13" i="9"/>
  <c r="N26" i="4"/>
  <c r="K46" i="4"/>
  <c r="E22" i="4"/>
  <c r="L55" i="9"/>
  <c r="L40" i="9"/>
  <c r="L17" i="9"/>
  <c r="F30" i="9"/>
  <c r="H34" i="4"/>
  <c r="H29" i="4"/>
  <c r="H35" i="4"/>
  <c r="F69" i="9"/>
  <c r="F51" i="9"/>
  <c r="F28" i="9"/>
  <c r="F5" i="9"/>
  <c r="F55" i="9"/>
  <c r="F40" i="9"/>
  <c r="F17" i="9"/>
  <c r="E15" i="4"/>
  <c r="H27" i="4"/>
  <c r="N27" i="4"/>
  <c r="K45" i="4"/>
  <c r="E62" i="4"/>
  <c r="L54" i="9"/>
  <c r="K7" i="4"/>
  <c r="L37" i="9"/>
  <c r="K53" i="4"/>
  <c r="T70" i="4" s="1"/>
  <c r="L14" i="9"/>
  <c r="L29" i="9"/>
  <c r="F13" i="9"/>
  <c r="N32" i="4"/>
  <c r="H44" i="4"/>
  <c r="H22" i="4"/>
  <c r="L30" i="9"/>
  <c r="L19" i="9"/>
  <c r="F16" i="9"/>
  <c r="F7" i="9"/>
  <c r="F15" i="9"/>
  <c r="K10" i="4"/>
  <c r="E18" i="4"/>
  <c r="N38" i="4"/>
  <c r="E10" i="4"/>
  <c r="E11" i="4"/>
  <c r="E68" i="4"/>
  <c r="L39" i="9"/>
  <c r="H41" i="4"/>
  <c r="O6" i="9"/>
  <c r="H12" i="4"/>
  <c r="K42" i="4"/>
  <c r="E61" i="4"/>
  <c r="L20" i="9"/>
  <c r="L56" i="9"/>
  <c r="K6" i="4"/>
  <c r="K52" i="4"/>
  <c r="T69" i="4" s="1"/>
  <c r="L43" i="9"/>
  <c r="O35" i="9"/>
  <c r="N22" i="4"/>
  <c r="K44" i="4"/>
  <c r="H39" i="4"/>
  <c r="N39" i="4"/>
  <c r="I10" i="9"/>
  <c r="I6" i="9"/>
  <c r="S52" i="4"/>
  <c r="S63" i="4"/>
  <c r="I69" i="9"/>
  <c r="I51" i="9"/>
  <c r="I28" i="9"/>
  <c r="I5" i="9"/>
  <c r="K33" i="4"/>
  <c r="F63" i="4"/>
  <c r="U63" i="9"/>
  <c r="K11" i="4"/>
  <c r="S63" i="9"/>
  <c r="D63" i="4"/>
  <c r="I32" i="9"/>
  <c r="I15" i="9"/>
  <c r="E40" i="4"/>
  <c r="R62" i="9"/>
  <c r="C60" i="4"/>
  <c r="G60" i="4" s="1"/>
  <c r="F70" i="9"/>
  <c r="F31" i="9"/>
  <c r="F52" i="9"/>
  <c r="E51" i="4"/>
  <c r="F19" i="9"/>
  <c r="O53" i="9"/>
  <c r="O34" i="9"/>
  <c r="O11" i="9"/>
  <c r="R73" i="4"/>
  <c r="R54" i="4"/>
  <c r="I29" i="9"/>
  <c r="I42" i="9"/>
  <c r="D65" i="4"/>
  <c r="N21" i="4"/>
  <c r="E36" i="4"/>
  <c r="F65" i="4"/>
  <c r="U62" i="9"/>
  <c r="I55" i="9"/>
  <c r="I70" i="9"/>
  <c r="E25" i="4"/>
  <c r="O29" i="9"/>
  <c r="O19" i="9"/>
  <c r="E12" i="4"/>
  <c r="O76" i="9"/>
  <c r="I53" i="9"/>
  <c r="I34" i="9"/>
  <c r="I11" i="9"/>
  <c r="E14" i="4"/>
  <c r="F67" i="4"/>
  <c r="K12" i="4"/>
  <c r="K47" i="4" s="1"/>
  <c r="E34" i="4"/>
  <c r="E45" i="4"/>
  <c r="K15" i="4"/>
  <c r="O7" i="9"/>
  <c r="L21" i="9"/>
  <c r="K20" i="4"/>
  <c r="K27" i="4"/>
  <c r="N33" i="4"/>
  <c r="F66" i="4"/>
  <c r="D61" i="4"/>
  <c r="H6" i="4"/>
  <c r="H52" i="4"/>
  <c r="T64" i="4" s="1"/>
  <c r="I12" i="9"/>
  <c r="I13" i="9"/>
  <c r="F60" i="4"/>
  <c r="O12" i="9"/>
  <c r="H51" i="4"/>
  <c r="N35" i="4"/>
  <c r="K21" i="4"/>
  <c r="I9" i="9"/>
  <c r="L9" i="9"/>
  <c r="E5" i="4"/>
  <c r="K5" i="4"/>
  <c r="N5" i="4"/>
  <c r="H5" i="4"/>
  <c r="N10" i="4"/>
  <c r="I45" i="9"/>
  <c r="I21" i="9"/>
  <c r="I56" i="9"/>
  <c r="I63" i="9"/>
  <c r="M47" i="4"/>
  <c r="J47" i="4"/>
  <c r="G47" i="4"/>
  <c r="F47" i="4"/>
  <c r="D47" i="4"/>
  <c r="C47" i="4"/>
  <c r="I47" i="4"/>
  <c r="L47" i="4"/>
  <c r="O33" i="9"/>
  <c r="N11" i="4"/>
  <c r="O45" i="9"/>
  <c r="O44" i="9"/>
  <c r="O22" i="9"/>
  <c r="O21" i="9"/>
  <c r="O56" i="9"/>
  <c r="O43" i="9"/>
  <c r="O20" i="9"/>
  <c r="I64" i="9"/>
  <c r="N12" i="4"/>
  <c r="O39" i="9"/>
  <c r="O16" i="9"/>
  <c r="N13" i="4"/>
  <c r="N9" i="4"/>
  <c r="N8" i="4"/>
  <c r="N37" i="4"/>
  <c r="I74" i="9"/>
  <c r="I52" i="9"/>
  <c r="I31" i="9"/>
  <c r="I8" i="9"/>
  <c r="L64" i="9"/>
  <c r="F10" i="9"/>
  <c r="L10" i="9"/>
  <c r="F9" i="9"/>
  <c r="L65" i="9"/>
  <c r="F74" i="9"/>
  <c r="F8" i="9"/>
  <c r="L74" i="9"/>
  <c r="L52" i="9"/>
  <c r="L31" i="9"/>
  <c r="L8" i="9"/>
  <c r="I65" i="9"/>
  <c r="H47" i="4"/>
  <c r="N18" i="4"/>
  <c r="O32" i="9"/>
  <c r="O52" i="9"/>
  <c r="O31" i="9"/>
  <c r="L63" i="9"/>
  <c r="F63" i="9"/>
  <c r="N17" i="4"/>
  <c r="O15" i="9"/>
  <c r="O38" i="9"/>
  <c r="O54" i="9"/>
  <c r="O37" i="9"/>
  <c r="O14" i="9"/>
  <c r="O65" i="9"/>
  <c r="O64" i="9"/>
  <c r="O74" i="9"/>
  <c r="O63" i="9"/>
  <c r="N19" i="4"/>
  <c r="O10" i="9"/>
  <c r="O9" i="9"/>
  <c r="O8" i="9"/>
  <c r="N14" i="4"/>
  <c r="N15" i="4"/>
  <c r="E47" i="4" l="1"/>
  <c r="T60" i="4"/>
  <c r="O53" i="4"/>
  <c r="G68" i="4"/>
  <c r="E54" i="4"/>
  <c r="T58" i="4"/>
  <c r="O51" i="4"/>
  <c r="T51" i="4"/>
  <c r="G62" i="4"/>
  <c r="T53" i="4"/>
  <c r="K54" i="4"/>
  <c r="T68" i="4"/>
  <c r="G61" i="4"/>
  <c r="N54" i="4"/>
  <c r="N47" i="4"/>
  <c r="T63" i="4"/>
  <c r="H54" i="4"/>
  <c r="T52" i="4"/>
  <c r="G67" i="4"/>
  <c r="O52" i="4"/>
  <c r="T59" i="4"/>
  <c r="G64" i="4"/>
  <c r="G63" i="4"/>
  <c r="G65" i="4"/>
  <c r="T54" i="4"/>
</calcChain>
</file>

<file path=xl/sharedStrings.xml><?xml version="1.0" encoding="utf-8"?>
<sst xmlns="http://schemas.openxmlformats.org/spreadsheetml/2006/main" count="5034" uniqueCount="118">
  <si>
    <t>Table 1.  Detailed Results — All Experiments (Raw Counts)</t>
  </si>
  <si>
    <t>14 descriptions  ×  3 LLMs  ×  3 temperatures  ×  3 iterations  ×  2 prompts  =  756 experiments  |  P / R / F1 calculated in 'GT Comparison' sheet</t>
  </si>
  <si>
    <t>Syntactic evaluation</t>
  </si>
  <si>
    <t>Sematic evaluation</t>
  </si>
  <si>
    <t>DRD</t>
  </si>
  <si>
    <t>DT</t>
  </si>
  <si>
    <t>Source</t>
  </si>
  <si>
    <t>LLM</t>
  </si>
  <si>
    <t>Temp</t>
  </si>
  <si>
    <t>Iter</t>
  </si>
  <si>
    <t>Prompt</t>
  </si>
  <si>
    <t>#words</t>
  </si>
  <si>
    <t>#pred</t>
  </si>
  <si>
    <t>#correct</t>
  </si>
  <si>
    <t>Description 01</t>
  </si>
  <si>
    <t>Gemini</t>
  </si>
  <si>
    <t>T=0.2</t>
  </si>
  <si>
    <t>zero</t>
  </si>
  <si>
    <t>few</t>
  </si>
  <si>
    <t>T=0.4</t>
  </si>
  <si>
    <t>T=0.6</t>
  </si>
  <si>
    <t>Llama 3</t>
  </si>
  <si>
    <t>Mistral</t>
  </si>
  <si>
    <t>Description 02</t>
  </si>
  <si>
    <t>Description 03</t>
  </si>
  <si>
    <t>Description 04</t>
  </si>
  <si>
    <t>Description 05</t>
  </si>
  <si>
    <t>Description 06</t>
  </si>
  <si>
    <t>Description 07</t>
  </si>
  <si>
    <t>Description 08</t>
  </si>
  <si>
    <t>Description 09</t>
  </si>
  <si>
    <t>Description 10</t>
  </si>
  <si>
    <t>Description 11</t>
  </si>
  <si>
    <t>Description 12</t>
  </si>
  <si>
    <t>Description 13</t>
  </si>
  <si>
    <t>Description 14</t>
  </si>
  <si>
    <t>LEGEND</t>
  </si>
  <si>
    <t>#truth / #pred / #correct  →  INPUT: enter raw counts here for all 4 element groups</t>
  </si>
  <si>
    <t>Gemini rows</t>
  </si>
  <si>
    <t>Llama 3 rows</t>
  </si>
  <si>
    <t>Mistral rows</t>
  </si>
  <si>
    <t>P / R / F1 are NOT calculated here — they are computed in the 'GT Comparison' sheet from these raw counts</t>
  </si>
  <si>
    <t>GT Input — Ground-Truth Reference Counts  (enter once per description; values flow automatically to GT Comparison)</t>
  </si>
  <si>
    <t>Description</t>
  </si>
  <si>
    <t>Syntactic — DRD</t>
  </si>
  <si>
    <t>Syntactic — Decision Table</t>
  </si>
  <si>
    <t>Semantic — DRD</t>
  </si>
  <si>
    <t>Semantic — Decision Table</t>
  </si>
  <si>
    <t>#truth</t>
  </si>
  <si>
    <t>INSTRUCTIONS</t>
  </si>
  <si>
    <t>Ground-Truth vs. Predicted  ·  Score Comparison Table</t>
  </si>
  <si>
    <t>🟩 Green (cols F–Q) = GT values auto-linked from 'GT Input' sheet — enter there once  ·  🟦 Blue = predicted counts from 'Detailed Results'  ·  P/R/F1 computed here  ·  🟪 Purple delta: positive=model beats GT · negative=below GT</t>
  </si>
  <si>
    <t>EXPERIMENT CONFIG</t>
  </si>
  <si>
    <t>GROUND-TRUTH — Syntactic</t>
  </si>
  <si>
    <t>GROUND-TRUTH — Semantic</t>
  </si>
  <si>
    <t xml:space="preserve">Syntactic evaluation </t>
  </si>
  <si>
    <t>Semantic evaluation</t>
  </si>
  <si>
    <t>Syn DRD</t>
  </si>
  <si>
    <t>Syn DT</t>
  </si>
  <si>
    <t>Sem DRD</t>
  </si>
  <si>
    <t>Sem DT</t>
  </si>
  <si>
    <t>GT #truth</t>
  </si>
  <si>
    <t>P</t>
  </si>
  <si>
    <t>R</t>
  </si>
  <si>
    <t>F1</t>
  </si>
  <si>
    <t>LEGEND &amp; INSTRUCTIONS</t>
  </si>
  <si>
    <t>GT #truth / #pred / #correct (cols F–Q)  →  INPUT: enter once per description — cells are MERGED across all 54 rows in the block, same GT value applies to all</t>
  </si>
  <si>
    <t>GT P / GT R / GT F1 (cols AP–BA)  →  Auto-calculated from GT counts above</t>
  </si>
  <si>
    <t>Predicted Syntactic counts + P/R/F1  →  Counts auto-linked from 'Detailed Results'; P/R/F1 calculated here</t>
  </si>
  <si>
    <t>Predicted Semantic counts + P/R/F1   →  Counts auto-linked from 'Detailed Results'; P/R/F1 calculated here</t>
  </si>
  <si>
    <t>Delta (BB–BM)  →  Predicted P/R/F1 − GT P/R/F1  |  🟢 green = model exceeds GT  |  🔴 red = model below GT</t>
  </si>
  <si>
    <t>Summary — Average Metrics per Description × LLM</t>
  </si>
  <si>
    <t>Averages over all temperatures (0.2/0.4/0.6), iterations (1/2/3), and prompts (1/2) — 18 runs per LLM per description</t>
  </si>
  <si>
    <t>Syntactic DRD</t>
  </si>
  <si>
    <t>Syntactic DT</t>
  </si>
  <si>
    <t>Semantic DRD</t>
  </si>
  <si>
    <t>Semantic DT</t>
  </si>
  <si>
    <t>Avg P</t>
  </si>
  <si>
    <t>Avg R</t>
  </si>
  <si>
    <t>Avg F1</t>
  </si>
  <si>
    <t>averages F1 per DRD, DT</t>
  </si>
  <si>
    <t>NOTE: Fill using AVERAGEIFS from 'GT Comparison' filtering by description + LLM.  Avg ΔF1 = Avg F1 (predicted) − GT F1.</t>
  </si>
  <si>
    <t>SQ5 — Iterations  |  Filter: model + prompt + iteration  (avg over all temps &amp; descriptions)</t>
  </si>
  <si>
    <t>Replace [col] placeholders with actual column letters from your GT Comparison sheet.</t>
  </si>
  <si>
    <t>Model</t>
  </si>
  <si>
    <t>Zero-shot</t>
  </si>
  <si>
    <t>Llama</t>
  </si>
  <si>
    <t>SQ3 — Temperatures  |  Filter: model + prompt + temperature  (avg over all iterations &amp; descriptions)</t>
  </si>
  <si>
    <t>SQ4 — Prompting Strategy  |  Filter: model + prompt  (avg over all temps, iterations &amp; descriptions)</t>
  </si>
  <si>
    <t>Overall Summary  |  No model distinction — one number per variable across ALL models, prompts, descriptions</t>
  </si>
  <si>
    <t>By Temperature</t>
  </si>
  <si>
    <t>By Prompt Strategy</t>
  </si>
  <si>
    <t>By Iteration</t>
  </si>
  <si>
    <t>Iterations</t>
  </si>
  <si>
    <t>LLMs</t>
  </si>
  <si>
    <t>Temperatures</t>
  </si>
  <si>
    <t>prompts</t>
  </si>
  <si>
    <t>gemini</t>
  </si>
  <si>
    <t>average F1</t>
  </si>
  <si>
    <t>average</t>
  </si>
  <si>
    <t xml:space="preserve">few </t>
  </si>
  <si>
    <t xml:space="preserve">mistral </t>
  </si>
  <si>
    <t>llama/groq</t>
  </si>
  <si>
    <t>Syn DRD F1</t>
  </si>
  <si>
    <t>Syn DT F1</t>
  </si>
  <si>
    <t>Sem DRD F1</t>
  </si>
  <si>
    <t>Sem DT F1</t>
  </si>
  <si>
    <t>Overall Avg F1</t>
  </si>
  <si>
    <t>overall averages per model</t>
  </si>
  <si>
    <t>one</t>
  </si>
  <si>
    <t>One-shot</t>
  </si>
  <si>
    <t>Column1</t>
  </si>
  <si>
    <t>Column2</t>
  </si>
  <si>
    <t>Column3</t>
  </si>
  <si>
    <t>Column4</t>
  </si>
  <si>
    <t>Column5</t>
  </si>
  <si>
    <t>Temperature × Model breakdown — model division only (avg over all descriptions, iterations, prompts)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</si>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</sst>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Calibri"/>
      <charset val="1"/>
    </font>
    <font>
      <i/>
      <sz val="8"/>
      <color rgb="FF1F3864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000000"/>
      <name val="Calibri"/>
      <charset val="1"/>
    </font>
    <font>
      <sz val="9"/>
      <color rgb="FF000000"/>
      <name val="Calibri"/>
      <charset val="1"/>
    </font>
    <font>
      <sz val="8"/>
      <color rgb="FF000000"/>
      <name val="Calibri"/>
      <charset val="1"/>
    </font>
    <font>
      <b/>
      <sz val="12"/>
      <color rgb="FFFFFFFF"/>
      <name val="Calibri"/>
      <charset val="1"/>
    </font>
    <font>
      <i/>
      <sz val="8"/>
      <color rgb="FFFFFFFF"/>
      <name val="Calibri"/>
      <charset val="1"/>
    </font>
    <font>
      <sz val="9"/>
      <color rgb="FF276221"/>
      <name val="Calibri"/>
      <charset val="1"/>
    </font>
    <font>
      <i/>
      <sz val="8"/>
      <color rgb="FF000000"/>
      <name val="Calibri"/>
      <charset val="1"/>
    </font>
    <font>
      <i/>
      <sz val="8"/>
      <color rgb="FF595959"/>
      <name val="Calibri"/>
      <charset val="1"/>
    </font>
    <font>
      <sz val="9"/>
      <color rgb="FF000000"/>
      <name val="Calibri"/>
      <family val="2"/>
      <charset val="1"/>
    </font>
    <font>
      <sz val="9"/>
      <color rgb="FF276221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i/>
      <sz val="8"/>
      <color rgb="FF40404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theme="1"/>
      <name val="Calibri"/>
      <family val="2"/>
      <charset val="1"/>
    </font>
    <font>
      <sz val="10"/>
      <color rgb="FF40404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i/>
      <sz val="11"/>
      <color rgb="FF555555"/>
      <name val="Calibri"/>
      <family val="2"/>
      <charset val="1"/>
    </font>
    <font>
      <sz val="11"/>
      <color theme="1"/>
      <name val="Calibri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6E8F5"/>
      </patternFill>
    </fill>
    <fill>
      <patternFill patternType="solid">
        <fgColor rgb="FF2E75B6"/>
        <bgColor rgb="FF1F5C9E"/>
      </patternFill>
    </fill>
    <fill>
      <patternFill patternType="solid">
        <fgColor rgb="FF1D6F42"/>
        <bgColor rgb="FF1A5C35"/>
      </patternFill>
    </fill>
    <fill>
      <patternFill patternType="solid">
        <fgColor rgb="FFEBF3FB"/>
        <bgColor rgb="FFEBF7EE"/>
      </patternFill>
    </fill>
    <fill>
      <patternFill patternType="solid">
        <fgColor rgb="FFFCE4D6"/>
        <bgColor rgb="FFFFF2CC"/>
      </patternFill>
    </fill>
    <fill>
      <patternFill patternType="solid">
        <fgColor rgb="FFD6E8F5"/>
        <bgColor rgb="FFD6E4F0"/>
      </patternFill>
    </fill>
    <fill>
      <patternFill patternType="solid">
        <fgColor rgb="FFD5EFD9"/>
        <bgColor rgb="FFD5EDD5"/>
      </patternFill>
    </fill>
    <fill>
      <patternFill patternType="solid">
        <fgColor rgb="FFEBF7EE"/>
        <bgColor rgb="FFEBF3FB"/>
      </patternFill>
    </fill>
    <fill>
      <patternFill patternType="solid">
        <fgColor rgb="FFF5EDFB"/>
        <bgColor rgb="FFEBF3FB"/>
      </patternFill>
    </fill>
    <fill>
      <patternFill patternType="solid">
        <fgColor rgb="FFEBD9F7"/>
        <bgColor rgb="FFEAD1F5"/>
      </patternFill>
    </fill>
    <fill>
      <patternFill patternType="solid">
        <fgColor rgb="FFFFF2CC"/>
        <bgColor rgb="FFFCE4D6"/>
      </patternFill>
    </fill>
    <fill>
      <patternFill patternType="solid">
        <fgColor rgb="FF1F5C9E"/>
        <bgColor rgb="FF2E75B6"/>
      </patternFill>
    </fill>
    <fill>
      <patternFill patternType="solid">
        <fgColor rgb="FF174D30"/>
        <bgColor rgb="FF1A5C35"/>
      </patternFill>
    </fill>
    <fill>
      <patternFill patternType="solid">
        <fgColor rgb="FFF7FBFF"/>
        <bgColor rgb="FFFFFFFF"/>
      </patternFill>
    </fill>
    <fill>
      <patternFill patternType="solid">
        <fgColor rgb="FFFFFFFF"/>
        <bgColor rgb="FFF7FBFF"/>
      </patternFill>
    </fill>
    <fill>
      <patternFill patternType="solid">
        <fgColor rgb="FFD5EDD5"/>
        <bgColor rgb="FFD5EFD9"/>
      </patternFill>
    </fill>
    <fill>
      <patternFill patternType="solid">
        <fgColor rgb="FF276221"/>
        <bgColor rgb="FF1A5C35"/>
      </patternFill>
    </fill>
    <fill>
      <patternFill patternType="solid">
        <fgColor rgb="FF1A5C35"/>
        <bgColor rgb="FF276221"/>
      </patternFill>
    </fill>
    <fill>
      <patternFill patternType="solid">
        <fgColor rgb="FFD0DFF5"/>
        <bgColor rgb="FFD6E4F0"/>
      </patternFill>
    </fill>
    <fill>
      <patternFill patternType="solid">
        <fgColor rgb="FFE2EFDA"/>
        <bgColor rgb="FFD5EFD9"/>
      </patternFill>
    </fill>
    <fill>
      <patternFill patternType="solid">
        <fgColor rgb="FFD0EDD8"/>
        <bgColor rgb="FFD5EDD5"/>
      </patternFill>
    </fill>
    <fill>
      <patternFill patternType="solid">
        <fgColor rgb="FFEAD1F5"/>
        <bgColor rgb="FFEBD9F7"/>
      </patternFill>
    </fill>
    <fill>
      <patternFill patternType="solid">
        <fgColor rgb="FFF2F2F2"/>
      </patternFill>
    </fill>
    <fill>
      <patternFill patternType="solid">
        <fgColor rgb="FF1D6F42"/>
        <bgColor rgb="FF1F5C9E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6B3FA0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2E5FA3"/>
      </patternFill>
    </fill>
    <fill>
      <patternFill patternType="solid">
        <fgColor rgb="FF595959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BF8F00"/>
      </patternFill>
    </fill>
    <fill>
      <patternFill patternType="solid">
        <fgColor rgb="FF404040"/>
      </patternFill>
    </fill>
    <fill>
      <patternFill patternType="solid">
        <fgColor rgb="FFD0D0D0"/>
      </patternFill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1F38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medium">
        <color rgb="FF1F3864"/>
      </bottom>
      <diagonal/>
    </border>
    <border>
      <left/>
      <right/>
      <top style="thin">
        <color rgb="FFB8CCE4"/>
      </top>
      <bottom style="medium">
        <color rgb="FF1F3864"/>
      </bottom>
      <diagonal/>
    </border>
    <border>
      <left/>
      <right style="thin">
        <color rgb="FFB8CCE4"/>
      </right>
      <top style="thin">
        <color rgb="FFB8CCE4"/>
      </top>
      <bottom style="medium">
        <color rgb="FF1F38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8CCE4"/>
      </left>
      <right style="thin">
        <color rgb="FFB8CCE4"/>
      </right>
      <top style="medium">
        <color rgb="FF1F3864"/>
      </top>
      <bottom style="thin">
        <color indexed="64"/>
      </bottom>
      <diagonal/>
    </border>
    <border>
      <left/>
      <right style="thin">
        <color indexed="64"/>
      </right>
      <top style="medium">
        <color rgb="FF1F38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28" fillId="0" borderId="0" applyFont="0" applyFill="0" applyBorder="0" applyAlignment="0" applyProtection="0"/>
  </cellStyleXfs>
  <cellXfs count="213">
    <xf numFmtId="0" fontId="0" fillId="0" borderId="0" xfId="0"/>
    <xf numFmtId="0" fontId="6" fillId="1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/>
    <xf numFmtId="0" fontId="0" fillId="6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3" borderId="4" xfId="0" applyFill="1" applyBorder="1"/>
    <xf numFmtId="0" fontId="6" fillId="14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center" vertical="center"/>
    </xf>
    <xf numFmtId="1" fontId="0" fillId="7" borderId="4" xfId="0" applyNumberForma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left" vertical="center"/>
    </xf>
    <xf numFmtId="0" fontId="8" fillId="17" borderId="4" xfId="0" applyFont="1" applyFill="1" applyBorder="1" applyAlignment="1">
      <alignment horizontal="center" vertical="center"/>
    </xf>
    <xf numFmtId="0" fontId="0" fillId="18" borderId="4" xfId="0" applyFill="1" applyBorder="1"/>
    <xf numFmtId="0" fontId="11" fillId="19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6" fillId="19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1" fontId="12" fillId="18" borderId="4" xfId="0" applyNumberFormat="1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center" vertical="center"/>
    </xf>
    <xf numFmtId="9" fontId="0" fillId="3" borderId="4" xfId="0" applyNumberFormat="1" applyFill="1" applyBorder="1" applyAlignment="1">
      <alignment horizontal="center" vertical="center"/>
    </xf>
    <xf numFmtId="1" fontId="8" fillId="21" borderId="4" xfId="0" applyNumberFormat="1" applyFont="1" applyFill="1" applyBorder="1" applyAlignment="1">
      <alignment horizontal="center" vertical="center"/>
    </xf>
    <xf numFmtId="9" fontId="0" fillId="21" borderId="4" xfId="0" applyNumberFormat="1" applyFill="1" applyBorder="1" applyAlignment="1">
      <alignment horizontal="center" vertical="center"/>
    </xf>
    <xf numFmtId="1" fontId="8" fillId="22" borderId="4" xfId="0" applyNumberFormat="1" applyFont="1" applyFill="1" applyBorder="1" applyAlignment="1">
      <alignment horizontal="center" vertical="center"/>
    </xf>
    <xf numFmtId="9" fontId="0" fillId="22" borderId="4" xfId="0" applyNumberFormat="1" applyFill="1" applyBorder="1" applyAlignment="1">
      <alignment horizontal="center" vertical="center"/>
    </xf>
    <xf numFmtId="1" fontId="8" fillId="23" borderId="4" xfId="0" applyNumberFormat="1" applyFont="1" applyFill="1" applyBorder="1" applyAlignment="1">
      <alignment horizontal="center" vertical="center"/>
    </xf>
    <xf numFmtId="9" fontId="0" fillId="23" borderId="4" xfId="0" applyNumberFormat="1" applyFill="1" applyBorder="1" applyAlignment="1">
      <alignment horizontal="center" vertical="center"/>
    </xf>
    <xf numFmtId="0" fontId="0" fillId="3" borderId="4" xfId="0" applyFill="1" applyBorder="1"/>
    <xf numFmtId="0" fontId="0" fillId="22" borderId="4" xfId="0" applyFill="1" applyBorder="1"/>
    <xf numFmtId="0" fontId="0" fillId="24" borderId="4" xfId="0" applyFill="1" applyBorder="1"/>
    <xf numFmtId="0" fontId="6" fillId="15" borderId="1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left" vertical="center"/>
    </xf>
    <xf numFmtId="0" fontId="8" fillId="11" borderId="8" xfId="0" applyFont="1" applyFill="1" applyBorder="1" applyAlignment="1">
      <alignment horizontal="center" vertical="center"/>
    </xf>
    <xf numFmtId="1" fontId="12" fillId="18" borderId="8" xfId="0" applyNumberFormat="1" applyFont="1" applyFill="1" applyBorder="1" applyAlignment="1">
      <alignment horizontal="center" vertical="center"/>
    </xf>
    <xf numFmtId="1" fontId="8" fillId="3" borderId="8" xfId="0" applyNumberFormat="1" applyFont="1" applyFill="1" applyBorder="1" applyAlignment="1">
      <alignment horizontal="center" vertical="center"/>
    </xf>
    <xf numFmtId="9" fontId="0" fillId="3" borderId="8" xfId="0" applyNumberFormat="1" applyFill="1" applyBorder="1" applyAlignment="1">
      <alignment horizontal="center" vertical="center"/>
    </xf>
    <xf numFmtId="1" fontId="8" fillId="21" borderId="8" xfId="0" applyNumberFormat="1" applyFont="1" applyFill="1" applyBorder="1" applyAlignment="1">
      <alignment horizontal="center" vertical="center"/>
    </xf>
    <xf numFmtId="9" fontId="0" fillId="21" borderId="8" xfId="0" applyNumberFormat="1" applyFill="1" applyBorder="1" applyAlignment="1">
      <alignment horizontal="center" vertical="center"/>
    </xf>
    <xf numFmtId="1" fontId="8" fillId="22" borderId="8" xfId="0" applyNumberFormat="1" applyFont="1" applyFill="1" applyBorder="1" applyAlignment="1">
      <alignment horizontal="center" vertical="center"/>
    </xf>
    <xf numFmtId="9" fontId="0" fillId="22" borderId="8" xfId="0" applyNumberFormat="1" applyFill="1" applyBorder="1" applyAlignment="1">
      <alignment horizontal="center" vertical="center"/>
    </xf>
    <xf numFmtId="1" fontId="8" fillId="23" borderId="8" xfId="0" applyNumberFormat="1" applyFont="1" applyFill="1" applyBorder="1" applyAlignment="1">
      <alignment horizontal="center" vertical="center"/>
    </xf>
    <xf numFmtId="9" fontId="0" fillId="23" borderId="8" xfId="0" applyNumberFormat="1" applyFill="1" applyBorder="1" applyAlignment="1">
      <alignment horizontal="center" vertical="center"/>
    </xf>
    <xf numFmtId="0" fontId="0" fillId="0" borderId="9" xfId="0" applyBorder="1"/>
    <xf numFmtId="0" fontId="8" fillId="6" borderId="10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center" vertical="center"/>
    </xf>
    <xf numFmtId="1" fontId="12" fillId="18" borderId="10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9" fontId="0" fillId="3" borderId="10" xfId="0" applyNumberFormat="1" applyFill="1" applyBorder="1" applyAlignment="1">
      <alignment horizontal="center" vertical="center"/>
    </xf>
    <xf numFmtId="1" fontId="8" fillId="21" borderId="10" xfId="0" applyNumberFormat="1" applyFont="1" applyFill="1" applyBorder="1" applyAlignment="1">
      <alignment horizontal="center" vertical="center"/>
    </xf>
    <xf numFmtId="9" fontId="0" fillId="21" borderId="10" xfId="0" applyNumberFormat="1" applyFill="1" applyBorder="1" applyAlignment="1">
      <alignment horizontal="center" vertical="center"/>
    </xf>
    <xf numFmtId="1" fontId="8" fillId="22" borderId="10" xfId="0" applyNumberFormat="1" applyFont="1" applyFill="1" applyBorder="1" applyAlignment="1">
      <alignment horizontal="center" vertical="center"/>
    </xf>
    <xf numFmtId="9" fontId="0" fillId="22" borderId="10" xfId="0" applyNumberFormat="1" applyFill="1" applyBorder="1" applyAlignment="1">
      <alignment horizontal="center" vertical="center"/>
    </xf>
    <xf numFmtId="1" fontId="8" fillId="23" borderId="10" xfId="0" applyNumberFormat="1" applyFont="1" applyFill="1" applyBorder="1" applyAlignment="1">
      <alignment horizontal="center" vertical="center"/>
    </xf>
    <xf numFmtId="9" fontId="0" fillId="23" borderId="10" xfId="0" applyNumberForma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left" vertical="center"/>
    </xf>
    <xf numFmtId="0" fontId="15" fillId="11" borderId="8" xfId="0" applyFont="1" applyFill="1" applyBorder="1" applyAlignment="1">
      <alignment horizontal="center" vertical="center"/>
    </xf>
    <xf numFmtId="1" fontId="16" fillId="18" borderId="8" xfId="0" applyNumberFormat="1" applyFont="1" applyFill="1" applyBorder="1" applyAlignment="1">
      <alignment horizontal="center" vertical="center"/>
    </xf>
    <xf numFmtId="1" fontId="15" fillId="3" borderId="8" xfId="0" applyNumberFormat="1" applyFont="1" applyFill="1" applyBorder="1" applyAlignment="1">
      <alignment horizontal="center" vertical="center"/>
    </xf>
    <xf numFmtId="1" fontId="15" fillId="21" borderId="8" xfId="0" applyNumberFormat="1" applyFont="1" applyFill="1" applyBorder="1" applyAlignment="1">
      <alignment horizontal="center" vertical="center"/>
    </xf>
    <xf numFmtId="1" fontId="15" fillId="22" borderId="8" xfId="0" applyNumberFormat="1" applyFont="1" applyFill="1" applyBorder="1" applyAlignment="1">
      <alignment horizontal="center" vertical="center"/>
    </xf>
    <xf numFmtId="1" fontId="15" fillId="23" borderId="8" xfId="0" applyNumberFormat="1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left" vertical="center"/>
    </xf>
    <xf numFmtId="0" fontId="15" fillId="6" borderId="10" xfId="0" applyFont="1" applyFill="1" applyBorder="1" applyAlignment="1">
      <alignment horizontal="center" vertical="center"/>
    </xf>
    <xf numFmtId="1" fontId="16" fillId="18" borderId="10" xfId="0" applyNumberFormat="1" applyFont="1" applyFill="1" applyBorder="1" applyAlignment="1">
      <alignment horizontal="center" vertical="center"/>
    </xf>
    <xf numFmtId="1" fontId="15" fillId="3" borderId="10" xfId="0" applyNumberFormat="1" applyFont="1" applyFill="1" applyBorder="1" applyAlignment="1">
      <alignment horizontal="center" vertical="center"/>
    </xf>
    <xf numFmtId="1" fontId="15" fillId="21" borderId="10" xfId="0" applyNumberFormat="1" applyFont="1" applyFill="1" applyBorder="1" applyAlignment="1">
      <alignment horizontal="center" vertical="center"/>
    </xf>
    <xf numFmtId="1" fontId="15" fillId="22" borderId="10" xfId="0" applyNumberFormat="1" applyFont="1" applyFill="1" applyBorder="1" applyAlignment="1">
      <alignment horizontal="center" vertical="center"/>
    </xf>
    <xf numFmtId="1" fontId="15" fillId="23" borderId="10" xfId="0" applyNumberFormat="1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7" borderId="4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20" fillId="0" borderId="0" xfId="0" applyFont="1"/>
    <xf numFmtId="0" fontId="21" fillId="5" borderId="2" xfId="0" applyFont="1" applyFill="1" applyBorder="1" applyAlignment="1">
      <alignment horizontal="center" vertical="center" wrapText="1"/>
    </xf>
    <xf numFmtId="0" fontId="2" fillId="0" borderId="0" xfId="1"/>
    <xf numFmtId="0" fontId="23" fillId="25" borderId="17" xfId="1" applyFont="1" applyFill="1" applyBorder="1" applyAlignment="1">
      <alignment horizontal="center" vertical="center"/>
    </xf>
    <xf numFmtId="0" fontId="24" fillId="28" borderId="17" xfId="1" applyFont="1" applyFill="1" applyBorder="1" applyAlignment="1">
      <alignment horizontal="center" vertical="center"/>
    </xf>
    <xf numFmtId="0" fontId="25" fillId="30" borderId="17" xfId="1" applyFont="1" applyFill="1" applyBorder="1" applyAlignment="1">
      <alignment horizontal="center" vertical="center"/>
    </xf>
    <xf numFmtId="0" fontId="25" fillId="31" borderId="17" xfId="1" applyFont="1" applyFill="1" applyBorder="1" applyAlignment="1">
      <alignment horizontal="center" vertical="center"/>
    </xf>
    <xf numFmtId="0" fontId="25" fillId="32" borderId="17" xfId="1" applyFont="1" applyFill="1" applyBorder="1" applyAlignment="1">
      <alignment horizontal="center" vertical="center"/>
    </xf>
    <xf numFmtId="0" fontId="25" fillId="33" borderId="17" xfId="1" applyFont="1" applyFill="1" applyBorder="1" applyAlignment="1">
      <alignment horizontal="center" vertical="center"/>
    </xf>
    <xf numFmtId="0" fontId="24" fillId="35" borderId="17" xfId="1" applyFont="1" applyFill="1" applyBorder="1" applyAlignment="1">
      <alignment horizontal="left" vertical="center"/>
    </xf>
    <xf numFmtId="0" fontId="24" fillId="36" borderId="17" xfId="1" applyFont="1" applyFill="1" applyBorder="1" applyAlignment="1">
      <alignment horizontal="left" vertical="center"/>
    </xf>
    <xf numFmtId="0" fontId="23" fillId="27" borderId="17" xfId="1" applyFont="1" applyFill="1" applyBorder="1" applyAlignment="1">
      <alignment horizontal="center" vertical="center"/>
    </xf>
    <xf numFmtId="0" fontId="25" fillId="33" borderId="17" xfId="1" applyFont="1" applyFill="1" applyBorder="1" applyAlignment="1">
      <alignment horizontal="left" vertical="center"/>
    </xf>
    <xf numFmtId="0" fontId="23" fillId="28" borderId="17" xfId="1" applyFont="1" applyFill="1" applyBorder="1" applyAlignment="1">
      <alignment horizontal="center" vertical="center"/>
    </xf>
    <xf numFmtId="0" fontId="23" fillId="35" borderId="17" xfId="1" applyFont="1" applyFill="1" applyBorder="1" applyAlignment="1">
      <alignment horizontal="center" vertical="center"/>
    </xf>
    <xf numFmtId="0" fontId="23" fillId="36" borderId="17" xfId="1" applyFont="1" applyFill="1" applyBorder="1" applyAlignment="1">
      <alignment horizontal="center" vertical="center"/>
    </xf>
    <xf numFmtId="10" fontId="22" fillId="27" borderId="17" xfId="2" applyNumberFormat="1" applyFont="1" applyFill="1" applyBorder="1" applyAlignment="1">
      <alignment horizontal="left" vertical="center" wrapText="1"/>
    </xf>
    <xf numFmtId="10" fontId="22" fillId="29" borderId="17" xfId="2" applyNumberFormat="1" applyFont="1" applyFill="1" applyBorder="1" applyAlignment="1">
      <alignment horizontal="left" vertical="center" wrapText="1"/>
    </xf>
    <xf numFmtId="0" fontId="25" fillId="33" borderId="17" xfId="2" applyNumberFormat="1" applyFont="1" applyFill="1" applyBorder="1" applyAlignment="1">
      <alignment horizontal="center" vertical="center"/>
    </xf>
    <xf numFmtId="0" fontId="25" fillId="32" borderId="17" xfId="2" applyNumberFormat="1" applyFont="1" applyFill="1" applyBorder="1" applyAlignment="1">
      <alignment horizontal="center" vertical="center"/>
    </xf>
    <xf numFmtId="0" fontId="25" fillId="31" borderId="17" xfId="2" applyNumberFormat="1" applyFont="1" applyFill="1" applyBorder="1" applyAlignment="1">
      <alignment horizontal="center" vertical="center"/>
    </xf>
    <xf numFmtId="0" fontId="25" fillId="30" borderId="17" xfId="2" applyNumberFormat="1" applyFont="1" applyFill="1" applyBorder="1" applyAlignment="1">
      <alignment horizontal="center" vertical="center"/>
    </xf>
    <xf numFmtId="0" fontId="25" fillId="33" borderId="17" xfId="2" applyNumberFormat="1" applyFont="1" applyFill="1" applyBorder="1" applyAlignment="1">
      <alignment horizontal="left" vertical="center"/>
    </xf>
    <xf numFmtId="0" fontId="24" fillId="36" borderId="17" xfId="2" applyNumberFormat="1" applyFont="1" applyFill="1" applyBorder="1" applyAlignment="1">
      <alignment horizontal="left" vertical="center"/>
    </xf>
    <xf numFmtId="0" fontId="23" fillId="28" borderId="17" xfId="2" applyNumberFormat="1" applyFont="1" applyFill="1" applyBorder="1" applyAlignment="1">
      <alignment horizontal="center" vertical="center"/>
    </xf>
    <xf numFmtId="0" fontId="23" fillId="27" borderId="17" xfId="2" applyNumberFormat="1" applyFont="1" applyFill="1" applyBorder="1" applyAlignment="1">
      <alignment horizontal="center" vertical="center"/>
    </xf>
    <xf numFmtId="0" fontId="23" fillId="36" borderId="17" xfId="2" applyNumberFormat="1" applyFont="1" applyFill="1" applyBorder="1" applyAlignment="1">
      <alignment horizontal="center" vertical="center"/>
    </xf>
    <xf numFmtId="0" fontId="24" fillId="35" borderId="17" xfId="2" applyNumberFormat="1" applyFont="1" applyFill="1" applyBorder="1" applyAlignment="1">
      <alignment horizontal="left" vertical="center"/>
    </xf>
    <xf numFmtId="0" fontId="23" fillId="35" borderId="17" xfId="2" applyNumberFormat="1" applyFont="1" applyFill="1" applyBorder="1" applyAlignment="1">
      <alignment horizontal="center" vertical="center"/>
    </xf>
    <xf numFmtId="10" fontId="22" fillId="28" borderId="17" xfId="2" applyNumberFormat="1" applyFont="1" applyFill="1" applyBorder="1" applyAlignment="1">
      <alignment horizontal="left" vertical="center" wrapText="1"/>
    </xf>
    <xf numFmtId="0" fontId="1" fillId="0" borderId="0" xfId="1" applyFont="1"/>
    <xf numFmtId="165" fontId="0" fillId="7" borderId="4" xfId="0" applyNumberFormat="1" applyFill="1" applyBorder="1" applyAlignment="1">
      <alignment horizontal="center" vertical="center"/>
    </xf>
    <xf numFmtId="165" fontId="0" fillId="7" borderId="3" xfId="0" applyNumberFormat="1" applyFill="1" applyBorder="1" applyAlignment="1">
      <alignment horizontal="center" vertical="center"/>
    </xf>
    <xf numFmtId="165" fontId="0" fillId="7" borderId="18" xfId="0" applyNumberFormat="1" applyFill="1" applyBorder="1" applyAlignment="1">
      <alignment horizontal="center" vertical="center"/>
    </xf>
    <xf numFmtId="165" fontId="0" fillId="7" borderId="10" xfId="0" applyNumberFormat="1" applyFill="1" applyBorder="1" applyAlignment="1">
      <alignment horizontal="center" vertical="center"/>
    </xf>
    <xf numFmtId="165" fontId="0" fillId="0" borderId="0" xfId="0" applyNumberFormat="1"/>
    <xf numFmtId="165" fontId="0" fillId="0" borderId="0" xfId="2" applyNumberFormat="1" applyFont="1"/>
    <xf numFmtId="165" fontId="0" fillId="41" borderId="0" xfId="2" applyNumberFormat="1" applyFont="1" applyFill="1"/>
    <xf numFmtId="10" fontId="22" fillId="41" borderId="17" xfId="2" applyNumberFormat="1" applyFont="1" applyFill="1" applyBorder="1" applyAlignment="1">
      <alignment horizontal="left" vertical="center" wrapText="1"/>
    </xf>
    <xf numFmtId="165" fontId="0" fillId="41" borderId="4" xfId="0" applyNumberFormat="1" applyFill="1" applyBorder="1" applyAlignment="1">
      <alignment horizontal="center" vertical="center"/>
    </xf>
    <xf numFmtId="165" fontId="0" fillId="41" borderId="3" xfId="0" applyNumberFormat="1" applyFill="1" applyBorder="1" applyAlignment="1">
      <alignment horizontal="center" vertical="center"/>
    </xf>
    <xf numFmtId="165" fontId="0" fillId="41" borderId="19" xfId="0" applyNumberFormat="1" applyFill="1" applyBorder="1"/>
    <xf numFmtId="165" fontId="0" fillId="41" borderId="14" xfId="0" applyNumberFormat="1" applyFill="1" applyBorder="1" applyAlignment="1">
      <alignment horizontal="center" vertical="center"/>
    </xf>
    <xf numFmtId="165" fontId="0" fillId="42" borderId="4" xfId="0" applyNumberFormat="1" applyFill="1" applyBorder="1" applyAlignment="1">
      <alignment horizontal="center" vertical="center"/>
    </xf>
    <xf numFmtId="165" fontId="0" fillId="42" borderId="3" xfId="0" applyNumberFormat="1" applyFill="1" applyBorder="1" applyAlignment="1">
      <alignment horizontal="center" vertical="center"/>
    </xf>
    <xf numFmtId="165" fontId="0" fillId="42" borderId="0" xfId="0" applyNumberFormat="1" applyFill="1" applyAlignment="1">
      <alignment horizontal="center" vertical="center"/>
    </xf>
    <xf numFmtId="0" fontId="25" fillId="0" borderId="17" xfId="1" applyFont="1" applyBorder="1" applyAlignment="1">
      <alignment horizontal="center" vertical="center"/>
    </xf>
    <xf numFmtId="0" fontId="24" fillId="0" borderId="17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10" fontId="29" fillId="0" borderId="17" xfId="2" applyNumberFormat="1" applyFont="1" applyFill="1" applyBorder="1" applyAlignment="1">
      <alignment horizontal="left" vertical="center" wrapText="1"/>
    </xf>
    <xf numFmtId="10" fontId="29" fillId="0" borderId="20" xfId="2" applyNumberFormat="1" applyFont="1" applyFill="1" applyBorder="1" applyAlignment="1">
      <alignment horizontal="left" vertical="center" wrapText="1"/>
    </xf>
    <xf numFmtId="0" fontId="30" fillId="0" borderId="0" xfId="1" applyFont="1"/>
    <xf numFmtId="0" fontId="31" fillId="0" borderId="0" xfId="0" applyFont="1"/>
    <xf numFmtId="0" fontId="20" fillId="0" borderId="21" xfId="0" applyFont="1" applyBorder="1"/>
    <xf numFmtId="0" fontId="20" fillId="0" borderId="21" xfId="0" applyFont="1" applyBorder="1" applyAlignment="1">
      <alignment horizontal="center"/>
    </xf>
    <xf numFmtId="0" fontId="0" fillId="0" borderId="21" xfId="0" applyBorder="1"/>
    <xf numFmtId="10" fontId="0" fillId="0" borderId="21" xfId="2" applyNumberFormat="1" applyFont="1" applyFill="1" applyBorder="1" applyAlignment="1">
      <alignment horizontal="center"/>
    </xf>
    <xf numFmtId="10" fontId="20" fillId="0" borderId="21" xfId="2" applyNumberFormat="1" applyFont="1" applyFill="1" applyBorder="1" applyAlignment="1">
      <alignment horizontal="center"/>
    </xf>
    <xf numFmtId="0" fontId="27" fillId="40" borderId="17" xfId="1" applyFont="1" applyFill="1" applyBorder="1" applyAlignment="1">
      <alignment horizontal="center" vertical="center"/>
    </xf>
    <xf numFmtId="0" fontId="2" fillId="0" borderId="0" xfId="1"/>
    <xf numFmtId="0" fontId="25" fillId="34" borderId="17" xfId="1" applyFont="1" applyFill="1" applyBorder="1" applyAlignment="1">
      <alignment horizontal="center" vertical="center"/>
    </xf>
    <xf numFmtId="0" fontId="32" fillId="0" borderId="0" xfId="1" applyFont="1"/>
    <xf numFmtId="0" fontId="25" fillId="34" borderId="17" xfId="2" applyNumberFormat="1" applyFont="1" applyFill="1" applyBorder="1" applyAlignment="1">
      <alignment horizontal="center" vertical="center"/>
    </xf>
    <xf numFmtId="0" fontId="2" fillId="0" borderId="0" xfId="2" applyNumberFormat="1" applyFont="1" applyAlignment="1"/>
    <xf numFmtId="0" fontId="25" fillId="33" borderId="17" xfId="1" applyFont="1" applyFill="1" applyBorder="1" applyAlignment="1">
      <alignment horizontal="center" vertical="center"/>
    </xf>
    <xf numFmtId="0" fontId="22" fillId="25" borderId="17" xfId="1" applyFont="1" applyFill="1" applyBorder="1" applyAlignment="1">
      <alignment horizontal="left" vertical="center"/>
    </xf>
    <xf numFmtId="0" fontId="25" fillId="30" borderId="17" xfId="1" applyFont="1" applyFill="1" applyBorder="1" applyAlignment="1">
      <alignment horizontal="center" vertical="center"/>
    </xf>
    <xf numFmtId="0" fontId="2" fillId="39" borderId="0" xfId="1" applyFill="1"/>
    <xf numFmtId="0" fontId="25" fillId="33" borderId="17" xfId="2" applyNumberFormat="1" applyFont="1" applyFill="1" applyBorder="1" applyAlignment="1">
      <alignment horizontal="center" vertical="center"/>
    </xf>
    <xf numFmtId="0" fontId="27" fillId="38" borderId="17" xfId="1" applyFont="1" applyFill="1" applyBorder="1" applyAlignment="1">
      <alignment horizontal="center" vertical="center"/>
    </xf>
    <xf numFmtId="0" fontId="25" fillId="31" borderId="17" xfId="1" applyFont="1" applyFill="1" applyBorder="1" applyAlignment="1">
      <alignment horizontal="center" vertical="center"/>
    </xf>
    <xf numFmtId="0" fontId="23" fillId="34" borderId="17" xfId="1" applyFont="1" applyFill="1" applyBorder="1" applyAlignment="1">
      <alignment horizontal="center" vertical="center"/>
    </xf>
    <xf numFmtId="0" fontId="25" fillId="32" borderId="17" xfId="1" applyFont="1" applyFill="1" applyBorder="1" applyAlignment="1">
      <alignment horizontal="center" vertical="center"/>
    </xf>
    <xf numFmtId="0" fontId="26" fillId="33" borderId="17" xfId="1" applyFont="1" applyFill="1" applyBorder="1" applyAlignment="1">
      <alignment horizontal="center" vertical="center"/>
    </xf>
    <xf numFmtId="0" fontId="25" fillId="32" borderId="17" xfId="2" applyNumberFormat="1" applyFont="1" applyFill="1" applyBorder="1" applyAlignment="1">
      <alignment horizontal="center" vertical="center"/>
    </xf>
    <xf numFmtId="0" fontId="25" fillId="30" borderId="17" xfId="2" applyNumberFormat="1" applyFont="1" applyFill="1" applyBorder="1" applyAlignment="1">
      <alignment horizontal="center" vertical="center"/>
    </xf>
    <xf numFmtId="0" fontId="26" fillId="37" borderId="17" xfId="1" applyFont="1" applyFill="1" applyBorder="1" applyAlignment="1">
      <alignment horizontal="center" vertical="center"/>
    </xf>
    <xf numFmtId="0" fontId="26" fillId="32" borderId="17" xfId="1" applyFont="1" applyFill="1" applyBorder="1" applyAlignment="1">
      <alignment horizontal="center" vertical="center"/>
    </xf>
    <xf numFmtId="0" fontId="25" fillId="31" borderId="17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9" borderId="6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0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7" fillId="6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1" fillId="26" borderId="16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13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10" fontId="22" fillId="43" borderId="17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1E68611E-C668-4D8E-92AE-6A1E36EB103A}"/>
    <cellStyle name="Percent" xfId="2" builtinId="5"/>
  </cellStyles>
  <dxfs count="7"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404040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404040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404040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404040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40404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5EDD5"/>
      <rgbColor rgb="FFFF00FF"/>
      <rgbColor rgb="FF00FFFF"/>
      <rgbColor rgb="FF800000"/>
      <rgbColor rgb="FF276221"/>
      <rgbColor rgb="FF000080"/>
      <rgbColor rgb="FF808000"/>
      <rgbColor rgb="FF800080"/>
      <rgbColor rgb="FF1D6F42"/>
      <rgbColor rgb="FFC8E6C9"/>
      <rgbColor rgb="FF808080"/>
      <rgbColor rgb="FFD6E4F0"/>
      <rgbColor rgb="FF7030A0"/>
      <rgbColor rgb="FFFFF2CC"/>
      <rgbColor rgb="FFD6E8F5"/>
      <rgbColor rgb="FF660066"/>
      <rgbColor rgb="FFF7FBFF"/>
      <rgbColor rgb="FF1F5C9E"/>
      <rgbColor rgb="FFB8CCE4"/>
      <rgbColor rgb="FF000080"/>
      <rgbColor rgb="FFFF00FF"/>
      <rgbColor rgb="FFEBF3FB"/>
      <rgbColor rgb="FF00FFFF"/>
      <rgbColor rgb="FF800080"/>
      <rgbColor rgb="FF800000"/>
      <rgbColor rgb="FF008080"/>
      <rgbColor rgb="FF0000FF"/>
      <rgbColor rgb="FF00CCFF"/>
      <rgbColor rgb="FFEBF7EE"/>
      <rgbColor rgb="FFD5EFD9"/>
      <rgbColor rgb="FFE2EFDA"/>
      <rgbColor rgb="FFD0DFF5"/>
      <rgbColor rgb="FFEBD9F7"/>
      <rgbColor rgb="FFEAD1F5"/>
      <rgbColor rgb="FFFCE4D6"/>
      <rgbColor rgb="FF2E75B6"/>
      <rgbColor rgb="FF33CCCC"/>
      <rgbColor rgb="FF99CC00"/>
      <rgbColor rgb="FFF5EDFB"/>
      <rgbColor rgb="FFFF9900"/>
      <rgbColor rgb="FFFF6600"/>
      <rgbColor rgb="FF595959"/>
      <rgbColor rgb="FFD0EDD8"/>
      <rgbColor rgb="FF1F3864"/>
      <rgbColor rgb="FF339966"/>
      <rgbColor rgb="FF003300"/>
      <rgbColor rgb="FF1A5C35"/>
      <rgbColor rgb="FF993300"/>
      <rgbColor rgb="FF993366"/>
      <rgbColor rgb="FF333399"/>
      <rgbColor rgb="FF174D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Syn DRD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(Avg per LLM)'!$R$57</c:f>
              <c:strCache>
                <c:ptCount val="1"/>
                <c:pt idx="0">
                  <c:v>Avg 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(Avg per LLM)'!$Q$58:$Q$60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LLM)'!$R$58:$R$60</c:f>
              <c:numCache>
                <c:formatCode>General</c:formatCode>
                <c:ptCount val="3"/>
                <c:pt idx="0">
                  <c:v>0.97104855311591631</c:v>
                </c:pt>
                <c:pt idx="1">
                  <c:v>0.93479756574994588</c:v>
                </c:pt>
                <c:pt idx="2">
                  <c:v>0.97859085359085329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5-416B-8F67-9BA7C5A6237E}"/>
            </c:ext>
          </c:extLst>
        </c:ser>
        <c:ser>
          <c:idx val="1"/>
          <c:order val="1"/>
          <c:tx>
            <c:strRef>
              <c:f>'Summary (Avg per LLM)'!$S$57</c:f>
              <c:strCache>
                <c:ptCount val="1"/>
                <c:pt idx="0">
                  <c:v>Avg 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(Avg per LLM)'!$Q$58:$Q$60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LLM)'!$S$58:$S$60</c:f>
              <c:numCache>
                <c:formatCode>General</c:formatCode>
                <c:ptCount val="3"/>
                <c:pt idx="0">
                  <c:v>0.84589308398832186</c:v>
                </c:pt>
                <c:pt idx="1">
                  <c:v>0.84894056560723063</c:v>
                </c:pt>
                <c:pt idx="2">
                  <c:v>0.87677930535073345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5-416B-8F67-9BA7C5A6237E}"/>
            </c:ext>
          </c:extLst>
        </c:ser>
        <c:ser>
          <c:idx val="2"/>
          <c:order val="2"/>
          <c:tx>
            <c:strRef>
              <c:f>'Summary (Avg per LLM)'!$T$57</c:f>
              <c:strCache>
                <c:ptCount val="1"/>
                <c:pt idx="0">
                  <c:v>Avg F1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(Avg per LLM)'!$Q$58:$Q$60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LLM)'!$T$58:$T$60</c:f>
              <c:numCache>
                <c:formatCode>General</c:formatCode>
                <c:ptCount val="3"/>
                <c:pt idx="0">
                  <c:v>0.89545782771719218</c:v>
                </c:pt>
                <c:pt idx="1">
                  <c:v>0.87504224576592882</c:v>
                </c:pt>
                <c:pt idx="2">
                  <c:v>0.91553984906575825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5-416B-8F67-9BA7C5A62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328287"/>
        <c:axId val="509328767"/>
      </c:barChart>
      <c:catAx>
        <c:axId val="50932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09328767"/>
        <c:crosses val="autoZero"/>
        <c:auto val="1"/>
        <c:lblAlgn val="ctr"/>
        <c:lblOffset val="100"/>
        <c:noMultiLvlLbl val="0"/>
      </c:catAx>
      <c:valAx>
        <c:axId val="509328767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0932828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Syn 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(Avg per LLM)'!$R$62</c:f>
              <c:strCache>
                <c:ptCount val="1"/>
                <c:pt idx="0">
                  <c:v>Avg 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(Avg per LLM)'!$Q$63:$Q$65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LLM)'!$R$63:$R$65</c:f>
              <c:numCache>
                <c:formatCode>General</c:formatCode>
                <c:ptCount val="3"/>
                <c:pt idx="0">
                  <c:v>0.99074074074074125</c:v>
                </c:pt>
                <c:pt idx="1">
                  <c:v>0.97258139787901676</c:v>
                </c:pt>
                <c:pt idx="2">
                  <c:v>0.99380952380952392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2-43FA-AFEE-AD8C83DCA181}"/>
            </c:ext>
          </c:extLst>
        </c:ser>
        <c:ser>
          <c:idx val="1"/>
          <c:order val="1"/>
          <c:tx>
            <c:strRef>
              <c:f>'Summary (Avg per LLM)'!$S$62</c:f>
              <c:strCache>
                <c:ptCount val="1"/>
                <c:pt idx="0">
                  <c:v>Avg 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(Avg per LLM)'!$Q$63:$Q$65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LLM)'!$S$63:$S$65</c:f>
              <c:numCache>
                <c:formatCode>General</c:formatCode>
                <c:ptCount val="3"/>
                <c:pt idx="0">
                  <c:v>0.78335301974086413</c:v>
                </c:pt>
                <c:pt idx="1">
                  <c:v>0.67821543492361103</c:v>
                </c:pt>
                <c:pt idx="2">
                  <c:v>0.72999542880886759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2-43FA-AFEE-AD8C83DCA181}"/>
            </c:ext>
          </c:extLst>
        </c:ser>
        <c:ser>
          <c:idx val="2"/>
          <c:order val="2"/>
          <c:tx>
            <c:strRef>
              <c:f>'Summary (Avg per LLM)'!$T$62</c:f>
              <c:strCache>
                <c:ptCount val="1"/>
                <c:pt idx="0">
                  <c:v>Avg F1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(Avg per LLM)'!$Q$63:$Q$65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LLM)'!$T$63:$T$65</c:f>
              <c:numCache>
                <c:formatCode>General</c:formatCode>
                <c:ptCount val="3"/>
                <c:pt idx="0">
                  <c:v>0.85737767507672791</c:v>
                </c:pt>
                <c:pt idx="1">
                  <c:v>0.77894495403659703</c:v>
                </c:pt>
                <c:pt idx="2">
                  <c:v>0.82420238491246123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D2-43FA-AFEE-AD8C83DCA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975183"/>
        <c:axId val="489977583"/>
      </c:barChart>
      <c:catAx>
        <c:axId val="48997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89977583"/>
        <c:crosses val="autoZero"/>
        <c:auto val="1"/>
        <c:lblAlgn val="ctr"/>
        <c:lblOffset val="100"/>
        <c:noMultiLvlLbl val="0"/>
      </c:catAx>
      <c:valAx>
        <c:axId val="489977583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8997518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Sem DRD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(Avg per LLM)'!$R$67</c:f>
              <c:strCache>
                <c:ptCount val="1"/>
                <c:pt idx="0">
                  <c:v>Avg 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(Avg per LLM)'!$Q$68:$Q$70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LLM)'!$R$68:$R$70</c:f>
              <c:numCache>
                <c:formatCode>General</c:formatCode>
                <c:ptCount val="3"/>
                <c:pt idx="0">
                  <c:v>0.87489635584873626</c:v>
                </c:pt>
                <c:pt idx="1">
                  <c:v>0.77197232881756628</c:v>
                </c:pt>
                <c:pt idx="2">
                  <c:v>0.85437133413323718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1-4B10-8937-231802AF683C}"/>
            </c:ext>
          </c:extLst>
        </c:ser>
        <c:ser>
          <c:idx val="1"/>
          <c:order val="1"/>
          <c:tx>
            <c:strRef>
              <c:f>'Summary (Avg per LLM)'!$S$67</c:f>
              <c:strCache>
                <c:ptCount val="1"/>
                <c:pt idx="0">
                  <c:v>Avg 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(Avg per LLM)'!$Q$68:$Q$70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LLM)'!$S$68:$S$70</c:f>
              <c:numCache>
                <c:formatCode>General</c:formatCode>
                <c:ptCount val="3"/>
                <c:pt idx="0">
                  <c:v>0.7704632228441739</c:v>
                </c:pt>
                <c:pt idx="1">
                  <c:v>0.71548944882278098</c:v>
                </c:pt>
                <c:pt idx="2">
                  <c:v>0.78232446565779801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1-4B10-8937-231802AF683C}"/>
            </c:ext>
          </c:extLst>
        </c:ser>
        <c:ser>
          <c:idx val="2"/>
          <c:order val="2"/>
          <c:tx>
            <c:strRef>
              <c:f>'Summary (Avg per LLM)'!$T$67</c:f>
              <c:strCache>
                <c:ptCount val="1"/>
                <c:pt idx="0">
                  <c:v>Avg F1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(Avg per LLM)'!$Q$68:$Q$70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LLM)'!$T$68:$T$70</c:f>
              <c:numCache>
                <c:formatCode>General</c:formatCode>
                <c:ptCount val="3"/>
                <c:pt idx="0">
                  <c:v>0.81074950182093097</c:v>
                </c:pt>
                <c:pt idx="1">
                  <c:v>0.76112445540645723</c:v>
                </c:pt>
                <c:pt idx="2">
                  <c:v>0.80976104246412473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1-4B10-8937-231802AF6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200879"/>
        <c:axId val="527201359"/>
      </c:barChart>
      <c:catAx>
        <c:axId val="52720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7201359"/>
        <c:crosses val="autoZero"/>
        <c:auto val="1"/>
        <c:lblAlgn val="ctr"/>
        <c:lblOffset val="100"/>
        <c:noMultiLvlLbl val="0"/>
      </c:catAx>
      <c:valAx>
        <c:axId val="527201359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27200879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Sem 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(Avg per LLM)'!$R$72</c:f>
              <c:strCache>
                <c:ptCount val="1"/>
                <c:pt idx="0">
                  <c:v>Avg 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(Avg per LLM)'!$Q$73:$Q$75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LLM)'!$R$73:$R$75</c:f>
              <c:numCache>
                <c:formatCode>General</c:formatCode>
                <c:ptCount val="3"/>
                <c:pt idx="0">
                  <c:v>0.78331934383644453</c:v>
                </c:pt>
                <c:pt idx="1">
                  <c:v>0.68162303059011653</c:v>
                </c:pt>
                <c:pt idx="2">
                  <c:v>0.76202276566978944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6-4309-84D7-F4AF256F8B88}"/>
            </c:ext>
          </c:extLst>
        </c:ser>
        <c:ser>
          <c:idx val="1"/>
          <c:order val="1"/>
          <c:tx>
            <c:strRef>
              <c:f>'Summary (Avg per LLM)'!$S$72</c:f>
              <c:strCache>
                <c:ptCount val="1"/>
                <c:pt idx="0">
                  <c:v>Avg 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(Avg per LLM)'!$Q$73:$Q$75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LLM)'!$S$73:$S$75</c:f>
              <c:numCache>
                <c:formatCode>General</c:formatCode>
                <c:ptCount val="3"/>
                <c:pt idx="0">
                  <c:v>0.62512894982349954</c:v>
                </c:pt>
                <c:pt idx="1">
                  <c:v>0.4683036008419777</c:v>
                </c:pt>
                <c:pt idx="2">
                  <c:v>0.55509783209109675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6-4309-84D7-F4AF256F8B88}"/>
            </c:ext>
          </c:extLst>
        </c:ser>
        <c:ser>
          <c:idx val="2"/>
          <c:order val="2"/>
          <c:tx>
            <c:strRef>
              <c:f>'Summary (Avg per LLM)'!$T$72</c:f>
              <c:strCache>
                <c:ptCount val="1"/>
                <c:pt idx="0">
                  <c:v>Avg F1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(Avg per LLM)'!$Q$73:$Q$75</c:f>
              <c:strCache>
                <c:ptCount val="3"/>
                <c:pt idx="0">
                  <c:v>Gemini</c:v>
                </c:pt>
                <c:pt idx="1">
                  <c:v>Llama 3</c:v>
                </c:pt>
                <c:pt idx="2">
                  <c:v>Mistral</c:v>
                </c:pt>
              </c:strCache>
            </c:strRef>
          </c:cat>
          <c:val>
            <c:numRef>
              <c:f>'Summary (Avg per LLM)'!$T$73:$T$75</c:f>
              <c:numCache>
                <c:formatCode>General</c:formatCode>
                <c:ptCount val="3"/>
                <c:pt idx="0">
                  <c:v>0.6818357105363495</c:v>
                </c:pt>
                <c:pt idx="1">
                  <c:v>0.53954965097100338</c:v>
                </c:pt>
                <c:pt idx="2">
                  <c:v>0.62872475478303624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6-4309-84D7-F4AF256F8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051999"/>
        <c:axId val="539048159"/>
      </c:barChart>
      <c:catAx>
        <c:axId val="5390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9048159"/>
        <c:crosses val="autoZero"/>
        <c:auto val="1"/>
        <c:lblAlgn val="ctr"/>
        <c:lblOffset val="100"/>
        <c:noMultiLvlLbl val="0"/>
      </c:catAx>
      <c:valAx>
        <c:axId val="539048159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9051999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4566</xdr:colOff>
      <xdr:row>77</xdr:row>
      <xdr:rowOff>184803</xdr:rowOff>
    </xdr:from>
    <xdr:to>
      <xdr:col>12</xdr:col>
      <xdr:colOff>601580</xdr:colOff>
      <xdr:row>93</xdr:row>
      <xdr:rowOff>120317</xdr:rowOff>
    </xdr:to>
    <xdr:graphicFrame macro="">
      <xdr:nvGraphicFramePr>
        <xdr:cNvPr id="76" name="Chart 2">
          <a:extLst>
            <a:ext uri="{FF2B5EF4-FFF2-40B4-BE49-F238E27FC236}">
              <a16:creationId xmlns:a16="http://schemas.microsoft.com/office/drawing/2014/main" id="{E4441809-C9DD-6070-3845-4EE8544D3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19236</xdr:colOff>
      <xdr:row>78</xdr:row>
      <xdr:rowOff>15251</xdr:rowOff>
    </xdr:from>
    <xdr:to>
      <xdr:col>21</xdr:col>
      <xdr:colOff>574841</xdr:colOff>
      <xdr:row>93</xdr:row>
      <xdr:rowOff>133684</xdr:rowOff>
    </xdr:to>
    <xdr:graphicFrame macro="">
      <xdr:nvGraphicFramePr>
        <xdr:cNvPr id="80" name="Chart 3">
          <a:extLst>
            <a:ext uri="{FF2B5EF4-FFF2-40B4-BE49-F238E27FC236}">
              <a16:creationId xmlns:a16="http://schemas.microsoft.com/office/drawing/2014/main" id="{38634C09-4D31-8A13-0034-FBD24181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574842</xdr:colOff>
      <xdr:row>95</xdr:row>
      <xdr:rowOff>40104</xdr:rowOff>
    </xdr:from>
    <xdr:to>
      <xdr:col>13</xdr:col>
      <xdr:colOff>15487</xdr:colOff>
      <xdr:row>110</xdr:row>
      <xdr:rowOff>137685</xdr:rowOff>
    </xdr:to>
    <xdr:graphicFrame macro="">
      <xdr:nvGraphicFramePr>
        <xdr:cNvPr id="77" name="Chart 4">
          <a:extLst>
            <a:ext uri="{FF2B5EF4-FFF2-40B4-BE49-F238E27FC236}">
              <a16:creationId xmlns:a16="http://schemas.microsoft.com/office/drawing/2014/main" id="{7B2B4FE7-EF9B-B8CA-4C94-E354E5F3D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10760</xdr:colOff>
      <xdr:row>95</xdr:row>
      <xdr:rowOff>56008</xdr:rowOff>
    </xdr:from>
    <xdr:to>
      <xdr:col>21</xdr:col>
      <xdr:colOff>561474</xdr:colOff>
      <xdr:row>110</xdr:row>
      <xdr:rowOff>120316</xdr:rowOff>
    </xdr:to>
    <xdr:graphicFrame macro="">
      <xdr:nvGraphicFramePr>
        <xdr:cNvPr id="72" name="Chart 5">
          <a:extLst>
            <a:ext uri="{FF2B5EF4-FFF2-40B4-BE49-F238E27FC236}">
              <a16:creationId xmlns:a16="http://schemas.microsoft.com/office/drawing/2014/main" id="{06ACFA8D-6FDA-29CB-EBB4-CE6C11A55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A550F-B94D-4CBE-8AC3-A68B23BA5E17}" name="Table1" displayName="Table1" ref="Q60:U64" totalsRowShown="0" dataDxfId="6" tableBorderDxfId="5" headerRowCellStyle="Normal 2" dataCellStyle="Percent">
  <autoFilter ref="Q60:U64" xr:uid="{B2DA550F-B94D-4CBE-8AC3-A68B23BA5E17}"/>
  <tableColumns count="5">
    <tableColumn id="1" xr3:uid="{3A38AC6D-071B-48CA-B723-7623B1C8E91F}" name="Column1" dataDxfId="4" dataCellStyle="Normal 2"/>
    <tableColumn id="2" xr3:uid="{6016269A-D4FE-458F-834C-1C6EFD0A193D}" name="Column2" dataDxfId="3" dataCellStyle="Percent"/>
    <tableColumn id="3" xr3:uid="{7FD740DB-7853-4D36-8282-AF29BF668A07}" name="Column3" dataDxfId="2" dataCellStyle="Percent"/>
    <tableColumn id="4" xr3:uid="{923939E0-D8CC-4BF8-8521-F85EA11BE9A9}" name="Column4" dataDxfId="1" dataCellStyle="Percent"/>
    <tableColumn id="5" xr3:uid="{AD7790C0-E37A-4461-B3B9-485329A2890D}" name="Column5" dataDxfId="0" dataCellStyle="Percen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7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0658EA-AEF6-435C-A79B-E9FF5DE3326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a50bb59-0a1d-4a28-804e-25eb3a6ca8c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2"/>
  <sheetViews>
    <sheetView zoomScale="69" zoomScaleNormal="85" workbookViewId="0">
      <pane xSplit="6" ySplit="5" topLeftCell="G63" activePane="bottomRight" state="frozen"/>
      <selection pane="topRight" activeCell="G1" sqref="G1"/>
      <selection pane="bottomLeft" activeCell="A6" sqref="A6"/>
      <selection pane="bottomRight" activeCell="K10" sqref="K10"/>
    </sheetView>
  </sheetViews>
  <sheetFormatPr defaultColWidth="8.6328125" defaultRowHeight="15" customHeight="1" x14ac:dyDescent="0.35"/>
  <cols>
    <col min="1" max="1" width="22" customWidth="1"/>
    <col min="2" max="2" width="10" customWidth="1"/>
    <col min="3" max="3" width="7" customWidth="1"/>
    <col min="4" max="4" width="6" customWidth="1"/>
    <col min="5" max="5" width="9" customWidth="1"/>
    <col min="6" max="6" width="7" customWidth="1"/>
    <col min="7" max="7" width="10.90625" customWidth="1"/>
    <col min="8" max="8" width="10.08984375" customWidth="1"/>
    <col min="9" max="9" width="9.90625" customWidth="1"/>
    <col min="10" max="10" width="10.54296875" customWidth="1"/>
    <col min="11" max="11" width="10" customWidth="1"/>
    <col min="12" max="12" width="10.54296875" customWidth="1"/>
    <col min="13" max="13" width="11.36328125" customWidth="1"/>
    <col min="14" max="14" width="10.6328125" customWidth="1"/>
  </cols>
  <sheetData>
    <row r="1" spans="1:14" ht="25.5" customHeight="1" x14ac:dyDescent="0.35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4" ht="15.75" customHeight="1" x14ac:dyDescent="0.3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</row>
    <row r="3" spans="1:14" ht="21.75" customHeight="1" x14ac:dyDescent="0.35">
      <c r="A3" s="180"/>
      <c r="B3" s="180"/>
      <c r="C3" s="180"/>
      <c r="D3" s="180"/>
      <c r="E3" s="180"/>
      <c r="F3" s="180"/>
      <c r="G3" s="181" t="s">
        <v>2</v>
      </c>
      <c r="H3" s="181"/>
      <c r="I3" s="181" t="s">
        <v>2</v>
      </c>
      <c r="J3" s="181"/>
      <c r="K3" s="182" t="s">
        <v>3</v>
      </c>
      <c r="L3" s="182"/>
      <c r="M3" s="182" t="s">
        <v>3</v>
      </c>
      <c r="N3" s="182"/>
    </row>
    <row r="4" spans="1:14" ht="21.75" customHeight="1" x14ac:dyDescent="0.35">
      <c r="A4" s="180"/>
      <c r="B4" s="180"/>
      <c r="C4" s="180"/>
      <c r="D4" s="180"/>
      <c r="E4" s="180"/>
      <c r="F4" s="180"/>
      <c r="G4" s="183" t="s">
        <v>4</v>
      </c>
      <c r="H4" s="183"/>
      <c r="I4" s="183" t="s">
        <v>5</v>
      </c>
      <c r="J4" s="183"/>
      <c r="K4" s="184" t="s">
        <v>4</v>
      </c>
      <c r="L4" s="184"/>
      <c r="M4" s="184" t="s">
        <v>5</v>
      </c>
      <c r="N4" s="184"/>
    </row>
    <row r="5" spans="1:14" ht="30" customHeight="1" x14ac:dyDescent="0.3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5" t="s">
        <v>12</v>
      </c>
      <c r="H5" s="5" t="s">
        <v>13</v>
      </c>
      <c r="I5" s="5" t="s">
        <v>12</v>
      </c>
      <c r="J5" s="5" t="s">
        <v>13</v>
      </c>
      <c r="K5" s="6" t="s">
        <v>12</v>
      </c>
      <c r="L5" s="6" t="s">
        <v>13</v>
      </c>
      <c r="M5" s="6" t="s">
        <v>12</v>
      </c>
      <c r="N5" s="6" t="s">
        <v>13</v>
      </c>
    </row>
    <row r="6" spans="1:14" ht="15" customHeight="1" x14ac:dyDescent="0.35">
      <c r="A6" s="185" t="s">
        <v>14</v>
      </c>
      <c r="B6" s="7" t="s">
        <v>15</v>
      </c>
      <c r="C6" s="8" t="s">
        <v>16</v>
      </c>
      <c r="D6" s="8">
        <v>1</v>
      </c>
      <c r="E6" s="7" t="s">
        <v>17</v>
      </c>
      <c r="F6" s="186">
        <v>101</v>
      </c>
      <c r="G6" s="9">
        <v>7</v>
      </c>
      <c r="H6" s="9">
        <v>7</v>
      </c>
      <c r="I6" s="9">
        <v>12</v>
      </c>
      <c r="J6" s="9">
        <v>12</v>
      </c>
      <c r="K6" s="9">
        <f>G6</f>
        <v>7</v>
      </c>
      <c r="L6" s="9">
        <v>5</v>
      </c>
      <c r="M6" s="9">
        <f>I6</f>
        <v>12</v>
      </c>
      <c r="N6" s="9">
        <v>12</v>
      </c>
    </row>
    <row r="7" spans="1:14" ht="15" customHeight="1" x14ac:dyDescent="0.35">
      <c r="A7" s="185"/>
      <c r="B7" s="7" t="s">
        <v>15</v>
      </c>
      <c r="C7" s="8" t="s">
        <v>16</v>
      </c>
      <c r="D7" s="8">
        <v>1</v>
      </c>
      <c r="E7" s="7" t="s">
        <v>109</v>
      </c>
      <c r="F7" s="186"/>
      <c r="G7" s="9">
        <v>7</v>
      </c>
      <c r="H7" s="9">
        <v>7</v>
      </c>
      <c r="I7" s="9">
        <v>12</v>
      </c>
      <c r="J7" s="9">
        <v>12</v>
      </c>
      <c r="K7" s="9">
        <f t="shared" ref="K7:K70" si="0">G7</f>
        <v>7</v>
      </c>
      <c r="L7" s="9">
        <v>5</v>
      </c>
      <c r="M7" s="9">
        <f t="shared" ref="M7:M70" si="1">I7</f>
        <v>12</v>
      </c>
      <c r="N7" s="9">
        <v>12</v>
      </c>
    </row>
    <row r="8" spans="1:14" ht="15" customHeight="1" x14ac:dyDescent="0.35">
      <c r="A8" s="185"/>
      <c r="B8" s="10" t="s">
        <v>15</v>
      </c>
      <c r="C8" s="11" t="s">
        <v>16</v>
      </c>
      <c r="D8" s="11">
        <v>2</v>
      </c>
      <c r="E8" s="10" t="s">
        <v>17</v>
      </c>
      <c r="F8" s="186"/>
      <c r="G8" s="9">
        <v>7</v>
      </c>
      <c r="H8" s="9">
        <v>7</v>
      </c>
      <c r="I8" s="9">
        <v>12</v>
      </c>
      <c r="J8" s="9">
        <v>12</v>
      </c>
      <c r="K8" s="9">
        <f t="shared" si="0"/>
        <v>7</v>
      </c>
      <c r="L8" s="9">
        <v>5</v>
      </c>
      <c r="M8" s="9">
        <f t="shared" si="1"/>
        <v>12</v>
      </c>
      <c r="N8" s="9">
        <v>12</v>
      </c>
    </row>
    <row r="9" spans="1:14" ht="15" customHeight="1" x14ac:dyDescent="0.35">
      <c r="A9" s="185"/>
      <c r="B9" s="10" t="s">
        <v>15</v>
      </c>
      <c r="C9" s="11" t="s">
        <v>16</v>
      </c>
      <c r="D9" s="11">
        <v>2</v>
      </c>
      <c r="E9" s="10" t="s">
        <v>109</v>
      </c>
      <c r="F9" s="186"/>
      <c r="G9" s="9">
        <v>5</v>
      </c>
      <c r="H9" s="9">
        <v>5</v>
      </c>
      <c r="I9" s="9">
        <v>12</v>
      </c>
      <c r="J9" s="9">
        <v>12</v>
      </c>
      <c r="K9" s="9">
        <f t="shared" si="0"/>
        <v>5</v>
      </c>
      <c r="L9" s="9">
        <v>3</v>
      </c>
      <c r="M9" s="9">
        <f t="shared" si="1"/>
        <v>12</v>
      </c>
      <c r="N9" s="9">
        <v>12</v>
      </c>
    </row>
    <row r="10" spans="1:14" ht="15" customHeight="1" x14ac:dyDescent="0.35">
      <c r="A10" s="185"/>
      <c r="B10" s="7" t="s">
        <v>15</v>
      </c>
      <c r="C10" s="8" t="s">
        <v>16</v>
      </c>
      <c r="D10" s="8">
        <v>3</v>
      </c>
      <c r="E10" s="7" t="s">
        <v>17</v>
      </c>
      <c r="F10" s="186"/>
      <c r="G10" s="97">
        <v>7</v>
      </c>
      <c r="H10" s="97">
        <v>7</v>
      </c>
      <c r="I10" s="97">
        <v>12</v>
      </c>
      <c r="J10" s="97">
        <v>12</v>
      </c>
      <c r="K10" s="97">
        <f t="shared" si="0"/>
        <v>7</v>
      </c>
      <c r="L10" s="97">
        <v>5</v>
      </c>
      <c r="M10" s="97">
        <f t="shared" si="1"/>
        <v>12</v>
      </c>
      <c r="N10" s="97">
        <v>12</v>
      </c>
    </row>
    <row r="11" spans="1:14" ht="15" customHeight="1" x14ac:dyDescent="0.35">
      <c r="A11" s="185"/>
      <c r="B11" s="7" t="s">
        <v>15</v>
      </c>
      <c r="C11" s="8" t="s">
        <v>16</v>
      </c>
      <c r="D11" s="8">
        <v>3</v>
      </c>
      <c r="E11" s="7" t="s">
        <v>109</v>
      </c>
      <c r="F11" s="186"/>
      <c r="G11" s="9">
        <v>5</v>
      </c>
      <c r="H11" s="9">
        <v>4</v>
      </c>
      <c r="I11" s="9">
        <v>12</v>
      </c>
      <c r="J11" s="9">
        <v>12</v>
      </c>
      <c r="K11" s="9">
        <f t="shared" si="0"/>
        <v>5</v>
      </c>
      <c r="L11" s="9">
        <v>5</v>
      </c>
      <c r="M11" s="9">
        <f t="shared" si="1"/>
        <v>12</v>
      </c>
      <c r="N11" s="9">
        <v>12</v>
      </c>
    </row>
    <row r="12" spans="1:14" ht="15" customHeight="1" x14ac:dyDescent="0.35">
      <c r="A12" s="185"/>
      <c r="B12" s="10" t="s">
        <v>15</v>
      </c>
      <c r="C12" s="11" t="s">
        <v>19</v>
      </c>
      <c r="D12" s="11">
        <v>1</v>
      </c>
      <c r="E12" s="10" t="s">
        <v>17</v>
      </c>
      <c r="F12" s="186"/>
      <c r="G12" s="9">
        <v>7</v>
      </c>
      <c r="H12" s="9">
        <v>7</v>
      </c>
      <c r="I12" s="9">
        <v>12</v>
      </c>
      <c r="J12" s="9">
        <v>12</v>
      </c>
      <c r="K12" s="9">
        <f t="shared" si="0"/>
        <v>7</v>
      </c>
      <c r="L12" s="9">
        <v>5</v>
      </c>
      <c r="M12" s="9">
        <f t="shared" si="1"/>
        <v>12</v>
      </c>
      <c r="N12" s="9">
        <v>12</v>
      </c>
    </row>
    <row r="13" spans="1:14" ht="15" customHeight="1" x14ac:dyDescent="0.35">
      <c r="A13" s="185"/>
      <c r="B13" s="10" t="s">
        <v>15</v>
      </c>
      <c r="C13" s="11" t="s">
        <v>19</v>
      </c>
      <c r="D13" s="11">
        <v>1</v>
      </c>
      <c r="E13" s="10" t="s">
        <v>109</v>
      </c>
      <c r="F13" s="186"/>
      <c r="G13" s="9">
        <v>7</v>
      </c>
      <c r="H13" s="9">
        <v>7</v>
      </c>
      <c r="I13" s="9">
        <v>12</v>
      </c>
      <c r="J13" s="9">
        <v>12</v>
      </c>
      <c r="K13" s="9">
        <f t="shared" si="0"/>
        <v>7</v>
      </c>
      <c r="L13" s="9">
        <v>5</v>
      </c>
      <c r="M13" s="9">
        <f t="shared" si="1"/>
        <v>12</v>
      </c>
      <c r="N13" s="9">
        <v>12</v>
      </c>
    </row>
    <row r="14" spans="1:14" ht="15" customHeight="1" x14ac:dyDescent="0.35">
      <c r="A14" s="185"/>
      <c r="B14" s="7" t="s">
        <v>15</v>
      </c>
      <c r="C14" s="8" t="s">
        <v>19</v>
      </c>
      <c r="D14" s="8">
        <v>2</v>
      </c>
      <c r="E14" s="7" t="s">
        <v>17</v>
      </c>
      <c r="F14" s="186"/>
      <c r="G14" s="9">
        <v>5</v>
      </c>
      <c r="H14" s="9">
        <v>4</v>
      </c>
      <c r="I14" s="9">
        <v>12</v>
      </c>
      <c r="J14" s="9">
        <v>12</v>
      </c>
      <c r="K14" s="9">
        <f t="shared" si="0"/>
        <v>5</v>
      </c>
      <c r="L14" s="9">
        <v>5</v>
      </c>
      <c r="M14" s="9">
        <f t="shared" si="1"/>
        <v>12</v>
      </c>
      <c r="N14" s="9">
        <v>12</v>
      </c>
    </row>
    <row r="15" spans="1:14" ht="15" customHeight="1" x14ac:dyDescent="0.35">
      <c r="A15" s="185"/>
      <c r="B15" s="7" t="s">
        <v>15</v>
      </c>
      <c r="C15" s="8" t="s">
        <v>19</v>
      </c>
      <c r="D15" s="8">
        <v>2</v>
      </c>
      <c r="E15" s="7" t="s">
        <v>109</v>
      </c>
      <c r="F15" s="186"/>
      <c r="G15" s="9">
        <v>7</v>
      </c>
      <c r="H15" s="9">
        <v>7</v>
      </c>
      <c r="I15" s="9">
        <v>12</v>
      </c>
      <c r="J15" s="9">
        <v>12</v>
      </c>
      <c r="K15" s="9">
        <f t="shared" si="0"/>
        <v>7</v>
      </c>
      <c r="L15" s="9">
        <v>5</v>
      </c>
      <c r="M15" s="9">
        <f t="shared" si="1"/>
        <v>12</v>
      </c>
      <c r="N15" s="9">
        <v>12</v>
      </c>
    </row>
    <row r="16" spans="1:14" ht="15" customHeight="1" x14ac:dyDescent="0.35">
      <c r="A16" s="185"/>
      <c r="B16" s="10" t="s">
        <v>15</v>
      </c>
      <c r="C16" s="11" t="s">
        <v>19</v>
      </c>
      <c r="D16" s="11">
        <v>3</v>
      </c>
      <c r="E16" s="10" t="s">
        <v>17</v>
      </c>
      <c r="F16" s="186"/>
      <c r="G16" s="9">
        <v>5</v>
      </c>
      <c r="H16" s="9">
        <v>4</v>
      </c>
      <c r="I16" s="9">
        <v>12</v>
      </c>
      <c r="J16" s="9">
        <v>12</v>
      </c>
      <c r="K16" s="9">
        <f t="shared" si="0"/>
        <v>5</v>
      </c>
      <c r="L16" s="9">
        <v>5</v>
      </c>
      <c r="M16" s="9">
        <f t="shared" si="1"/>
        <v>12</v>
      </c>
      <c r="N16" s="9">
        <v>12</v>
      </c>
    </row>
    <row r="17" spans="1:14" ht="15" customHeight="1" x14ac:dyDescent="0.35">
      <c r="A17" s="185"/>
      <c r="B17" s="10" t="s">
        <v>15</v>
      </c>
      <c r="C17" s="11" t="s">
        <v>19</v>
      </c>
      <c r="D17" s="11">
        <v>3</v>
      </c>
      <c r="E17" s="10" t="s">
        <v>109</v>
      </c>
      <c r="F17" s="186"/>
      <c r="G17" s="9">
        <v>7</v>
      </c>
      <c r="H17" s="9">
        <v>7</v>
      </c>
      <c r="I17" s="9">
        <v>12</v>
      </c>
      <c r="J17" s="9">
        <v>12</v>
      </c>
      <c r="K17" s="9">
        <f t="shared" si="0"/>
        <v>7</v>
      </c>
      <c r="L17" s="9">
        <v>5</v>
      </c>
      <c r="M17" s="9">
        <f t="shared" si="1"/>
        <v>12</v>
      </c>
      <c r="N17" s="9">
        <v>12</v>
      </c>
    </row>
    <row r="18" spans="1:14" ht="15" customHeight="1" x14ac:dyDescent="0.35">
      <c r="A18" s="185"/>
      <c r="B18" s="7" t="s">
        <v>15</v>
      </c>
      <c r="C18" s="8" t="s">
        <v>20</v>
      </c>
      <c r="D18" s="8">
        <v>1</v>
      </c>
      <c r="E18" s="7" t="s">
        <v>17</v>
      </c>
      <c r="F18" s="186"/>
      <c r="G18" s="9">
        <v>5</v>
      </c>
      <c r="H18" s="9">
        <v>4</v>
      </c>
      <c r="I18" s="9">
        <v>12</v>
      </c>
      <c r="J18" s="9">
        <v>12</v>
      </c>
      <c r="K18" s="9">
        <f t="shared" si="0"/>
        <v>5</v>
      </c>
      <c r="L18" s="9">
        <v>5</v>
      </c>
      <c r="M18" s="9">
        <f t="shared" si="1"/>
        <v>12</v>
      </c>
      <c r="N18" s="9">
        <v>12</v>
      </c>
    </row>
    <row r="19" spans="1:14" ht="15" customHeight="1" x14ac:dyDescent="0.35">
      <c r="A19" s="185"/>
      <c r="B19" s="7" t="s">
        <v>15</v>
      </c>
      <c r="C19" s="8" t="s">
        <v>20</v>
      </c>
      <c r="D19" s="8">
        <v>1</v>
      </c>
      <c r="E19" s="7" t="s">
        <v>109</v>
      </c>
      <c r="F19" s="186"/>
      <c r="G19" s="9">
        <v>7</v>
      </c>
      <c r="H19" s="9">
        <v>7</v>
      </c>
      <c r="I19" s="9">
        <v>12</v>
      </c>
      <c r="J19" s="9">
        <v>12</v>
      </c>
      <c r="K19" s="9">
        <f t="shared" si="0"/>
        <v>7</v>
      </c>
      <c r="L19" s="9">
        <v>5</v>
      </c>
      <c r="M19" s="9">
        <f t="shared" si="1"/>
        <v>12</v>
      </c>
      <c r="N19" s="9">
        <v>12</v>
      </c>
    </row>
    <row r="20" spans="1:14" ht="15" customHeight="1" x14ac:dyDescent="0.35">
      <c r="A20" s="185"/>
      <c r="B20" s="10" t="s">
        <v>15</v>
      </c>
      <c r="C20" s="11" t="s">
        <v>20</v>
      </c>
      <c r="D20" s="11">
        <v>2</v>
      </c>
      <c r="E20" s="10" t="s">
        <v>17</v>
      </c>
      <c r="F20" s="186"/>
      <c r="G20" s="9">
        <v>5</v>
      </c>
      <c r="H20" s="9">
        <v>4</v>
      </c>
      <c r="I20" s="9">
        <v>12</v>
      </c>
      <c r="J20" s="9">
        <v>12</v>
      </c>
      <c r="K20" s="9">
        <f t="shared" si="0"/>
        <v>5</v>
      </c>
      <c r="L20" s="9">
        <v>5</v>
      </c>
      <c r="M20" s="9">
        <f t="shared" si="1"/>
        <v>12</v>
      </c>
      <c r="N20" s="9">
        <v>12</v>
      </c>
    </row>
    <row r="21" spans="1:14" ht="15" customHeight="1" x14ac:dyDescent="0.35">
      <c r="A21" s="185"/>
      <c r="B21" s="10" t="s">
        <v>15</v>
      </c>
      <c r="C21" s="11" t="s">
        <v>20</v>
      </c>
      <c r="D21" s="11">
        <v>2</v>
      </c>
      <c r="E21" s="10" t="s">
        <v>109</v>
      </c>
      <c r="F21" s="186"/>
      <c r="G21" s="9">
        <v>7</v>
      </c>
      <c r="H21" s="9">
        <v>7</v>
      </c>
      <c r="I21" s="9">
        <v>12</v>
      </c>
      <c r="J21" s="9">
        <v>12</v>
      </c>
      <c r="K21" s="9">
        <f t="shared" si="0"/>
        <v>7</v>
      </c>
      <c r="L21" s="9">
        <v>5</v>
      </c>
      <c r="M21" s="9">
        <f t="shared" si="1"/>
        <v>12</v>
      </c>
      <c r="N21" s="9">
        <v>12</v>
      </c>
    </row>
    <row r="22" spans="1:14" ht="15" customHeight="1" x14ac:dyDescent="0.35">
      <c r="A22" s="185"/>
      <c r="B22" s="7" t="s">
        <v>15</v>
      </c>
      <c r="C22" s="8" t="s">
        <v>20</v>
      </c>
      <c r="D22" s="8">
        <v>3</v>
      </c>
      <c r="E22" s="7" t="s">
        <v>17</v>
      </c>
      <c r="F22" s="186"/>
      <c r="G22" s="9">
        <v>7</v>
      </c>
      <c r="H22" s="9">
        <v>7</v>
      </c>
      <c r="I22" s="9">
        <v>12</v>
      </c>
      <c r="J22" s="9">
        <v>12</v>
      </c>
      <c r="K22" s="9">
        <f t="shared" si="0"/>
        <v>7</v>
      </c>
      <c r="L22" s="9">
        <v>5</v>
      </c>
      <c r="M22" s="9">
        <f t="shared" si="1"/>
        <v>12</v>
      </c>
      <c r="N22" s="9">
        <v>12</v>
      </c>
    </row>
    <row r="23" spans="1:14" ht="15" customHeight="1" x14ac:dyDescent="0.35">
      <c r="A23" s="185"/>
      <c r="B23" s="7" t="s">
        <v>15</v>
      </c>
      <c r="C23" s="8" t="s">
        <v>20</v>
      </c>
      <c r="D23" s="8">
        <v>3</v>
      </c>
      <c r="E23" s="7" t="s">
        <v>109</v>
      </c>
      <c r="F23" s="186"/>
      <c r="G23" s="9">
        <v>5</v>
      </c>
      <c r="H23" s="9">
        <v>5</v>
      </c>
      <c r="I23" s="9">
        <v>12</v>
      </c>
      <c r="J23" s="9">
        <v>12</v>
      </c>
      <c r="K23" s="9">
        <f t="shared" si="0"/>
        <v>5</v>
      </c>
      <c r="L23" s="9">
        <v>3</v>
      </c>
      <c r="M23" s="9">
        <f t="shared" si="1"/>
        <v>12</v>
      </c>
      <c r="N23" s="9">
        <v>12</v>
      </c>
    </row>
    <row r="24" spans="1:14" ht="15" customHeight="1" x14ac:dyDescent="0.35">
      <c r="A24" s="185"/>
      <c r="B24" s="12" t="s">
        <v>21</v>
      </c>
      <c r="C24" s="13" t="s">
        <v>16</v>
      </c>
      <c r="D24" s="13">
        <v>1</v>
      </c>
      <c r="E24" s="12" t="s">
        <v>17</v>
      </c>
      <c r="F24" s="186"/>
      <c r="G24" s="9">
        <v>9</v>
      </c>
      <c r="H24" s="9">
        <v>9</v>
      </c>
      <c r="I24" s="9">
        <v>18</v>
      </c>
      <c r="J24" s="9">
        <v>18</v>
      </c>
      <c r="K24" s="9">
        <f t="shared" si="0"/>
        <v>9</v>
      </c>
      <c r="L24" s="9">
        <v>9</v>
      </c>
      <c r="M24" s="9">
        <f t="shared" si="1"/>
        <v>18</v>
      </c>
      <c r="N24" s="9">
        <v>18</v>
      </c>
    </row>
    <row r="25" spans="1:14" ht="15" customHeight="1" x14ac:dyDescent="0.35">
      <c r="A25" s="185"/>
      <c r="B25" s="12" t="s">
        <v>21</v>
      </c>
      <c r="C25" s="13" t="s">
        <v>16</v>
      </c>
      <c r="D25" s="13">
        <v>1</v>
      </c>
      <c r="E25" s="12" t="s">
        <v>109</v>
      </c>
      <c r="F25" s="186"/>
      <c r="G25" s="9">
        <v>7</v>
      </c>
      <c r="H25" s="9">
        <v>7</v>
      </c>
      <c r="I25" s="9">
        <v>6</v>
      </c>
      <c r="J25" s="9">
        <v>6</v>
      </c>
      <c r="K25" s="9">
        <f t="shared" si="0"/>
        <v>7</v>
      </c>
      <c r="L25" s="9">
        <v>5</v>
      </c>
      <c r="M25" s="9">
        <f t="shared" si="1"/>
        <v>6</v>
      </c>
      <c r="N25" s="9">
        <v>6</v>
      </c>
    </row>
    <row r="26" spans="1:14" ht="15" customHeight="1" x14ac:dyDescent="0.35">
      <c r="A26" s="185"/>
      <c r="B26" s="14" t="s">
        <v>21</v>
      </c>
      <c r="C26" s="15" t="s">
        <v>16</v>
      </c>
      <c r="D26" s="15">
        <v>2</v>
      </c>
      <c r="E26" s="14" t="s">
        <v>17</v>
      </c>
      <c r="F26" s="186"/>
      <c r="G26" s="9">
        <v>9</v>
      </c>
      <c r="H26" s="9">
        <v>9</v>
      </c>
      <c r="I26" s="9">
        <v>18</v>
      </c>
      <c r="J26" s="9">
        <v>18</v>
      </c>
      <c r="K26" s="9">
        <f t="shared" si="0"/>
        <v>9</v>
      </c>
      <c r="L26" s="9">
        <v>9</v>
      </c>
      <c r="M26" s="9">
        <f t="shared" si="1"/>
        <v>18</v>
      </c>
      <c r="N26" s="9">
        <v>18</v>
      </c>
    </row>
    <row r="27" spans="1:14" ht="15" customHeight="1" x14ac:dyDescent="0.35">
      <c r="A27" s="185"/>
      <c r="B27" s="14" t="s">
        <v>21</v>
      </c>
      <c r="C27" s="15" t="s">
        <v>16</v>
      </c>
      <c r="D27" s="15">
        <v>2</v>
      </c>
      <c r="E27" s="14" t="s">
        <v>109</v>
      </c>
      <c r="F27" s="186"/>
      <c r="G27" s="9">
        <v>7</v>
      </c>
      <c r="H27" s="9">
        <v>7</v>
      </c>
      <c r="I27" s="9">
        <v>6</v>
      </c>
      <c r="J27" s="9">
        <f>18-13</f>
        <v>5</v>
      </c>
      <c r="K27" s="9">
        <f t="shared" si="0"/>
        <v>7</v>
      </c>
      <c r="L27" s="9">
        <v>5</v>
      </c>
      <c r="M27" s="9">
        <f t="shared" si="1"/>
        <v>6</v>
      </c>
      <c r="N27" s="9">
        <v>6</v>
      </c>
    </row>
    <row r="28" spans="1:14" ht="15" customHeight="1" x14ac:dyDescent="0.35">
      <c r="A28" s="185"/>
      <c r="B28" s="12" t="s">
        <v>21</v>
      </c>
      <c r="C28" s="13" t="s">
        <v>16</v>
      </c>
      <c r="D28" s="13">
        <v>3</v>
      </c>
      <c r="E28" s="12" t="s">
        <v>17</v>
      </c>
      <c r="F28" s="186"/>
      <c r="G28" s="9">
        <v>9</v>
      </c>
      <c r="H28" s="9">
        <v>9</v>
      </c>
      <c r="I28" s="9">
        <v>18</v>
      </c>
      <c r="J28" s="9">
        <v>18</v>
      </c>
      <c r="K28" s="9">
        <f t="shared" si="0"/>
        <v>9</v>
      </c>
      <c r="L28" s="9">
        <v>9</v>
      </c>
      <c r="M28" s="9">
        <f t="shared" si="1"/>
        <v>18</v>
      </c>
      <c r="N28" s="9">
        <v>18</v>
      </c>
    </row>
    <row r="29" spans="1:14" ht="15" customHeight="1" x14ac:dyDescent="0.35">
      <c r="A29" s="185"/>
      <c r="B29" s="12" t="s">
        <v>21</v>
      </c>
      <c r="C29" s="13" t="s">
        <v>16</v>
      </c>
      <c r="D29" s="13">
        <v>3</v>
      </c>
      <c r="E29" s="12" t="s">
        <v>109</v>
      </c>
      <c r="F29" s="186"/>
      <c r="G29" s="9">
        <v>7</v>
      </c>
      <c r="H29" s="9">
        <v>7</v>
      </c>
      <c r="I29" s="9">
        <v>6</v>
      </c>
      <c r="J29" s="9">
        <v>6</v>
      </c>
      <c r="K29" s="9">
        <f t="shared" si="0"/>
        <v>7</v>
      </c>
      <c r="L29" s="9">
        <v>5</v>
      </c>
      <c r="M29" s="9">
        <f t="shared" si="1"/>
        <v>6</v>
      </c>
      <c r="N29" s="9">
        <v>6</v>
      </c>
    </row>
    <row r="30" spans="1:14" ht="15" customHeight="1" x14ac:dyDescent="0.35">
      <c r="A30" s="185"/>
      <c r="B30" s="14" t="s">
        <v>21</v>
      </c>
      <c r="C30" s="15" t="s">
        <v>19</v>
      </c>
      <c r="D30" s="15">
        <v>1</v>
      </c>
      <c r="E30" s="14" t="s">
        <v>17</v>
      </c>
      <c r="F30" s="186"/>
      <c r="G30" s="9">
        <v>7</v>
      </c>
      <c r="H30" s="9">
        <v>7</v>
      </c>
      <c r="I30" s="9">
        <v>12</v>
      </c>
      <c r="J30" s="9">
        <v>12</v>
      </c>
      <c r="K30" s="9">
        <f t="shared" si="0"/>
        <v>7</v>
      </c>
      <c r="L30" s="9">
        <v>5</v>
      </c>
      <c r="M30" s="9">
        <f t="shared" si="1"/>
        <v>12</v>
      </c>
      <c r="N30" s="9">
        <v>12</v>
      </c>
    </row>
    <row r="31" spans="1:14" ht="15" customHeight="1" x14ac:dyDescent="0.35">
      <c r="A31" s="185"/>
      <c r="B31" s="14" t="s">
        <v>21</v>
      </c>
      <c r="C31" s="15" t="s">
        <v>19</v>
      </c>
      <c r="D31" s="15">
        <v>1</v>
      </c>
      <c r="E31" s="14" t="s">
        <v>109</v>
      </c>
      <c r="F31" s="186"/>
      <c r="G31" s="9">
        <v>7</v>
      </c>
      <c r="H31" s="9">
        <v>7</v>
      </c>
      <c r="I31" s="9">
        <v>6</v>
      </c>
      <c r="J31" s="9">
        <v>6</v>
      </c>
      <c r="K31" s="9">
        <f t="shared" si="0"/>
        <v>7</v>
      </c>
      <c r="L31" s="9">
        <v>5</v>
      </c>
      <c r="M31" s="9">
        <f t="shared" si="1"/>
        <v>6</v>
      </c>
      <c r="N31" s="9">
        <v>6</v>
      </c>
    </row>
    <row r="32" spans="1:14" ht="15" customHeight="1" x14ac:dyDescent="0.35">
      <c r="A32" s="185"/>
      <c r="B32" s="12" t="s">
        <v>21</v>
      </c>
      <c r="C32" s="13" t="s">
        <v>19</v>
      </c>
      <c r="D32" s="13">
        <v>2</v>
      </c>
      <c r="E32" s="12" t="s">
        <v>17</v>
      </c>
      <c r="F32" s="186"/>
      <c r="G32" s="9">
        <v>7</v>
      </c>
      <c r="H32" s="9">
        <v>7</v>
      </c>
      <c r="I32" s="9">
        <v>12</v>
      </c>
      <c r="J32" s="9">
        <v>12</v>
      </c>
      <c r="K32" s="9">
        <f t="shared" si="0"/>
        <v>7</v>
      </c>
      <c r="L32" s="9">
        <v>5</v>
      </c>
      <c r="M32" s="9">
        <f t="shared" si="1"/>
        <v>12</v>
      </c>
      <c r="N32" s="9">
        <v>12</v>
      </c>
    </row>
    <row r="33" spans="1:14" ht="15" customHeight="1" x14ac:dyDescent="0.35">
      <c r="A33" s="185"/>
      <c r="B33" s="12" t="s">
        <v>21</v>
      </c>
      <c r="C33" s="13" t="s">
        <v>19</v>
      </c>
      <c r="D33" s="13">
        <v>2</v>
      </c>
      <c r="E33" s="12" t="s">
        <v>109</v>
      </c>
      <c r="F33" s="186"/>
      <c r="G33" s="9">
        <v>7</v>
      </c>
      <c r="H33" s="9">
        <v>7</v>
      </c>
      <c r="I33" s="9">
        <v>6</v>
      </c>
      <c r="J33" s="9">
        <v>6</v>
      </c>
      <c r="K33" s="9">
        <f t="shared" si="0"/>
        <v>7</v>
      </c>
      <c r="L33" s="9">
        <v>5</v>
      </c>
      <c r="M33" s="9">
        <f t="shared" si="1"/>
        <v>6</v>
      </c>
      <c r="N33" s="9">
        <v>6</v>
      </c>
    </row>
    <row r="34" spans="1:14" ht="15" customHeight="1" x14ac:dyDescent="0.35">
      <c r="A34" s="185"/>
      <c r="B34" s="14" t="s">
        <v>21</v>
      </c>
      <c r="C34" s="15" t="s">
        <v>19</v>
      </c>
      <c r="D34" s="15">
        <v>3</v>
      </c>
      <c r="E34" s="14" t="s">
        <v>17</v>
      </c>
      <c r="F34" s="186"/>
      <c r="G34" s="9">
        <v>7</v>
      </c>
      <c r="H34" s="9">
        <v>7</v>
      </c>
      <c r="I34" s="9">
        <v>12</v>
      </c>
      <c r="J34" s="9">
        <v>12</v>
      </c>
      <c r="K34" s="9">
        <f t="shared" si="0"/>
        <v>7</v>
      </c>
      <c r="L34" s="9">
        <v>5</v>
      </c>
      <c r="M34" s="9">
        <f t="shared" si="1"/>
        <v>12</v>
      </c>
      <c r="N34" s="9">
        <v>12</v>
      </c>
    </row>
    <row r="35" spans="1:14" ht="15" customHeight="1" x14ac:dyDescent="0.35">
      <c r="A35" s="185"/>
      <c r="B35" s="14" t="s">
        <v>21</v>
      </c>
      <c r="C35" s="15" t="s">
        <v>19</v>
      </c>
      <c r="D35" s="15">
        <v>3</v>
      </c>
      <c r="E35" s="14" t="s">
        <v>109</v>
      </c>
      <c r="F35" s="186"/>
      <c r="G35" s="9">
        <v>7</v>
      </c>
      <c r="H35" s="9">
        <v>7</v>
      </c>
      <c r="I35" s="9">
        <v>6</v>
      </c>
      <c r="J35" s="9">
        <v>6</v>
      </c>
      <c r="K35" s="9">
        <f t="shared" si="0"/>
        <v>7</v>
      </c>
      <c r="L35" s="9">
        <v>5</v>
      </c>
      <c r="M35" s="9">
        <f t="shared" si="1"/>
        <v>6</v>
      </c>
      <c r="N35" s="9">
        <v>6</v>
      </c>
    </row>
    <row r="36" spans="1:14" ht="15" customHeight="1" x14ac:dyDescent="0.35">
      <c r="A36" s="185"/>
      <c r="B36" s="12" t="s">
        <v>21</v>
      </c>
      <c r="C36" s="13" t="s">
        <v>20</v>
      </c>
      <c r="D36" s="13">
        <v>1</v>
      </c>
      <c r="E36" s="12" t="s">
        <v>17</v>
      </c>
      <c r="F36" s="186"/>
      <c r="G36" s="9">
        <v>7</v>
      </c>
      <c r="H36" s="9">
        <v>7</v>
      </c>
      <c r="I36" s="9">
        <v>5</v>
      </c>
      <c r="J36" s="9">
        <v>5</v>
      </c>
      <c r="K36" s="9">
        <f t="shared" si="0"/>
        <v>7</v>
      </c>
      <c r="L36" s="9">
        <v>5</v>
      </c>
      <c r="M36" s="9">
        <f t="shared" si="1"/>
        <v>5</v>
      </c>
      <c r="N36" s="9">
        <v>5</v>
      </c>
    </row>
    <row r="37" spans="1:14" ht="15" customHeight="1" x14ac:dyDescent="0.35">
      <c r="A37" s="185"/>
      <c r="B37" s="12" t="s">
        <v>21</v>
      </c>
      <c r="C37" s="13" t="s">
        <v>20</v>
      </c>
      <c r="D37" s="13">
        <v>1</v>
      </c>
      <c r="E37" s="12" t="s">
        <v>109</v>
      </c>
      <c r="F37" s="186"/>
      <c r="G37" s="9">
        <v>7</v>
      </c>
      <c r="H37" s="9">
        <v>7</v>
      </c>
      <c r="I37" s="9">
        <v>5</v>
      </c>
      <c r="J37" s="9">
        <v>5</v>
      </c>
      <c r="K37" s="9">
        <f t="shared" si="0"/>
        <v>7</v>
      </c>
      <c r="L37" s="9">
        <v>5</v>
      </c>
      <c r="M37" s="9">
        <f t="shared" si="1"/>
        <v>5</v>
      </c>
      <c r="N37" s="9">
        <v>5</v>
      </c>
    </row>
    <row r="38" spans="1:14" ht="15" customHeight="1" x14ac:dyDescent="0.35">
      <c r="A38" s="185"/>
      <c r="B38" s="14" t="s">
        <v>21</v>
      </c>
      <c r="C38" s="15" t="s">
        <v>20</v>
      </c>
      <c r="D38" s="15">
        <v>2</v>
      </c>
      <c r="E38" s="14" t="s">
        <v>17</v>
      </c>
      <c r="F38" s="186"/>
      <c r="G38" s="9">
        <v>7</v>
      </c>
      <c r="H38" s="9">
        <v>7</v>
      </c>
      <c r="I38" s="9">
        <v>5</v>
      </c>
      <c r="J38" s="9">
        <v>5</v>
      </c>
      <c r="K38" s="9">
        <f t="shared" si="0"/>
        <v>7</v>
      </c>
      <c r="L38" s="9">
        <v>5</v>
      </c>
      <c r="M38" s="9">
        <f t="shared" si="1"/>
        <v>5</v>
      </c>
      <c r="N38" s="9">
        <v>5</v>
      </c>
    </row>
    <row r="39" spans="1:14" ht="15" customHeight="1" x14ac:dyDescent="0.35">
      <c r="A39" s="185"/>
      <c r="B39" s="14" t="s">
        <v>21</v>
      </c>
      <c r="C39" s="15" t="s">
        <v>20</v>
      </c>
      <c r="D39" s="15">
        <v>2</v>
      </c>
      <c r="E39" s="14" t="s">
        <v>109</v>
      </c>
      <c r="F39" s="186"/>
      <c r="G39" s="9">
        <v>7</v>
      </c>
      <c r="H39" s="9">
        <v>7</v>
      </c>
      <c r="I39" s="9">
        <v>13</v>
      </c>
      <c r="J39" s="9">
        <v>13</v>
      </c>
      <c r="K39" s="9">
        <f t="shared" si="0"/>
        <v>7</v>
      </c>
      <c r="L39" s="9">
        <v>5</v>
      </c>
      <c r="M39" s="9">
        <f t="shared" si="1"/>
        <v>13</v>
      </c>
      <c r="N39" s="9">
        <v>13</v>
      </c>
    </row>
    <row r="40" spans="1:14" ht="15" customHeight="1" x14ac:dyDescent="0.35">
      <c r="A40" s="185"/>
      <c r="B40" s="12" t="s">
        <v>21</v>
      </c>
      <c r="C40" s="13" t="s">
        <v>20</v>
      </c>
      <c r="D40" s="13">
        <v>3</v>
      </c>
      <c r="E40" s="12" t="s">
        <v>17</v>
      </c>
      <c r="F40" s="186"/>
      <c r="G40" s="9">
        <v>9</v>
      </c>
      <c r="H40" s="9">
        <v>9</v>
      </c>
      <c r="I40" s="9">
        <v>18</v>
      </c>
      <c r="J40" s="9">
        <v>18</v>
      </c>
      <c r="K40" s="9">
        <f t="shared" si="0"/>
        <v>9</v>
      </c>
      <c r="L40" s="9">
        <v>9</v>
      </c>
      <c r="M40" s="9">
        <f t="shared" si="1"/>
        <v>18</v>
      </c>
      <c r="N40" s="9">
        <v>18</v>
      </c>
    </row>
    <row r="41" spans="1:14" ht="15" customHeight="1" x14ac:dyDescent="0.35">
      <c r="A41" s="185"/>
      <c r="B41" s="12" t="s">
        <v>21</v>
      </c>
      <c r="C41" s="13" t="s">
        <v>20</v>
      </c>
      <c r="D41" s="13">
        <v>3</v>
      </c>
      <c r="E41" s="12" t="s">
        <v>109</v>
      </c>
      <c r="F41" s="186"/>
      <c r="G41" s="9">
        <v>7</v>
      </c>
      <c r="H41" s="9">
        <v>7</v>
      </c>
      <c r="I41" s="9">
        <v>6</v>
      </c>
      <c r="J41" s="9">
        <v>6</v>
      </c>
      <c r="K41" s="9">
        <f t="shared" si="0"/>
        <v>7</v>
      </c>
      <c r="L41" s="9">
        <v>5</v>
      </c>
      <c r="M41" s="9">
        <f t="shared" si="1"/>
        <v>6</v>
      </c>
      <c r="N41" s="9">
        <v>6</v>
      </c>
    </row>
    <row r="42" spans="1:14" ht="15" customHeight="1" x14ac:dyDescent="0.35">
      <c r="A42" s="185"/>
      <c r="B42" s="16" t="s">
        <v>22</v>
      </c>
      <c r="C42" s="17" t="s">
        <v>16</v>
      </c>
      <c r="D42" s="17">
        <v>1</v>
      </c>
      <c r="E42" s="16" t="s">
        <v>17</v>
      </c>
      <c r="F42" s="186"/>
      <c r="G42" s="9">
        <v>9</v>
      </c>
      <c r="H42" s="9">
        <v>9</v>
      </c>
      <c r="I42" s="9">
        <v>12</v>
      </c>
      <c r="J42" s="9">
        <v>12</v>
      </c>
      <c r="K42" s="9">
        <f t="shared" si="0"/>
        <v>9</v>
      </c>
      <c r="L42" s="9">
        <v>9</v>
      </c>
      <c r="M42" s="9">
        <f t="shared" si="1"/>
        <v>12</v>
      </c>
      <c r="N42" s="9">
        <v>12</v>
      </c>
    </row>
    <row r="43" spans="1:14" ht="15" customHeight="1" x14ac:dyDescent="0.35">
      <c r="A43" s="185"/>
      <c r="B43" s="16" t="s">
        <v>22</v>
      </c>
      <c r="C43" s="17" t="s">
        <v>16</v>
      </c>
      <c r="D43" s="17">
        <v>1</v>
      </c>
      <c r="E43" s="16" t="s">
        <v>109</v>
      </c>
      <c r="F43" s="186"/>
      <c r="G43" s="9">
        <v>7</v>
      </c>
      <c r="H43" s="9">
        <v>7</v>
      </c>
      <c r="I43" s="9">
        <v>12</v>
      </c>
      <c r="J43" s="9">
        <v>12</v>
      </c>
      <c r="K43" s="9">
        <f t="shared" si="0"/>
        <v>7</v>
      </c>
      <c r="L43" s="9">
        <v>5</v>
      </c>
      <c r="M43" s="9">
        <f t="shared" si="1"/>
        <v>12</v>
      </c>
      <c r="N43" s="9">
        <v>12</v>
      </c>
    </row>
    <row r="44" spans="1:14" ht="15" customHeight="1" x14ac:dyDescent="0.35">
      <c r="A44" s="185"/>
      <c r="B44" s="18" t="s">
        <v>22</v>
      </c>
      <c r="C44" s="19" t="s">
        <v>16</v>
      </c>
      <c r="D44" s="19">
        <v>2</v>
      </c>
      <c r="E44" s="18" t="s">
        <v>17</v>
      </c>
      <c r="F44" s="186"/>
      <c r="G44" s="9">
        <v>9</v>
      </c>
      <c r="H44" s="9">
        <v>8</v>
      </c>
      <c r="I44" s="9">
        <v>12</v>
      </c>
      <c r="J44" s="9">
        <v>12</v>
      </c>
      <c r="K44" s="9">
        <f t="shared" si="0"/>
        <v>9</v>
      </c>
      <c r="L44" s="9">
        <v>9</v>
      </c>
      <c r="M44" s="9">
        <f>I44</f>
        <v>12</v>
      </c>
      <c r="N44" s="9">
        <v>12</v>
      </c>
    </row>
    <row r="45" spans="1:14" ht="15" customHeight="1" x14ac:dyDescent="0.35">
      <c r="A45" s="185"/>
      <c r="B45" s="18" t="s">
        <v>22</v>
      </c>
      <c r="C45" s="19" t="s">
        <v>16</v>
      </c>
      <c r="D45" s="19">
        <v>2</v>
      </c>
      <c r="E45" s="18" t="s">
        <v>109</v>
      </c>
      <c r="F45" s="186"/>
      <c r="G45" s="9">
        <v>7</v>
      </c>
      <c r="H45" s="9">
        <v>7</v>
      </c>
      <c r="I45" s="9">
        <v>12</v>
      </c>
      <c r="J45" s="9">
        <v>12</v>
      </c>
      <c r="K45" s="9">
        <f t="shared" si="0"/>
        <v>7</v>
      </c>
      <c r="L45" s="9">
        <v>5</v>
      </c>
      <c r="M45" s="9">
        <f t="shared" si="1"/>
        <v>12</v>
      </c>
      <c r="N45" s="9">
        <v>12</v>
      </c>
    </row>
    <row r="46" spans="1:14" ht="15" customHeight="1" x14ac:dyDescent="0.35">
      <c r="A46" s="185"/>
      <c r="B46" s="16" t="s">
        <v>22</v>
      </c>
      <c r="C46" s="17" t="s">
        <v>16</v>
      </c>
      <c r="D46" s="17">
        <v>3</v>
      </c>
      <c r="E46" s="16" t="s">
        <v>17</v>
      </c>
      <c r="F46" s="186"/>
      <c r="G46" s="9">
        <v>9</v>
      </c>
      <c r="H46" s="9">
        <v>8</v>
      </c>
      <c r="I46" s="9">
        <v>12</v>
      </c>
      <c r="J46" s="9">
        <v>12</v>
      </c>
      <c r="K46" s="9">
        <f t="shared" si="0"/>
        <v>9</v>
      </c>
      <c r="L46" s="9">
        <v>8</v>
      </c>
      <c r="M46" s="9">
        <f t="shared" si="1"/>
        <v>12</v>
      </c>
      <c r="N46" s="9">
        <v>12</v>
      </c>
    </row>
    <row r="47" spans="1:14" ht="15" customHeight="1" x14ac:dyDescent="0.35">
      <c r="A47" s="185"/>
      <c r="B47" s="16" t="s">
        <v>22</v>
      </c>
      <c r="C47" s="17" t="s">
        <v>16</v>
      </c>
      <c r="D47" s="17">
        <v>3</v>
      </c>
      <c r="E47" s="16" t="s">
        <v>109</v>
      </c>
      <c r="F47" s="186"/>
      <c r="G47" s="9">
        <v>7</v>
      </c>
      <c r="H47" s="9">
        <v>7</v>
      </c>
      <c r="I47" s="9">
        <v>11</v>
      </c>
      <c r="J47" s="9">
        <v>11</v>
      </c>
      <c r="K47" s="9">
        <f t="shared" si="0"/>
        <v>7</v>
      </c>
      <c r="L47" s="9">
        <v>5</v>
      </c>
      <c r="M47" s="9">
        <f t="shared" si="1"/>
        <v>11</v>
      </c>
      <c r="N47" s="9">
        <v>11</v>
      </c>
    </row>
    <row r="48" spans="1:14" ht="15" customHeight="1" x14ac:dyDescent="0.35">
      <c r="A48" s="185"/>
      <c r="B48" s="18" t="s">
        <v>22</v>
      </c>
      <c r="C48" s="19" t="s">
        <v>19</v>
      </c>
      <c r="D48" s="19">
        <v>1</v>
      </c>
      <c r="E48" s="18" t="s">
        <v>17</v>
      </c>
      <c r="F48" s="186"/>
      <c r="G48" s="9">
        <v>8</v>
      </c>
      <c r="H48" s="9">
        <v>6</v>
      </c>
      <c r="I48" s="9">
        <v>12</v>
      </c>
      <c r="J48" s="9">
        <v>12</v>
      </c>
      <c r="K48" s="9">
        <f t="shared" si="0"/>
        <v>8</v>
      </c>
      <c r="L48" s="9">
        <v>5</v>
      </c>
      <c r="M48" s="9">
        <f t="shared" si="1"/>
        <v>12</v>
      </c>
      <c r="N48" s="9">
        <v>12</v>
      </c>
    </row>
    <row r="49" spans="1:14" ht="15" customHeight="1" x14ac:dyDescent="0.35">
      <c r="A49" s="185"/>
      <c r="B49" s="18" t="s">
        <v>22</v>
      </c>
      <c r="C49" s="19" t="s">
        <v>19</v>
      </c>
      <c r="D49" s="19">
        <v>1</v>
      </c>
      <c r="E49" s="18" t="s">
        <v>109</v>
      </c>
      <c r="F49" s="186"/>
      <c r="G49" s="9">
        <v>8</v>
      </c>
      <c r="H49" s="9">
        <v>6</v>
      </c>
      <c r="I49" s="9">
        <v>12</v>
      </c>
      <c r="J49" s="9">
        <v>12</v>
      </c>
      <c r="K49" s="9">
        <f t="shared" si="0"/>
        <v>8</v>
      </c>
      <c r="L49" s="9">
        <v>5</v>
      </c>
      <c r="M49" s="9">
        <f t="shared" si="1"/>
        <v>12</v>
      </c>
      <c r="N49" s="9">
        <v>12</v>
      </c>
    </row>
    <row r="50" spans="1:14" ht="15" customHeight="1" x14ac:dyDescent="0.35">
      <c r="A50" s="185"/>
      <c r="B50" s="16" t="s">
        <v>22</v>
      </c>
      <c r="C50" s="17" t="s">
        <v>19</v>
      </c>
      <c r="D50" s="17">
        <v>2</v>
      </c>
      <c r="E50" s="16" t="s">
        <v>17</v>
      </c>
      <c r="F50" s="186"/>
      <c r="G50" s="9">
        <v>7</v>
      </c>
      <c r="H50" s="9">
        <v>7</v>
      </c>
      <c r="I50" s="9">
        <v>12</v>
      </c>
      <c r="J50" s="9">
        <v>12</v>
      </c>
      <c r="K50" s="9">
        <f t="shared" si="0"/>
        <v>7</v>
      </c>
      <c r="L50" s="9">
        <v>5</v>
      </c>
      <c r="M50" s="9">
        <f t="shared" si="1"/>
        <v>12</v>
      </c>
      <c r="N50" s="9">
        <v>12</v>
      </c>
    </row>
    <row r="51" spans="1:14" ht="15" customHeight="1" x14ac:dyDescent="0.35">
      <c r="A51" s="185"/>
      <c r="B51" s="16" t="s">
        <v>22</v>
      </c>
      <c r="C51" s="17" t="s">
        <v>19</v>
      </c>
      <c r="D51" s="17">
        <v>2</v>
      </c>
      <c r="E51" s="16" t="s">
        <v>109</v>
      </c>
      <c r="F51" s="186"/>
      <c r="G51" s="9">
        <v>7</v>
      </c>
      <c r="H51" s="9">
        <v>7</v>
      </c>
      <c r="I51" s="9">
        <v>12</v>
      </c>
      <c r="J51" s="9">
        <v>12</v>
      </c>
      <c r="K51" s="9">
        <f t="shared" si="0"/>
        <v>7</v>
      </c>
      <c r="L51" s="9">
        <v>5</v>
      </c>
      <c r="M51" s="9">
        <f t="shared" si="1"/>
        <v>12</v>
      </c>
      <c r="N51" s="9">
        <v>12</v>
      </c>
    </row>
    <row r="52" spans="1:14" ht="15" customHeight="1" x14ac:dyDescent="0.35">
      <c r="A52" s="185"/>
      <c r="B52" s="18" t="s">
        <v>22</v>
      </c>
      <c r="C52" s="19" t="s">
        <v>19</v>
      </c>
      <c r="D52" s="19">
        <v>3</v>
      </c>
      <c r="E52" s="18" t="s">
        <v>17</v>
      </c>
      <c r="F52" s="186"/>
      <c r="G52" s="9">
        <v>11</v>
      </c>
      <c r="H52" s="9">
        <v>10</v>
      </c>
      <c r="I52" s="9">
        <v>18</v>
      </c>
      <c r="J52" s="9">
        <v>18</v>
      </c>
      <c r="K52" s="9">
        <f t="shared" si="0"/>
        <v>11</v>
      </c>
      <c r="L52" s="9">
        <v>8</v>
      </c>
      <c r="M52" s="9">
        <f t="shared" si="1"/>
        <v>18</v>
      </c>
      <c r="N52" s="9">
        <v>18</v>
      </c>
    </row>
    <row r="53" spans="1:14" ht="15" customHeight="1" x14ac:dyDescent="0.35">
      <c r="A53" s="185"/>
      <c r="B53" s="18" t="s">
        <v>22</v>
      </c>
      <c r="C53" s="19" t="s">
        <v>19</v>
      </c>
      <c r="D53" s="19">
        <v>3</v>
      </c>
      <c r="E53" s="18" t="s">
        <v>109</v>
      </c>
      <c r="F53" s="186"/>
      <c r="G53" s="9">
        <v>11</v>
      </c>
      <c r="H53" s="9">
        <v>10</v>
      </c>
      <c r="I53" s="9">
        <v>18</v>
      </c>
      <c r="J53" s="9">
        <v>18</v>
      </c>
      <c r="K53" s="9">
        <f t="shared" si="0"/>
        <v>11</v>
      </c>
      <c r="L53" s="9">
        <v>8</v>
      </c>
      <c r="M53" s="9">
        <f t="shared" si="1"/>
        <v>18</v>
      </c>
      <c r="N53" s="9">
        <v>18</v>
      </c>
    </row>
    <row r="54" spans="1:14" ht="15" customHeight="1" x14ac:dyDescent="0.35">
      <c r="A54" s="185"/>
      <c r="B54" s="16" t="s">
        <v>22</v>
      </c>
      <c r="C54" s="17" t="s">
        <v>20</v>
      </c>
      <c r="D54" s="17">
        <v>1</v>
      </c>
      <c r="E54" s="16" t="s">
        <v>17</v>
      </c>
      <c r="F54" s="186"/>
      <c r="G54" s="9">
        <v>9</v>
      </c>
      <c r="H54" s="9">
        <v>8</v>
      </c>
      <c r="I54" s="9">
        <v>18</v>
      </c>
      <c r="J54" s="9">
        <v>18</v>
      </c>
      <c r="K54" s="9">
        <f t="shared" si="0"/>
        <v>9</v>
      </c>
      <c r="L54" s="9">
        <v>8</v>
      </c>
      <c r="M54" s="9">
        <f t="shared" si="1"/>
        <v>18</v>
      </c>
      <c r="N54" s="9">
        <v>9</v>
      </c>
    </row>
    <row r="55" spans="1:14" ht="15" customHeight="1" x14ac:dyDescent="0.35">
      <c r="A55" s="185"/>
      <c r="B55" s="16" t="s">
        <v>22</v>
      </c>
      <c r="C55" s="17" t="s">
        <v>20</v>
      </c>
      <c r="D55" s="17">
        <v>1</v>
      </c>
      <c r="E55" s="16" t="s">
        <v>109</v>
      </c>
      <c r="F55" s="186"/>
      <c r="G55" s="9">
        <v>5</v>
      </c>
      <c r="H55" s="9">
        <v>5</v>
      </c>
      <c r="I55" s="9">
        <v>12</v>
      </c>
      <c r="J55" s="9">
        <v>12</v>
      </c>
      <c r="K55" s="9">
        <f t="shared" si="0"/>
        <v>5</v>
      </c>
      <c r="L55" s="9">
        <v>3</v>
      </c>
      <c r="M55" s="9">
        <f t="shared" si="1"/>
        <v>12</v>
      </c>
      <c r="N55" s="9">
        <v>12</v>
      </c>
    </row>
    <row r="56" spans="1:14" ht="15" customHeight="1" x14ac:dyDescent="0.35">
      <c r="A56" s="185"/>
      <c r="B56" s="18" t="s">
        <v>22</v>
      </c>
      <c r="C56" s="19" t="s">
        <v>20</v>
      </c>
      <c r="D56" s="19">
        <v>2</v>
      </c>
      <c r="E56" s="18" t="s">
        <v>17</v>
      </c>
      <c r="F56" s="186"/>
      <c r="G56" s="9">
        <v>9</v>
      </c>
      <c r="H56" s="9">
        <v>8</v>
      </c>
      <c r="I56" s="9">
        <v>18</v>
      </c>
      <c r="J56" s="9">
        <v>18</v>
      </c>
      <c r="K56" s="9">
        <f t="shared" si="0"/>
        <v>9</v>
      </c>
      <c r="L56" s="9">
        <v>8</v>
      </c>
      <c r="M56" s="9">
        <f t="shared" si="1"/>
        <v>18</v>
      </c>
      <c r="N56" s="9">
        <v>18</v>
      </c>
    </row>
    <row r="57" spans="1:14" ht="15" customHeight="1" x14ac:dyDescent="0.35">
      <c r="A57" s="185"/>
      <c r="B57" s="18" t="s">
        <v>22</v>
      </c>
      <c r="C57" s="19" t="s">
        <v>20</v>
      </c>
      <c r="D57" s="19">
        <v>2</v>
      </c>
      <c r="E57" s="18" t="s">
        <v>109</v>
      </c>
      <c r="F57" s="186"/>
      <c r="G57" s="9">
        <v>5</v>
      </c>
      <c r="H57" s="9">
        <v>5</v>
      </c>
      <c r="I57" s="9">
        <v>11</v>
      </c>
      <c r="J57" s="9">
        <v>11</v>
      </c>
      <c r="K57" s="9">
        <f t="shared" si="0"/>
        <v>5</v>
      </c>
      <c r="L57" s="9">
        <v>3</v>
      </c>
      <c r="M57" s="9">
        <f t="shared" si="1"/>
        <v>11</v>
      </c>
      <c r="N57" s="9">
        <v>11</v>
      </c>
    </row>
    <row r="58" spans="1:14" ht="15" customHeight="1" x14ac:dyDescent="0.35">
      <c r="A58" s="185"/>
      <c r="B58" s="16" t="s">
        <v>22</v>
      </c>
      <c r="C58" s="17" t="s">
        <v>20</v>
      </c>
      <c r="D58" s="17">
        <v>3</v>
      </c>
      <c r="E58" s="16" t="s">
        <v>17</v>
      </c>
      <c r="F58" s="186"/>
      <c r="G58" s="9">
        <v>9</v>
      </c>
      <c r="H58" s="9">
        <v>8</v>
      </c>
      <c r="I58" s="9">
        <v>18</v>
      </c>
      <c r="J58" s="9">
        <v>18</v>
      </c>
      <c r="K58" s="9">
        <f t="shared" si="0"/>
        <v>9</v>
      </c>
      <c r="L58" s="9">
        <v>8</v>
      </c>
      <c r="M58" s="9">
        <f t="shared" si="1"/>
        <v>18</v>
      </c>
      <c r="N58" s="9">
        <v>18</v>
      </c>
    </row>
    <row r="59" spans="1:14" ht="15" customHeight="1" x14ac:dyDescent="0.35">
      <c r="A59" s="185"/>
      <c r="B59" s="20" t="s">
        <v>22</v>
      </c>
      <c r="C59" s="21" t="s">
        <v>20</v>
      </c>
      <c r="D59" s="21">
        <v>3</v>
      </c>
      <c r="E59" s="20" t="s">
        <v>109</v>
      </c>
      <c r="F59" s="186"/>
      <c r="G59" s="22">
        <v>7</v>
      </c>
      <c r="H59" s="22">
        <v>7</v>
      </c>
      <c r="I59" s="22">
        <v>12</v>
      </c>
      <c r="J59" s="22">
        <v>12</v>
      </c>
      <c r="K59" s="9">
        <f t="shared" si="0"/>
        <v>7</v>
      </c>
      <c r="L59" s="22">
        <v>4</v>
      </c>
      <c r="M59" s="9">
        <f t="shared" si="1"/>
        <v>12</v>
      </c>
      <c r="N59" s="22">
        <v>12</v>
      </c>
    </row>
    <row r="60" spans="1:14" ht="15" customHeight="1" x14ac:dyDescent="0.35">
      <c r="A60" s="185" t="s">
        <v>23</v>
      </c>
      <c r="B60" s="7" t="s">
        <v>15</v>
      </c>
      <c r="C60" s="8" t="s">
        <v>16</v>
      </c>
      <c r="D60" s="8">
        <v>1</v>
      </c>
      <c r="E60" s="7" t="s">
        <v>17</v>
      </c>
      <c r="F60" s="186">
        <v>38</v>
      </c>
      <c r="G60" s="9">
        <v>9</v>
      </c>
      <c r="H60" s="9">
        <v>9</v>
      </c>
      <c r="I60" s="9">
        <v>19</v>
      </c>
      <c r="J60" s="9">
        <v>19</v>
      </c>
      <c r="K60" s="9">
        <v>9</v>
      </c>
      <c r="L60" s="9">
        <v>9</v>
      </c>
      <c r="M60" s="9">
        <v>19</v>
      </c>
      <c r="N60" s="9">
        <v>15</v>
      </c>
    </row>
    <row r="61" spans="1:14" ht="15" customHeight="1" x14ac:dyDescent="0.35">
      <c r="A61" s="185"/>
      <c r="B61" s="7" t="s">
        <v>15</v>
      </c>
      <c r="C61" s="8" t="s">
        <v>16</v>
      </c>
      <c r="D61" s="8">
        <v>1</v>
      </c>
      <c r="E61" s="7" t="s">
        <v>109</v>
      </c>
      <c r="F61" s="186"/>
      <c r="G61" s="9">
        <v>9</v>
      </c>
      <c r="H61" s="9">
        <v>9</v>
      </c>
      <c r="I61" s="9">
        <v>19</v>
      </c>
      <c r="J61" s="9">
        <v>19</v>
      </c>
      <c r="K61" s="9">
        <f t="shared" si="0"/>
        <v>9</v>
      </c>
      <c r="L61" s="9">
        <v>9</v>
      </c>
      <c r="M61" s="9">
        <f t="shared" si="1"/>
        <v>19</v>
      </c>
      <c r="N61" s="9">
        <v>15</v>
      </c>
    </row>
    <row r="62" spans="1:14" ht="15" customHeight="1" x14ac:dyDescent="0.35">
      <c r="A62" s="185"/>
      <c r="B62" s="10" t="s">
        <v>15</v>
      </c>
      <c r="C62" s="11" t="s">
        <v>16</v>
      </c>
      <c r="D62" s="11">
        <v>2</v>
      </c>
      <c r="E62" s="10" t="s">
        <v>17</v>
      </c>
      <c r="F62" s="186"/>
      <c r="G62" s="9">
        <v>9</v>
      </c>
      <c r="H62" s="9">
        <v>9</v>
      </c>
      <c r="I62" s="9">
        <v>16</v>
      </c>
      <c r="J62" s="9">
        <v>16</v>
      </c>
      <c r="K62" s="9">
        <f t="shared" si="0"/>
        <v>9</v>
      </c>
      <c r="L62" s="9">
        <v>9</v>
      </c>
      <c r="M62" s="9">
        <f t="shared" si="1"/>
        <v>16</v>
      </c>
      <c r="N62" s="9">
        <v>12</v>
      </c>
    </row>
    <row r="63" spans="1:14" ht="15" customHeight="1" x14ac:dyDescent="0.35">
      <c r="A63" s="185"/>
      <c r="B63" s="10" t="s">
        <v>15</v>
      </c>
      <c r="C63" s="11" t="s">
        <v>16</v>
      </c>
      <c r="D63" s="11">
        <v>2</v>
      </c>
      <c r="E63" s="10" t="s">
        <v>109</v>
      </c>
      <c r="F63" s="186"/>
      <c r="G63" s="9">
        <v>9</v>
      </c>
      <c r="H63" s="9">
        <v>9</v>
      </c>
      <c r="I63" s="9">
        <v>19</v>
      </c>
      <c r="J63" s="9">
        <v>19</v>
      </c>
      <c r="K63" s="9">
        <f t="shared" si="0"/>
        <v>9</v>
      </c>
      <c r="L63" s="9">
        <v>9</v>
      </c>
      <c r="M63" s="9">
        <f t="shared" si="1"/>
        <v>19</v>
      </c>
      <c r="N63" s="9">
        <v>16</v>
      </c>
    </row>
    <row r="64" spans="1:14" ht="15" customHeight="1" x14ac:dyDescent="0.35">
      <c r="A64" s="185"/>
      <c r="B64" s="7" t="s">
        <v>15</v>
      </c>
      <c r="C64" s="8" t="s">
        <v>16</v>
      </c>
      <c r="D64" s="8">
        <v>3</v>
      </c>
      <c r="E64" s="7" t="s">
        <v>17</v>
      </c>
      <c r="F64" s="186"/>
      <c r="G64" s="9">
        <v>9</v>
      </c>
      <c r="H64" s="9">
        <v>9</v>
      </c>
      <c r="I64" s="9">
        <v>15</v>
      </c>
      <c r="J64" s="9">
        <v>15</v>
      </c>
      <c r="K64" s="9">
        <f t="shared" si="0"/>
        <v>9</v>
      </c>
      <c r="L64" s="9">
        <v>9</v>
      </c>
      <c r="M64" s="9">
        <f t="shared" si="1"/>
        <v>15</v>
      </c>
      <c r="N64" s="9">
        <v>10</v>
      </c>
    </row>
    <row r="65" spans="1:14" ht="15" customHeight="1" x14ac:dyDescent="0.35">
      <c r="A65" s="185"/>
      <c r="B65" s="7" t="s">
        <v>15</v>
      </c>
      <c r="C65" s="8" t="s">
        <v>16</v>
      </c>
      <c r="D65" s="8">
        <v>3</v>
      </c>
      <c r="E65" s="7" t="s">
        <v>109</v>
      </c>
      <c r="F65" s="186"/>
      <c r="G65" s="9">
        <v>9</v>
      </c>
      <c r="H65" s="9">
        <v>9</v>
      </c>
      <c r="I65" s="9">
        <v>19</v>
      </c>
      <c r="J65" s="9">
        <v>19</v>
      </c>
      <c r="K65" s="9">
        <f t="shared" si="0"/>
        <v>9</v>
      </c>
      <c r="L65" s="9">
        <v>9</v>
      </c>
      <c r="M65" s="9">
        <f t="shared" si="1"/>
        <v>19</v>
      </c>
      <c r="N65" s="9">
        <v>16</v>
      </c>
    </row>
    <row r="66" spans="1:14" ht="15" customHeight="1" x14ac:dyDescent="0.35">
      <c r="A66" s="185"/>
      <c r="B66" s="10" t="s">
        <v>15</v>
      </c>
      <c r="C66" s="11" t="s">
        <v>19</v>
      </c>
      <c r="D66" s="11">
        <v>1</v>
      </c>
      <c r="E66" s="10" t="s">
        <v>17</v>
      </c>
      <c r="F66" s="186"/>
      <c r="G66" s="9">
        <v>9</v>
      </c>
      <c r="H66" s="9">
        <v>9</v>
      </c>
      <c r="I66" s="9">
        <v>19</v>
      </c>
      <c r="J66" s="9">
        <v>19</v>
      </c>
      <c r="K66" s="9">
        <f t="shared" si="0"/>
        <v>9</v>
      </c>
      <c r="L66" s="9">
        <v>9</v>
      </c>
      <c r="M66" s="9">
        <f t="shared" si="1"/>
        <v>19</v>
      </c>
      <c r="N66" s="9">
        <v>19</v>
      </c>
    </row>
    <row r="67" spans="1:14" ht="15" customHeight="1" x14ac:dyDescent="0.35">
      <c r="A67" s="185"/>
      <c r="B67" s="10" t="s">
        <v>15</v>
      </c>
      <c r="C67" s="11" t="s">
        <v>19</v>
      </c>
      <c r="D67" s="11">
        <v>1</v>
      </c>
      <c r="E67" s="10" t="s">
        <v>109</v>
      </c>
      <c r="F67" s="186"/>
      <c r="G67" s="9">
        <v>9</v>
      </c>
      <c r="H67" s="9">
        <v>9</v>
      </c>
      <c r="I67" s="9">
        <v>19</v>
      </c>
      <c r="J67" s="9">
        <v>19</v>
      </c>
      <c r="K67" s="9">
        <f t="shared" si="0"/>
        <v>9</v>
      </c>
      <c r="L67" s="9">
        <v>9</v>
      </c>
      <c r="M67" s="9">
        <f t="shared" si="1"/>
        <v>19</v>
      </c>
      <c r="N67" s="9">
        <v>15</v>
      </c>
    </row>
    <row r="68" spans="1:14" ht="15" customHeight="1" x14ac:dyDescent="0.35">
      <c r="A68" s="185"/>
      <c r="B68" s="7" t="s">
        <v>15</v>
      </c>
      <c r="C68" s="8" t="s">
        <v>19</v>
      </c>
      <c r="D68" s="8">
        <v>2</v>
      </c>
      <c r="E68" s="7" t="s">
        <v>17</v>
      </c>
      <c r="F68" s="186"/>
      <c r="G68" s="9">
        <v>9</v>
      </c>
      <c r="H68" s="9">
        <v>9</v>
      </c>
      <c r="I68" s="9">
        <v>19</v>
      </c>
      <c r="J68" s="9">
        <v>19</v>
      </c>
      <c r="K68" s="9">
        <f t="shared" si="0"/>
        <v>9</v>
      </c>
      <c r="L68" s="9">
        <v>9</v>
      </c>
      <c r="M68" s="9">
        <f t="shared" si="1"/>
        <v>19</v>
      </c>
      <c r="N68" s="9">
        <v>19</v>
      </c>
    </row>
    <row r="69" spans="1:14" ht="15" customHeight="1" x14ac:dyDescent="0.35">
      <c r="A69" s="185"/>
      <c r="B69" s="7" t="s">
        <v>15</v>
      </c>
      <c r="C69" s="8" t="s">
        <v>19</v>
      </c>
      <c r="D69" s="8">
        <v>2</v>
      </c>
      <c r="E69" s="7" t="s">
        <v>109</v>
      </c>
      <c r="F69" s="186"/>
      <c r="G69" s="9">
        <v>9</v>
      </c>
      <c r="H69" s="9">
        <v>9</v>
      </c>
      <c r="I69" s="9">
        <v>19</v>
      </c>
      <c r="J69" s="9">
        <v>19</v>
      </c>
      <c r="K69" s="9">
        <f t="shared" si="0"/>
        <v>9</v>
      </c>
      <c r="L69" s="9">
        <v>9</v>
      </c>
      <c r="M69" s="9">
        <f t="shared" si="1"/>
        <v>19</v>
      </c>
      <c r="N69" s="9">
        <v>19</v>
      </c>
    </row>
    <row r="70" spans="1:14" ht="15" customHeight="1" x14ac:dyDescent="0.35">
      <c r="A70" s="185"/>
      <c r="B70" s="10" t="s">
        <v>15</v>
      </c>
      <c r="C70" s="11" t="s">
        <v>19</v>
      </c>
      <c r="D70" s="11">
        <v>3</v>
      </c>
      <c r="E70" s="10" t="s">
        <v>17</v>
      </c>
      <c r="F70" s="186"/>
      <c r="G70" s="9">
        <v>9</v>
      </c>
      <c r="H70" s="9">
        <v>9</v>
      </c>
      <c r="I70" s="9">
        <v>19</v>
      </c>
      <c r="J70" s="9">
        <v>19</v>
      </c>
      <c r="K70" s="9">
        <f t="shared" si="0"/>
        <v>9</v>
      </c>
      <c r="L70" s="9">
        <v>9</v>
      </c>
      <c r="M70" s="9">
        <f t="shared" si="1"/>
        <v>19</v>
      </c>
      <c r="N70" s="9">
        <v>19</v>
      </c>
    </row>
    <row r="71" spans="1:14" ht="15" customHeight="1" x14ac:dyDescent="0.35">
      <c r="A71" s="185"/>
      <c r="B71" s="10" t="s">
        <v>15</v>
      </c>
      <c r="C71" s="11" t="s">
        <v>19</v>
      </c>
      <c r="D71" s="11">
        <v>3</v>
      </c>
      <c r="E71" s="10" t="s">
        <v>109</v>
      </c>
      <c r="F71" s="186"/>
      <c r="G71" s="9">
        <v>9</v>
      </c>
      <c r="H71" s="9">
        <v>9</v>
      </c>
      <c r="I71" s="9">
        <v>19</v>
      </c>
      <c r="J71" s="9">
        <v>19</v>
      </c>
      <c r="K71" s="9">
        <f t="shared" ref="K71:K134" si="2">G71</f>
        <v>9</v>
      </c>
      <c r="L71" s="9">
        <v>9</v>
      </c>
      <c r="M71" s="9">
        <f t="shared" ref="M71:M134" si="3">I71</f>
        <v>19</v>
      </c>
      <c r="N71" s="9">
        <v>19</v>
      </c>
    </row>
    <row r="72" spans="1:14" ht="15" customHeight="1" x14ac:dyDescent="0.35">
      <c r="A72" s="185"/>
      <c r="B72" s="7" t="s">
        <v>15</v>
      </c>
      <c r="C72" s="8" t="s">
        <v>20</v>
      </c>
      <c r="D72" s="8">
        <v>1</v>
      </c>
      <c r="E72" s="7" t="s">
        <v>17</v>
      </c>
      <c r="F72" s="186"/>
      <c r="G72" s="9">
        <v>9</v>
      </c>
      <c r="H72" s="9">
        <v>9</v>
      </c>
      <c r="I72" s="9">
        <v>18</v>
      </c>
      <c r="J72" s="9">
        <v>18</v>
      </c>
      <c r="K72" s="9">
        <f t="shared" si="2"/>
        <v>9</v>
      </c>
      <c r="L72" s="9">
        <v>9</v>
      </c>
      <c r="M72" s="9">
        <f t="shared" si="3"/>
        <v>18</v>
      </c>
      <c r="N72" s="9">
        <v>18</v>
      </c>
    </row>
    <row r="73" spans="1:14" ht="15" customHeight="1" x14ac:dyDescent="0.35">
      <c r="A73" s="185"/>
      <c r="B73" s="7" t="s">
        <v>15</v>
      </c>
      <c r="C73" s="8" t="s">
        <v>20</v>
      </c>
      <c r="D73" s="8">
        <v>1</v>
      </c>
      <c r="E73" s="7" t="s">
        <v>109</v>
      </c>
      <c r="F73" s="186"/>
      <c r="G73" s="9">
        <v>9</v>
      </c>
      <c r="H73" s="9">
        <v>9</v>
      </c>
      <c r="I73" s="9">
        <v>19</v>
      </c>
      <c r="J73" s="9">
        <v>19</v>
      </c>
      <c r="K73" s="9">
        <f t="shared" si="2"/>
        <v>9</v>
      </c>
      <c r="L73" s="9">
        <v>9</v>
      </c>
      <c r="M73" s="9">
        <f t="shared" si="3"/>
        <v>19</v>
      </c>
      <c r="N73" s="9">
        <v>19</v>
      </c>
    </row>
    <row r="74" spans="1:14" ht="15" customHeight="1" x14ac:dyDescent="0.35">
      <c r="A74" s="185"/>
      <c r="B74" s="10" t="s">
        <v>15</v>
      </c>
      <c r="C74" s="11" t="s">
        <v>20</v>
      </c>
      <c r="D74" s="11">
        <v>2</v>
      </c>
      <c r="E74" s="10" t="s">
        <v>17</v>
      </c>
      <c r="F74" s="186"/>
      <c r="G74" s="9">
        <v>9</v>
      </c>
      <c r="H74" s="9">
        <v>9</v>
      </c>
      <c r="I74" s="9">
        <v>20</v>
      </c>
      <c r="J74" s="9">
        <v>20</v>
      </c>
      <c r="K74" s="9">
        <f t="shared" si="2"/>
        <v>9</v>
      </c>
      <c r="L74" s="9">
        <v>9</v>
      </c>
      <c r="M74" s="9">
        <f t="shared" si="3"/>
        <v>20</v>
      </c>
      <c r="N74" s="9">
        <v>19</v>
      </c>
    </row>
    <row r="75" spans="1:14" ht="15" customHeight="1" x14ac:dyDescent="0.35">
      <c r="A75" s="185"/>
      <c r="B75" s="10" t="s">
        <v>15</v>
      </c>
      <c r="C75" s="11" t="s">
        <v>20</v>
      </c>
      <c r="D75" s="11">
        <v>2</v>
      </c>
      <c r="E75" s="10" t="s">
        <v>109</v>
      </c>
      <c r="F75" s="186"/>
      <c r="G75" s="9">
        <v>9</v>
      </c>
      <c r="H75" s="9">
        <v>9</v>
      </c>
      <c r="I75" s="9">
        <v>19</v>
      </c>
      <c r="J75" s="9">
        <v>19</v>
      </c>
      <c r="K75" s="9">
        <f t="shared" si="2"/>
        <v>9</v>
      </c>
      <c r="L75" s="9">
        <v>9</v>
      </c>
      <c r="M75" s="9">
        <f t="shared" si="3"/>
        <v>19</v>
      </c>
      <c r="N75" s="9">
        <v>19</v>
      </c>
    </row>
    <row r="76" spans="1:14" ht="15" customHeight="1" x14ac:dyDescent="0.35">
      <c r="A76" s="185"/>
      <c r="B76" s="7" t="s">
        <v>15</v>
      </c>
      <c r="C76" s="8" t="s">
        <v>20</v>
      </c>
      <c r="D76" s="8">
        <v>3</v>
      </c>
      <c r="E76" s="7" t="s">
        <v>17</v>
      </c>
      <c r="F76" s="186"/>
      <c r="G76" s="9">
        <v>9</v>
      </c>
      <c r="H76" s="9">
        <v>9</v>
      </c>
      <c r="I76" s="9">
        <v>19</v>
      </c>
      <c r="J76" s="9">
        <v>19</v>
      </c>
      <c r="K76" s="9">
        <f t="shared" si="2"/>
        <v>9</v>
      </c>
      <c r="L76" s="9">
        <v>9</v>
      </c>
      <c r="M76" s="9">
        <f t="shared" si="3"/>
        <v>19</v>
      </c>
      <c r="N76" s="9">
        <v>19</v>
      </c>
    </row>
    <row r="77" spans="1:14" ht="15" customHeight="1" x14ac:dyDescent="0.35">
      <c r="A77" s="185"/>
      <c r="B77" s="7" t="s">
        <v>15</v>
      </c>
      <c r="C77" s="8" t="s">
        <v>20</v>
      </c>
      <c r="D77" s="8">
        <v>3</v>
      </c>
      <c r="E77" s="7" t="s">
        <v>109</v>
      </c>
      <c r="F77" s="186"/>
      <c r="G77" s="9">
        <v>9</v>
      </c>
      <c r="H77" s="9">
        <v>9</v>
      </c>
      <c r="I77" s="9">
        <v>19</v>
      </c>
      <c r="J77" s="9">
        <v>19</v>
      </c>
      <c r="K77" s="9">
        <f t="shared" si="2"/>
        <v>9</v>
      </c>
      <c r="L77" s="9">
        <v>9</v>
      </c>
      <c r="M77" s="9">
        <f t="shared" si="3"/>
        <v>19</v>
      </c>
      <c r="N77" s="9">
        <v>19</v>
      </c>
    </row>
    <row r="78" spans="1:14" ht="15" customHeight="1" x14ac:dyDescent="0.35">
      <c r="A78" s="185"/>
      <c r="B78" s="12" t="s">
        <v>21</v>
      </c>
      <c r="C78" s="13" t="s">
        <v>16</v>
      </c>
      <c r="D78" s="13">
        <v>1</v>
      </c>
      <c r="E78" s="12" t="s">
        <v>17</v>
      </c>
      <c r="F78" s="186"/>
      <c r="G78" s="9">
        <v>9</v>
      </c>
      <c r="H78" s="9">
        <v>9</v>
      </c>
      <c r="I78" s="9">
        <v>14</v>
      </c>
      <c r="J78" s="9">
        <v>14</v>
      </c>
      <c r="K78" s="9">
        <f t="shared" si="2"/>
        <v>9</v>
      </c>
      <c r="L78" s="9">
        <v>9</v>
      </c>
      <c r="M78" s="9">
        <f t="shared" si="3"/>
        <v>14</v>
      </c>
      <c r="N78" s="9">
        <v>11</v>
      </c>
    </row>
    <row r="79" spans="1:14" ht="15" customHeight="1" x14ac:dyDescent="0.35">
      <c r="A79" s="185"/>
      <c r="B79" s="12" t="s">
        <v>21</v>
      </c>
      <c r="C79" s="13" t="s">
        <v>16</v>
      </c>
      <c r="D79" s="13">
        <v>1</v>
      </c>
      <c r="E79" s="12" t="s">
        <v>109</v>
      </c>
      <c r="F79" s="186"/>
      <c r="G79" s="9">
        <v>9</v>
      </c>
      <c r="H79" s="9">
        <v>9</v>
      </c>
      <c r="I79" s="9">
        <v>15</v>
      </c>
      <c r="J79" s="9">
        <v>15</v>
      </c>
      <c r="K79" s="9">
        <f t="shared" si="2"/>
        <v>9</v>
      </c>
      <c r="L79" s="9">
        <v>9</v>
      </c>
      <c r="M79" s="9">
        <f t="shared" si="3"/>
        <v>15</v>
      </c>
      <c r="N79" s="9">
        <v>15</v>
      </c>
    </row>
    <row r="80" spans="1:14" ht="15" customHeight="1" x14ac:dyDescent="0.35">
      <c r="A80" s="185"/>
      <c r="B80" s="14" t="s">
        <v>21</v>
      </c>
      <c r="C80" s="15" t="s">
        <v>16</v>
      </c>
      <c r="D80" s="15">
        <v>2</v>
      </c>
      <c r="E80" s="14" t="s">
        <v>17</v>
      </c>
      <c r="F80" s="186"/>
      <c r="G80" s="9">
        <v>9</v>
      </c>
      <c r="H80" s="9">
        <v>9</v>
      </c>
      <c r="I80" s="9">
        <v>16</v>
      </c>
      <c r="J80" s="9">
        <v>16</v>
      </c>
      <c r="K80" s="9">
        <f t="shared" si="2"/>
        <v>9</v>
      </c>
      <c r="L80" s="9">
        <v>9</v>
      </c>
      <c r="M80" s="9">
        <f t="shared" si="3"/>
        <v>16</v>
      </c>
      <c r="N80" s="9">
        <v>12</v>
      </c>
    </row>
    <row r="81" spans="1:14" ht="15" customHeight="1" x14ac:dyDescent="0.35">
      <c r="A81" s="185"/>
      <c r="B81" s="14" t="s">
        <v>21</v>
      </c>
      <c r="C81" s="15" t="s">
        <v>16</v>
      </c>
      <c r="D81" s="15">
        <v>2</v>
      </c>
      <c r="E81" s="14" t="s">
        <v>109</v>
      </c>
      <c r="F81" s="186"/>
      <c r="G81" s="9">
        <v>9</v>
      </c>
      <c r="H81" s="9">
        <v>9</v>
      </c>
      <c r="I81" s="9">
        <v>14</v>
      </c>
      <c r="J81" s="9">
        <v>14</v>
      </c>
      <c r="K81" s="9">
        <f t="shared" si="2"/>
        <v>9</v>
      </c>
      <c r="L81" s="9">
        <v>9</v>
      </c>
      <c r="M81" s="9">
        <f t="shared" si="3"/>
        <v>14</v>
      </c>
      <c r="N81" s="9">
        <v>11</v>
      </c>
    </row>
    <row r="82" spans="1:14" ht="15" customHeight="1" x14ac:dyDescent="0.35">
      <c r="A82" s="185"/>
      <c r="B82" s="12" t="s">
        <v>21</v>
      </c>
      <c r="C82" s="13" t="s">
        <v>16</v>
      </c>
      <c r="D82" s="13">
        <v>3</v>
      </c>
      <c r="E82" s="12" t="s">
        <v>17</v>
      </c>
      <c r="F82" s="186"/>
      <c r="G82" s="9">
        <v>9</v>
      </c>
      <c r="H82" s="9">
        <v>9</v>
      </c>
      <c r="I82" s="9">
        <v>14</v>
      </c>
      <c r="J82" s="9">
        <v>14</v>
      </c>
      <c r="K82" s="9">
        <f t="shared" si="2"/>
        <v>9</v>
      </c>
      <c r="L82" s="9">
        <v>9</v>
      </c>
      <c r="M82" s="9">
        <f t="shared" si="3"/>
        <v>14</v>
      </c>
      <c r="N82" s="9">
        <v>10</v>
      </c>
    </row>
    <row r="83" spans="1:14" ht="15" customHeight="1" x14ac:dyDescent="0.35">
      <c r="A83" s="185"/>
      <c r="B83" s="12" t="s">
        <v>21</v>
      </c>
      <c r="C83" s="13" t="s">
        <v>16</v>
      </c>
      <c r="D83" s="13">
        <v>3</v>
      </c>
      <c r="E83" s="12" t="s">
        <v>109</v>
      </c>
      <c r="F83" s="186"/>
      <c r="G83" s="9">
        <v>9</v>
      </c>
      <c r="H83" s="9">
        <v>9</v>
      </c>
      <c r="I83" s="9">
        <v>15</v>
      </c>
      <c r="J83" s="9">
        <v>15</v>
      </c>
      <c r="K83" s="9">
        <f t="shared" si="2"/>
        <v>9</v>
      </c>
      <c r="L83" s="9">
        <v>9</v>
      </c>
      <c r="M83" s="9">
        <f t="shared" si="3"/>
        <v>15</v>
      </c>
      <c r="N83" s="9">
        <v>14</v>
      </c>
    </row>
    <row r="84" spans="1:14" ht="15" customHeight="1" x14ac:dyDescent="0.35">
      <c r="A84" s="185"/>
      <c r="B84" s="14" t="s">
        <v>21</v>
      </c>
      <c r="C84" s="15" t="s">
        <v>19</v>
      </c>
      <c r="D84" s="15">
        <v>1</v>
      </c>
      <c r="E84" s="14" t="s">
        <v>17</v>
      </c>
      <c r="F84" s="186"/>
      <c r="G84" s="9">
        <v>9</v>
      </c>
      <c r="H84" s="9">
        <v>9</v>
      </c>
      <c r="I84" s="9">
        <v>15</v>
      </c>
      <c r="J84" s="9">
        <v>15</v>
      </c>
      <c r="K84" s="9">
        <f t="shared" si="2"/>
        <v>9</v>
      </c>
      <c r="L84" s="9">
        <v>9</v>
      </c>
      <c r="M84" s="9">
        <f t="shared" si="3"/>
        <v>15</v>
      </c>
      <c r="N84" s="9">
        <v>12</v>
      </c>
    </row>
    <row r="85" spans="1:14" ht="15" customHeight="1" x14ac:dyDescent="0.35">
      <c r="A85" s="185"/>
      <c r="B85" s="14" t="s">
        <v>21</v>
      </c>
      <c r="C85" s="15" t="s">
        <v>19</v>
      </c>
      <c r="D85" s="15">
        <v>1</v>
      </c>
      <c r="E85" s="14" t="s">
        <v>109</v>
      </c>
      <c r="F85" s="186"/>
      <c r="G85" s="9">
        <v>9</v>
      </c>
      <c r="H85" s="9">
        <v>9</v>
      </c>
      <c r="I85" s="9">
        <v>16</v>
      </c>
      <c r="J85" s="9">
        <v>16</v>
      </c>
      <c r="K85" s="9">
        <f t="shared" si="2"/>
        <v>9</v>
      </c>
      <c r="L85" s="9">
        <v>9</v>
      </c>
      <c r="M85" s="9">
        <f t="shared" si="3"/>
        <v>16</v>
      </c>
      <c r="N85" s="9">
        <v>16</v>
      </c>
    </row>
    <row r="86" spans="1:14" ht="15" customHeight="1" x14ac:dyDescent="0.35">
      <c r="A86" s="185"/>
      <c r="B86" s="12" t="s">
        <v>21</v>
      </c>
      <c r="C86" s="13" t="s">
        <v>19</v>
      </c>
      <c r="D86" s="13">
        <v>2</v>
      </c>
      <c r="E86" s="12" t="s">
        <v>17</v>
      </c>
      <c r="F86" s="186"/>
      <c r="G86" s="9">
        <v>9</v>
      </c>
      <c r="H86" s="9">
        <v>9</v>
      </c>
      <c r="I86" s="9">
        <v>15</v>
      </c>
      <c r="J86" s="9">
        <v>15</v>
      </c>
      <c r="K86" s="9">
        <f t="shared" si="2"/>
        <v>9</v>
      </c>
      <c r="L86" s="9">
        <v>9</v>
      </c>
      <c r="M86" s="9">
        <f t="shared" si="3"/>
        <v>15</v>
      </c>
      <c r="N86" s="9">
        <v>13</v>
      </c>
    </row>
    <row r="87" spans="1:14" ht="15" customHeight="1" x14ac:dyDescent="0.35">
      <c r="A87" s="185"/>
      <c r="B87" s="12" t="s">
        <v>21</v>
      </c>
      <c r="C87" s="13" t="s">
        <v>19</v>
      </c>
      <c r="D87" s="13">
        <v>2</v>
      </c>
      <c r="E87" s="12" t="s">
        <v>109</v>
      </c>
      <c r="F87" s="186"/>
      <c r="G87" s="9">
        <v>9</v>
      </c>
      <c r="H87" s="9">
        <v>9</v>
      </c>
      <c r="I87" s="9">
        <v>15</v>
      </c>
      <c r="J87" s="9">
        <v>15</v>
      </c>
      <c r="K87" s="9">
        <f t="shared" si="2"/>
        <v>9</v>
      </c>
      <c r="L87" s="9">
        <v>9</v>
      </c>
      <c r="M87" s="9">
        <f t="shared" si="3"/>
        <v>15</v>
      </c>
      <c r="N87" s="9">
        <v>15</v>
      </c>
    </row>
    <row r="88" spans="1:14" ht="15" customHeight="1" x14ac:dyDescent="0.35">
      <c r="A88" s="185"/>
      <c r="B88" s="14" t="s">
        <v>21</v>
      </c>
      <c r="C88" s="15" t="s">
        <v>19</v>
      </c>
      <c r="D88" s="15">
        <v>3</v>
      </c>
      <c r="E88" s="14" t="s">
        <v>17</v>
      </c>
      <c r="F88" s="186"/>
      <c r="G88" s="9">
        <v>9</v>
      </c>
      <c r="H88" s="9">
        <v>9</v>
      </c>
      <c r="I88" s="9">
        <v>16</v>
      </c>
      <c r="J88" s="9">
        <v>16</v>
      </c>
      <c r="K88" s="9">
        <f t="shared" si="2"/>
        <v>9</v>
      </c>
      <c r="L88" s="9">
        <v>9</v>
      </c>
      <c r="M88" s="9">
        <f t="shared" si="3"/>
        <v>16</v>
      </c>
      <c r="N88" s="9">
        <v>13</v>
      </c>
    </row>
    <row r="89" spans="1:14" ht="15" customHeight="1" x14ac:dyDescent="0.35">
      <c r="A89" s="185"/>
      <c r="B89" s="14" t="s">
        <v>21</v>
      </c>
      <c r="C89" s="15" t="s">
        <v>19</v>
      </c>
      <c r="D89" s="15">
        <v>3</v>
      </c>
      <c r="E89" s="14" t="s">
        <v>109</v>
      </c>
      <c r="F89" s="186"/>
      <c r="G89" s="9">
        <v>9</v>
      </c>
      <c r="H89" s="9">
        <v>9</v>
      </c>
      <c r="I89" s="9">
        <v>15</v>
      </c>
      <c r="J89" s="9">
        <v>15</v>
      </c>
      <c r="K89" s="9">
        <f t="shared" si="2"/>
        <v>9</v>
      </c>
      <c r="L89" s="9">
        <v>9</v>
      </c>
      <c r="M89" s="9">
        <f t="shared" si="3"/>
        <v>15</v>
      </c>
      <c r="N89" s="9">
        <v>15</v>
      </c>
    </row>
    <row r="90" spans="1:14" ht="15" customHeight="1" x14ac:dyDescent="0.35">
      <c r="A90" s="185"/>
      <c r="B90" s="12" t="s">
        <v>21</v>
      </c>
      <c r="C90" s="13" t="s">
        <v>20</v>
      </c>
      <c r="D90" s="13">
        <v>1</v>
      </c>
      <c r="E90" s="12" t="s">
        <v>17</v>
      </c>
      <c r="F90" s="186"/>
      <c r="G90" s="9">
        <v>9</v>
      </c>
      <c r="H90" s="9">
        <v>9</v>
      </c>
      <c r="I90" s="9">
        <v>15</v>
      </c>
      <c r="J90" s="9">
        <v>15</v>
      </c>
      <c r="K90" s="9">
        <f t="shared" si="2"/>
        <v>9</v>
      </c>
      <c r="L90" s="9">
        <v>9</v>
      </c>
      <c r="M90" s="9">
        <f t="shared" si="3"/>
        <v>15</v>
      </c>
      <c r="N90" s="9">
        <v>11</v>
      </c>
    </row>
    <row r="91" spans="1:14" ht="15" customHeight="1" x14ac:dyDescent="0.35">
      <c r="A91" s="185"/>
      <c r="B91" s="12" t="s">
        <v>21</v>
      </c>
      <c r="C91" s="13" t="s">
        <v>20</v>
      </c>
      <c r="D91" s="13">
        <v>1</v>
      </c>
      <c r="E91" s="12" t="s">
        <v>109</v>
      </c>
      <c r="F91" s="186"/>
      <c r="G91" s="9">
        <v>9</v>
      </c>
      <c r="H91" s="9">
        <v>9</v>
      </c>
      <c r="I91" s="9">
        <v>16</v>
      </c>
      <c r="J91" s="9">
        <v>16</v>
      </c>
      <c r="K91" s="9">
        <f t="shared" si="2"/>
        <v>9</v>
      </c>
      <c r="L91" s="9">
        <v>9</v>
      </c>
      <c r="M91" s="9">
        <f t="shared" si="3"/>
        <v>16</v>
      </c>
      <c r="N91" s="9">
        <v>15</v>
      </c>
    </row>
    <row r="92" spans="1:14" ht="15" customHeight="1" x14ac:dyDescent="0.35">
      <c r="A92" s="185"/>
      <c r="B92" s="14" t="s">
        <v>21</v>
      </c>
      <c r="C92" s="15" t="s">
        <v>20</v>
      </c>
      <c r="D92" s="15">
        <v>2</v>
      </c>
      <c r="E92" s="14" t="s">
        <v>17</v>
      </c>
      <c r="F92" s="186"/>
      <c r="G92" s="9">
        <v>9</v>
      </c>
      <c r="H92" s="9">
        <v>9</v>
      </c>
      <c r="I92" s="9">
        <v>15</v>
      </c>
      <c r="J92" s="9">
        <v>15</v>
      </c>
      <c r="K92" s="9">
        <f t="shared" si="2"/>
        <v>9</v>
      </c>
      <c r="L92" s="9">
        <v>9</v>
      </c>
      <c r="M92" s="9">
        <f t="shared" si="3"/>
        <v>15</v>
      </c>
      <c r="N92" s="9">
        <v>13</v>
      </c>
    </row>
    <row r="93" spans="1:14" ht="15" customHeight="1" x14ac:dyDescent="0.35">
      <c r="A93" s="185"/>
      <c r="B93" s="14" t="s">
        <v>21</v>
      </c>
      <c r="C93" s="15" t="s">
        <v>20</v>
      </c>
      <c r="D93" s="15">
        <v>2</v>
      </c>
      <c r="E93" s="14" t="s">
        <v>109</v>
      </c>
      <c r="F93" s="186"/>
      <c r="G93" s="9">
        <v>9</v>
      </c>
      <c r="H93" s="9">
        <v>9</v>
      </c>
      <c r="I93" s="9">
        <v>15</v>
      </c>
      <c r="J93" s="9">
        <v>15</v>
      </c>
      <c r="K93" s="9">
        <f t="shared" si="2"/>
        <v>9</v>
      </c>
      <c r="L93" s="9">
        <v>9</v>
      </c>
      <c r="M93" s="9">
        <f t="shared" si="3"/>
        <v>15</v>
      </c>
      <c r="N93" s="9">
        <v>15</v>
      </c>
    </row>
    <row r="94" spans="1:14" ht="15" customHeight="1" x14ac:dyDescent="0.35">
      <c r="A94" s="185"/>
      <c r="B94" s="12" t="s">
        <v>21</v>
      </c>
      <c r="C94" s="13" t="s">
        <v>20</v>
      </c>
      <c r="D94" s="13">
        <v>3</v>
      </c>
      <c r="E94" s="12" t="s">
        <v>17</v>
      </c>
      <c r="F94" s="186"/>
      <c r="G94" s="9">
        <v>9</v>
      </c>
      <c r="H94" s="9">
        <v>9</v>
      </c>
      <c r="I94" s="9">
        <v>14</v>
      </c>
      <c r="J94" s="9">
        <v>14</v>
      </c>
      <c r="K94" s="9">
        <f t="shared" si="2"/>
        <v>9</v>
      </c>
      <c r="L94" s="9">
        <v>9</v>
      </c>
      <c r="M94" s="9">
        <f t="shared" si="3"/>
        <v>14</v>
      </c>
      <c r="N94" s="9">
        <v>12</v>
      </c>
    </row>
    <row r="95" spans="1:14" ht="15" customHeight="1" x14ac:dyDescent="0.35">
      <c r="A95" s="185"/>
      <c r="B95" s="12" t="s">
        <v>21</v>
      </c>
      <c r="C95" s="13" t="s">
        <v>20</v>
      </c>
      <c r="D95" s="13">
        <v>3</v>
      </c>
      <c r="E95" s="12" t="s">
        <v>109</v>
      </c>
      <c r="F95" s="186"/>
      <c r="G95" s="9">
        <v>9</v>
      </c>
      <c r="H95" s="9">
        <v>9</v>
      </c>
      <c r="I95" s="9">
        <v>17</v>
      </c>
      <c r="J95" s="9">
        <v>17</v>
      </c>
      <c r="K95" s="9">
        <f t="shared" si="2"/>
        <v>9</v>
      </c>
      <c r="L95" s="9">
        <v>9</v>
      </c>
      <c r="M95" s="9">
        <f t="shared" si="3"/>
        <v>17</v>
      </c>
      <c r="N95" s="9">
        <v>16</v>
      </c>
    </row>
    <row r="96" spans="1:14" ht="15" customHeight="1" x14ac:dyDescent="0.35">
      <c r="A96" s="185"/>
      <c r="B96" s="16" t="s">
        <v>22</v>
      </c>
      <c r="C96" s="17" t="s">
        <v>16</v>
      </c>
      <c r="D96" s="17">
        <v>1</v>
      </c>
      <c r="E96" s="16" t="s">
        <v>17</v>
      </c>
      <c r="F96" s="186"/>
      <c r="G96" s="9">
        <v>9</v>
      </c>
      <c r="H96" s="9">
        <v>9</v>
      </c>
      <c r="I96" s="9">
        <v>15</v>
      </c>
      <c r="J96" s="9">
        <v>15</v>
      </c>
      <c r="K96" s="9">
        <f t="shared" si="2"/>
        <v>9</v>
      </c>
      <c r="L96" s="9">
        <v>9</v>
      </c>
      <c r="M96" s="9">
        <f t="shared" si="3"/>
        <v>15</v>
      </c>
      <c r="N96" s="9">
        <v>14</v>
      </c>
    </row>
    <row r="97" spans="1:14" ht="15" customHeight="1" x14ac:dyDescent="0.35">
      <c r="A97" s="185"/>
      <c r="B97" s="16" t="s">
        <v>22</v>
      </c>
      <c r="C97" s="17" t="s">
        <v>16</v>
      </c>
      <c r="D97" s="17">
        <v>1</v>
      </c>
      <c r="E97" s="16" t="s">
        <v>109</v>
      </c>
      <c r="F97" s="186"/>
      <c r="G97" s="9">
        <v>9</v>
      </c>
      <c r="H97" s="9">
        <v>9</v>
      </c>
      <c r="I97" s="9">
        <v>15</v>
      </c>
      <c r="J97" s="9">
        <v>15</v>
      </c>
      <c r="K97" s="9">
        <f t="shared" si="2"/>
        <v>9</v>
      </c>
      <c r="L97" s="9">
        <v>9</v>
      </c>
      <c r="M97" s="9">
        <f t="shared" si="3"/>
        <v>15</v>
      </c>
      <c r="N97" s="9">
        <v>14</v>
      </c>
    </row>
    <row r="98" spans="1:14" ht="15" customHeight="1" x14ac:dyDescent="0.35">
      <c r="A98" s="185"/>
      <c r="B98" s="18" t="s">
        <v>22</v>
      </c>
      <c r="C98" s="19" t="s">
        <v>16</v>
      </c>
      <c r="D98" s="19">
        <v>2</v>
      </c>
      <c r="E98" s="18" t="s">
        <v>17</v>
      </c>
      <c r="F98" s="186"/>
      <c r="G98" s="9">
        <v>9</v>
      </c>
      <c r="H98" s="9">
        <v>9</v>
      </c>
      <c r="I98" s="9">
        <v>16</v>
      </c>
      <c r="J98" s="9">
        <v>16</v>
      </c>
      <c r="K98" s="9">
        <f t="shared" si="2"/>
        <v>9</v>
      </c>
      <c r="L98" s="9">
        <v>9</v>
      </c>
      <c r="M98" s="9">
        <f t="shared" si="3"/>
        <v>16</v>
      </c>
      <c r="N98" s="9">
        <v>16</v>
      </c>
    </row>
    <row r="99" spans="1:14" ht="15" customHeight="1" x14ac:dyDescent="0.35">
      <c r="A99" s="185"/>
      <c r="B99" s="18" t="s">
        <v>22</v>
      </c>
      <c r="C99" s="19" t="s">
        <v>16</v>
      </c>
      <c r="D99" s="19">
        <v>2</v>
      </c>
      <c r="E99" s="18" t="s">
        <v>109</v>
      </c>
      <c r="F99" s="186"/>
      <c r="G99" s="9">
        <v>9</v>
      </c>
      <c r="H99" s="9">
        <v>9</v>
      </c>
      <c r="I99" s="9">
        <v>15</v>
      </c>
      <c r="J99" s="9">
        <v>15</v>
      </c>
      <c r="K99" s="9">
        <f t="shared" si="2"/>
        <v>9</v>
      </c>
      <c r="L99" s="9">
        <v>9</v>
      </c>
      <c r="M99" s="9">
        <f t="shared" si="3"/>
        <v>15</v>
      </c>
      <c r="N99" s="9">
        <v>15</v>
      </c>
    </row>
    <row r="100" spans="1:14" ht="15" customHeight="1" x14ac:dyDescent="0.35">
      <c r="A100" s="185"/>
      <c r="B100" s="16" t="s">
        <v>22</v>
      </c>
      <c r="C100" s="17" t="s">
        <v>16</v>
      </c>
      <c r="D100" s="17">
        <v>3</v>
      </c>
      <c r="E100" s="16" t="s">
        <v>17</v>
      </c>
      <c r="F100" s="186"/>
      <c r="G100" s="9">
        <v>9</v>
      </c>
      <c r="H100" s="9">
        <v>9</v>
      </c>
      <c r="I100" s="9">
        <v>16</v>
      </c>
      <c r="J100" s="9">
        <v>16</v>
      </c>
      <c r="K100" s="9">
        <f t="shared" si="2"/>
        <v>9</v>
      </c>
      <c r="L100" s="9">
        <v>9</v>
      </c>
      <c r="M100" s="9">
        <f t="shared" si="3"/>
        <v>16</v>
      </c>
      <c r="N100" s="9">
        <v>16</v>
      </c>
    </row>
    <row r="101" spans="1:14" ht="15" customHeight="1" x14ac:dyDescent="0.35">
      <c r="A101" s="185"/>
      <c r="B101" s="16" t="s">
        <v>22</v>
      </c>
      <c r="C101" s="17" t="s">
        <v>16</v>
      </c>
      <c r="D101" s="17">
        <v>3</v>
      </c>
      <c r="E101" s="16" t="s">
        <v>109</v>
      </c>
      <c r="F101" s="186"/>
      <c r="G101" s="9">
        <v>9</v>
      </c>
      <c r="H101" s="9">
        <v>9</v>
      </c>
      <c r="I101" s="9">
        <v>14</v>
      </c>
      <c r="J101" s="9">
        <v>14</v>
      </c>
      <c r="K101" s="9">
        <f t="shared" si="2"/>
        <v>9</v>
      </c>
      <c r="L101" s="9">
        <v>9</v>
      </c>
      <c r="M101" s="9">
        <f t="shared" si="3"/>
        <v>14</v>
      </c>
      <c r="N101" s="9">
        <v>14</v>
      </c>
    </row>
    <row r="102" spans="1:14" ht="15" customHeight="1" x14ac:dyDescent="0.35">
      <c r="A102" s="185"/>
      <c r="B102" s="18" t="s">
        <v>22</v>
      </c>
      <c r="C102" s="19" t="s">
        <v>19</v>
      </c>
      <c r="D102" s="19">
        <v>1</v>
      </c>
      <c r="E102" s="18" t="s">
        <v>17</v>
      </c>
      <c r="F102" s="186"/>
      <c r="G102" s="9">
        <v>9</v>
      </c>
      <c r="H102" s="9">
        <v>9</v>
      </c>
      <c r="I102" s="9">
        <v>15</v>
      </c>
      <c r="J102" s="9">
        <v>15</v>
      </c>
      <c r="K102" s="9">
        <f t="shared" si="2"/>
        <v>9</v>
      </c>
      <c r="L102" s="9">
        <v>9</v>
      </c>
      <c r="M102" s="9">
        <f t="shared" si="3"/>
        <v>15</v>
      </c>
      <c r="N102" s="9">
        <v>14</v>
      </c>
    </row>
    <row r="103" spans="1:14" ht="15" customHeight="1" x14ac:dyDescent="0.35">
      <c r="A103" s="185"/>
      <c r="B103" s="18" t="s">
        <v>22</v>
      </c>
      <c r="C103" s="19" t="s">
        <v>19</v>
      </c>
      <c r="D103" s="19">
        <v>1</v>
      </c>
      <c r="E103" s="18" t="s">
        <v>109</v>
      </c>
      <c r="F103" s="186"/>
      <c r="G103" s="9">
        <v>9</v>
      </c>
      <c r="H103" s="9">
        <v>9</v>
      </c>
      <c r="I103" s="9">
        <v>14</v>
      </c>
      <c r="J103" s="9">
        <v>14</v>
      </c>
      <c r="K103" s="9">
        <f t="shared" si="2"/>
        <v>9</v>
      </c>
      <c r="L103" s="9">
        <v>9</v>
      </c>
      <c r="M103" s="9">
        <f t="shared" si="3"/>
        <v>14</v>
      </c>
      <c r="N103" s="9">
        <v>13</v>
      </c>
    </row>
    <row r="104" spans="1:14" ht="15" customHeight="1" x14ac:dyDescent="0.35">
      <c r="A104" s="185"/>
      <c r="B104" s="16" t="s">
        <v>22</v>
      </c>
      <c r="C104" s="17" t="s">
        <v>19</v>
      </c>
      <c r="D104" s="17">
        <v>2</v>
      </c>
      <c r="E104" s="16" t="s">
        <v>17</v>
      </c>
      <c r="F104" s="186"/>
      <c r="G104" s="9">
        <v>9</v>
      </c>
      <c r="H104" s="9">
        <v>9</v>
      </c>
      <c r="I104" s="9">
        <v>16</v>
      </c>
      <c r="J104" s="9">
        <v>16</v>
      </c>
      <c r="K104" s="9">
        <f t="shared" si="2"/>
        <v>9</v>
      </c>
      <c r="L104" s="9">
        <v>9</v>
      </c>
      <c r="M104" s="9">
        <f t="shared" si="3"/>
        <v>16</v>
      </c>
      <c r="N104" s="9">
        <v>12</v>
      </c>
    </row>
    <row r="105" spans="1:14" ht="15" customHeight="1" x14ac:dyDescent="0.35">
      <c r="A105" s="185"/>
      <c r="B105" s="16" t="s">
        <v>22</v>
      </c>
      <c r="C105" s="17" t="s">
        <v>19</v>
      </c>
      <c r="D105" s="17">
        <v>2</v>
      </c>
      <c r="E105" s="16" t="s">
        <v>109</v>
      </c>
      <c r="F105" s="186"/>
      <c r="G105" s="9">
        <v>8</v>
      </c>
      <c r="H105" s="9">
        <v>8</v>
      </c>
      <c r="I105" s="9">
        <v>14</v>
      </c>
      <c r="J105" s="9">
        <v>14</v>
      </c>
      <c r="K105" s="9">
        <f t="shared" si="2"/>
        <v>8</v>
      </c>
      <c r="L105" s="9">
        <v>8</v>
      </c>
      <c r="M105" s="9">
        <f t="shared" si="3"/>
        <v>14</v>
      </c>
      <c r="N105" s="9">
        <v>14</v>
      </c>
    </row>
    <row r="106" spans="1:14" ht="15" customHeight="1" x14ac:dyDescent="0.35">
      <c r="A106" s="185"/>
      <c r="B106" s="18" t="s">
        <v>22</v>
      </c>
      <c r="C106" s="19" t="s">
        <v>19</v>
      </c>
      <c r="D106" s="19">
        <v>3</v>
      </c>
      <c r="E106" s="18" t="s">
        <v>17</v>
      </c>
      <c r="F106" s="186"/>
      <c r="G106" s="9">
        <v>9</v>
      </c>
      <c r="H106" s="9">
        <v>9</v>
      </c>
      <c r="I106" s="9">
        <v>15</v>
      </c>
      <c r="J106" s="9">
        <v>15</v>
      </c>
      <c r="K106" s="9">
        <f t="shared" si="2"/>
        <v>9</v>
      </c>
      <c r="L106" s="9">
        <v>9</v>
      </c>
      <c r="M106" s="9">
        <f t="shared" si="3"/>
        <v>15</v>
      </c>
      <c r="N106" s="9">
        <v>13</v>
      </c>
    </row>
    <row r="107" spans="1:14" ht="15" customHeight="1" x14ac:dyDescent="0.35">
      <c r="A107" s="185"/>
      <c r="B107" s="18" t="s">
        <v>22</v>
      </c>
      <c r="C107" s="19" t="s">
        <v>19</v>
      </c>
      <c r="D107" s="19">
        <v>3</v>
      </c>
      <c r="E107" s="18" t="s">
        <v>109</v>
      </c>
      <c r="F107" s="186"/>
      <c r="G107" s="9">
        <v>9</v>
      </c>
      <c r="H107" s="9">
        <v>9</v>
      </c>
      <c r="I107" s="9">
        <v>14</v>
      </c>
      <c r="J107" s="9">
        <v>14</v>
      </c>
      <c r="K107" s="9">
        <f t="shared" si="2"/>
        <v>9</v>
      </c>
      <c r="L107" s="9">
        <v>9</v>
      </c>
      <c r="M107" s="9">
        <f t="shared" si="3"/>
        <v>14</v>
      </c>
      <c r="N107" s="9">
        <v>14</v>
      </c>
    </row>
    <row r="108" spans="1:14" ht="15" customHeight="1" x14ac:dyDescent="0.35">
      <c r="A108" s="185"/>
      <c r="B108" s="16" t="s">
        <v>22</v>
      </c>
      <c r="C108" s="17" t="s">
        <v>20</v>
      </c>
      <c r="D108" s="17">
        <v>1</v>
      </c>
      <c r="E108" s="16" t="s">
        <v>17</v>
      </c>
      <c r="F108" s="186"/>
      <c r="G108" s="9">
        <v>9</v>
      </c>
      <c r="H108" s="9">
        <v>9</v>
      </c>
      <c r="I108" s="9">
        <v>14</v>
      </c>
      <c r="J108" s="9">
        <v>13</v>
      </c>
      <c r="K108" s="9">
        <f t="shared" si="2"/>
        <v>9</v>
      </c>
      <c r="L108" s="9">
        <v>9</v>
      </c>
      <c r="M108" s="9">
        <f t="shared" si="3"/>
        <v>14</v>
      </c>
      <c r="N108" s="9">
        <v>11</v>
      </c>
    </row>
    <row r="109" spans="1:14" ht="15" customHeight="1" x14ac:dyDescent="0.35">
      <c r="A109" s="185"/>
      <c r="B109" s="16" t="s">
        <v>22</v>
      </c>
      <c r="C109" s="17" t="s">
        <v>20</v>
      </c>
      <c r="D109" s="17">
        <v>1</v>
      </c>
      <c r="E109" s="16" t="s">
        <v>109</v>
      </c>
      <c r="F109" s="186"/>
      <c r="G109" s="9">
        <v>9</v>
      </c>
      <c r="H109" s="9">
        <v>9</v>
      </c>
      <c r="I109" s="9">
        <v>16</v>
      </c>
      <c r="J109" s="9">
        <v>16</v>
      </c>
      <c r="K109" s="9">
        <f t="shared" si="2"/>
        <v>9</v>
      </c>
      <c r="L109" s="9">
        <v>9</v>
      </c>
      <c r="M109" s="9">
        <f t="shared" si="3"/>
        <v>16</v>
      </c>
      <c r="N109" s="9">
        <v>14</v>
      </c>
    </row>
    <row r="110" spans="1:14" ht="15" customHeight="1" x14ac:dyDescent="0.35">
      <c r="A110" s="185"/>
      <c r="B110" s="18" t="s">
        <v>22</v>
      </c>
      <c r="C110" s="19" t="s">
        <v>20</v>
      </c>
      <c r="D110" s="19">
        <v>2</v>
      </c>
      <c r="E110" s="18" t="s">
        <v>17</v>
      </c>
      <c r="F110" s="186"/>
      <c r="G110" s="9">
        <v>9</v>
      </c>
      <c r="H110" s="9">
        <v>9</v>
      </c>
      <c r="I110" s="9">
        <v>14</v>
      </c>
      <c r="J110" s="9">
        <v>14</v>
      </c>
      <c r="K110" s="9">
        <f t="shared" si="2"/>
        <v>9</v>
      </c>
      <c r="L110" s="9">
        <v>9</v>
      </c>
      <c r="M110" s="9">
        <f t="shared" si="3"/>
        <v>14</v>
      </c>
      <c r="N110" s="9">
        <v>13</v>
      </c>
    </row>
    <row r="111" spans="1:14" ht="15" customHeight="1" x14ac:dyDescent="0.35">
      <c r="A111" s="185"/>
      <c r="B111" s="18" t="s">
        <v>22</v>
      </c>
      <c r="C111" s="19" t="s">
        <v>20</v>
      </c>
      <c r="D111" s="19">
        <v>2</v>
      </c>
      <c r="E111" s="18" t="s">
        <v>109</v>
      </c>
      <c r="F111" s="186"/>
      <c r="G111" s="9">
        <v>9</v>
      </c>
      <c r="H111" s="9">
        <v>9</v>
      </c>
      <c r="I111" s="9">
        <v>15</v>
      </c>
      <c r="J111" s="9">
        <v>15</v>
      </c>
      <c r="K111" s="9">
        <f t="shared" si="2"/>
        <v>9</v>
      </c>
      <c r="L111" s="9">
        <v>9</v>
      </c>
      <c r="M111" s="9">
        <f t="shared" si="3"/>
        <v>15</v>
      </c>
      <c r="N111" s="9">
        <v>15</v>
      </c>
    </row>
    <row r="112" spans="1:14" ht="15" customHeight="1" x14ac:dyDescent="0.35">
      <c r="A112" s="185"/>
      <c r="B112" s="16" t="s">
        <v>22</v>
      </c>
      <c r="C112" s="17" t="s">
        <v>20</v>
      </c>
      <c r="D112" s="17">
        <v>3</v>
      </c>
      <c r="E112" s="16" t="s">
        <v>17</v>
      </c>
      <c r="F112" s="186"/>
      <c r="G112" s="9">
        <v>9</v>
      </c>
      <c r="H112" s="9">
        <v>9</v>
      </c>
      <c r="I112" s="9">
        <v>14</v>
      </c>
      <c r="J112" s="9">
        <v>14</v>
      </c>
      <c r="K112" s="9">
        <f t="shared" si="2"/>
        <v>9</v>
      </c>
      <c r="L112" s="9">
        <v>9</v>
      </c>
      <c r="M112" s="9">
        <f t="shared" si="3"/>
        <v>14</v>
      </c>
      <c r="N112" s="9">
        <v>13</v>
      </c>
    </row>
    <row r="113" spans="1:14" ht="15" customHeight="1" x14ac:dyDescent="0.35">
      <c r="A113" s="185"/>
      <c r="B113" s="20" t="s">
        <v>22</v>
      </c>
      <c r="C113" s="21" t="s">
        <v>20</v>
      </c>
      <c r="D113" s="21">
        <v>3</v>
      </c>
      <c r="E113" s="20" t="s">
        <v>109</v>
      </c>
      <c r="F113" s="186"/>
      <c r="G113" s="22">
        <v>9</v>
      </c>
      <c r="H113" s="22">
        <v>9</v>
      </c>
      <c r="I113" s="22">
        <v>17</v>
      </c>
      <c r="J113" s="22">
        <v>17</v>
      </c>
      <c r="K113" s="95">
        <f t="shared" si="2"/>
        <v>9</v>
      </c>
      <c r="L113" s="95">
        <v>9</v>
      </c>
      <c r="M113" s="95">
        <f t="shared" si="3"/>
        <v>17</v>
      </c>
      <c r="N113" s="22">
        <v>17</v>
      </c>
    </row>
    <row r="114" spans="1:14" ht="15" customHeight="1" x14ac:dyDescent="0.35">
      <c r="A114" s="185" t="s">
        <v>24</v>
      </c>
      <c r="B114" s="7" t="s">
        <v>15</v>
      </c>
      <c r="C114" s="8" t="s">
        <v>16</v>
      </c>
      <c r="D114" s="8">
        <v>1</v>
      </c>
      <c r="E114" s="7" t="s">
        <v>17</v>
      </c>
      <c r="F114" s="186">
        <v>51</v>
      </c>
      <c r="G114" s="9">
        <v>9</v>
      </c>
      <c r="H114" s="9">
        <v>9</v>
      </c>
      <c r="I114" s="9">
        <v>19</v>
      </c>
      <c r="J114" s="9">
        <v>19</v>
      </c>
      <c r="K114" s="94">
        <f t="shared" si="2"/>
        <v>9</v>
      </c>
      <c r="L114" s="94">
        <v>7</v>
      </c>
      <c r="M114" s="94">
        <f t="shared" si="3"/>
        <v>19</v>
      </c>
      <c r="N114" s="9">
        <v>7</v>
      </c>
    </row>
    <row r="115" spans="1:14" ht="15" customHeight="1" x14ac:dyDescent="0.35">
      <c r="A115" s="185"/>
      <c r="B115" s="7" t="s">
        <v>15</v>
      </c>
      <c r="C115" s="8" t="s">
        <v>16</v>
      </c>
      <c r="D115" s="8">
        <v>1</v>
      </c>
      <c r="E115" s="7" t="s">
        <v>109</v>
      </c>
      <c r="F115" s="186"/>
      <c r="G115" s="9">
        <v>9</v>
      </c>
      <c r="H115" s="9">
        <v>9</v>
      </c>
      <c r="I115" s="9">
        <v>19</v>
      </c>
      <c r="J115" s="9">
        <v>19</v>
      </c>
      <c r="K115" s="9">
        <f t="shared" si="2"/>
        <v>9</v>
      </c>
      <c r="L115" s="9">
        <v>7</v>
      </c>
      <c r="M115" s="9">
        <f t="shared" si="3"/>
        <v>19</v>
      </c>
      <c r="N115" s="9">
        <v>7</v>
      </c>
    </row>
    <row r="116" spans="1:14" ht="15" customHeight="1" x14ac:dyDescent="0.35">
      <c r="A116" s="185"/>
      <c r="B116" s="10" t="s">
        <v>15</v>
      </c>
      <c r="C116" s="11" t="s">
        <v>16</v>
      </c>
      <c r="D116" s="11">
        <v>2</v>
      </c>
      <c r="E116" s="10" t="s">
        <v>17</v>
      </c>
      <c r="F116" s="186"/>
      <c r="G116" s="9">
        <v>9</v>
      </c>
      <c r="H116" s="9">
        <v>9</v>
      </c>
      <c r="I116" s="9">
        <v>17</v>
      </c>
      <c r="J116" s="9">
        <v>17</v>
      </c>
      <c r="K116" s="9">
        <f t="shared" si="2"/>
        <v>9</v>
      </c>
      <c r="L116" s="9">
        <v>7</v>
      </c>
      <c r="M116" s="9">
        <f t="shared" si="3"/>
        <v>17</v>
      </c>
      <c r="N116" s="9">
        <v>7</v>
      </c>
    </row>
    <row r="117" spans="1:14" ht="15" customHeight="1" x14ac:dyDescent="0.35">
      <c r="A117" s="185"/>
      <c r="B117" s="10" t="s">
        <v>15</v>
      </c>
      <c r="C117" s="11" t="s">
        <v>16</v>
      </c>
      <c r="D117" s="11">
        <v>2</v>
      </c>
      <c r="E117" s="10" t="s">
        <v>109</v>
      </c>
      <c r="F117" s="186"/>
      <c r="G117" s="9">
        <v>9</v>
      </c>
      <c r="H117" s="9">
        <v>9</v>
      </c>
      <c r="I117" s="9">
        <v>17</v>
      </c>
      <c r="J117" s="9">
        <v>17</v>
      </c>
      <c r="K117" s="9">
        <f t="shared" si="2"/>
        <v>9</v>
      </c>
      <c r="L117" s="9">
        <v>7</v>
      </c>
      <c r="M117" s="9">
        <f t="shared" si="3"/>
        <v>17</v>
      </c>
      <c r="N117" s="9">
        <v>7</v>
      </c>
    </row>
    <row r="118" spans="1:14" ht="15" customHeight="1" x14ac:dyDescent="0.35">
      <c r="A118" s="185"/>
      <c r="B118" s="7" t="s">
        <v>15</v>
      </c>
      <c r="C118" s="8" t="s">
        <v>16</v>
      </c>
      <c r="D118" s="8">
        <v>3</v>
      </c>
      <c r="E118" s="7" t="s">
        <v>17</v>
      </c>
      <c r="F118" s="186"/>
      <c r="G118" s="9">
        <v>9</v>
      </c>
      <c r="H118" s="9">
        <v>9</v>
      </c>
      <c r="I118" s="9">
        <v>17</v>
      </c>
      <c r="J118" s="9">
        <v>17</v>
      </c>
      <c r="K118" s="9">
        <f t="shared" si="2"/>
        <v>9</v>
      </c>
      <c r="L118" s="9">
        <v>7</v>
      </c>
      <c r="M118" s="9">
        <f t="shared" si="3"/>
        <v>17</v>
      </c>
      <c r="N118" s="9">
        <v>7</v>
      </c>
    </row>
    <row r="119" spans="1:14" ht="15" customHeight="1" x14ac:dyDescent="0.35">
      <c r="A119" s="185"/>
      <c r="B119" s="7" t="s">
        <v>15</v>
      </c>
      <c r="C119" s="8" t="s">
        <v>16</v>
      </c>
      <c r="D119" s="8">
        <v>3</v>
      </c>
      <c r="E119" s="7" t="s">
        <v>109</v>
      </c>
      <c r="F119" s="186"/>
      <c r="G119" s="9">
        <v>11</v>
      </c>
      <c r="H119" s="9">
        <v>11</v>
      </c>
      <c r="I119" s="9">
        <v>23</v>
      </c>
      <c r="J119" s="9">
        <v>23</v>
      </c>
      <c r="K119" s="9">
        <f t="shared" si="2"/>
        <v>11</v>
      </c>
      <c r="L119" s="9">
        <v>11</v>
      </c>
      <c r="M119" s="9">
        <f t="shared" si="3"/>
        <v>23</v>
      </c>
      <c r="N119" s="9">
        <v>23</v>
      </c>
    </row>
    <row r="120" spans="1:14" ht="15" customHeight="1" x14ac:dyDescent="0.35">
      <c r="A120" s="185"/>
      <c r="B120" s="10" t="s">
        <v>15</v>
      </c>
      <c r="C120" s="11" t="s">
        <v>19</v>
      </c>
      <c r="D120" s="11">
        <v>1</v>
      </c>
      <c r="E120" s="10" t="s">
        <v>17</v>
      </c>
      <c r="F120" s="186"/>
      <c r="G120" s="9">
        <v>9</v>
      </c>
      <c r="H120" s="9">
        <v>9</v>
      </c>
      <c r="I120" s="9">
        <v>17</v>
      </c>
      <c r="J120" s="9">
        <v>17</v>
      </c>
      <c r="K120" s="9">
        <f t="shared" si="2"/>
        <v>9</v>
      </c>
      <c r="L120" s="9">
        <v>7</v>
      </c>
      <c r="M120" s="9">
        <f t="shared" si="3"/>
        <v>17</v>
      </c>
      <c r="N120" s="9">
        <v>7</v>
      </c>
    </row>
    <row r="121" spans="1:14" ht="15" customHeight="1" x14ac:dyDescent="0.35">
      <c r="A121" s="185"/>
      <c r="B121" s="10" t="s">
        <v>15</v>
      </c>
      <c r="C121" s="11" t="s">
        <v>19</v>
      </c>
      <c r="D121" s="11">
        <v>1</v>
      </c>
      <c r="E121" s="10" t="s">
        <v>109</v>
      </c>
      <c r="F121" s="186"/>
      <c r="G121" s="9">
        <v>11</v>
      </c>
      <c r="H121" s="9">
        <v>11</v>
      </c>
      <c r="I121" s="9">
        <v>21</v>
      </c>
      <c r="J121" s="9">
        <v>21</v>
      </c>
      <c r="K121" s="9">
        <f t="shared" si="2"/>
        <v>11</v>
      </c>
      <c r="L121" s="9">
        <v>11</v>
      </c>
      <c r="M121" s="9">
        <f t="shared" si="3"/>
        <v>21</v>
      </c>
      <c r="N121" s="9">
        <v>21</v>
      </c>
    </row>
    <row r="122" spans="1:14" ht="15" customHeight="1" x14ac:dyDescent="0.35">
      <c r="A122" s="185"/>
      <c r="B122" s="7" t="s">
        <v>15</v>
      </c>
      <c r="C122" s="8" t="s">
        <v>19</v>
      </c>
      <c r="D122" s="8">
        <v>2</v>
      </c>
      <c r="E122" s="7" t="s">
        <v>17</v>
      </c>
      <c r="F122" s="186"/>
      <c r="G122" s="9">
        <v>9</v>
      </c>
      <c r="H122" s="9">
        <v>9</v>
      </c>
      <c r="I122" s="9">
        <v>17</v>
      </c>
      <c r="J122" s="9">
        <v>17</v>
      </c>
      <c r="K122" s="9">
        <f t="shared" si="2"/>
        <v>9</v>
      </c>
      <c r="L122" s="9">
        <v>7</v>
      </c>
      <c r="M122" s="9">
        <f t="shared" si="3"/>
        <v>17</v>
      </c>
      <c r="N122" s="9">
        <v>7</v>
      </c>
    </row>
    <row r="123" spans="1:14" ht="15" customHeight="1" x14ac:dyDescent="0.35">
      <c r="A123" s="185"/>
      <c r="B123" s="7" t="s">
        <v>15</v>
      </c>
      <c r="C123" s="8" t="s">
        <v>19</v>
      </c>
      <c r="D123" s="8">
        <v>2</v>
      </c>
      <c r="E123" s="7" t="s">
        <v>109</v>
      </c>
      <c r="F123" s="186"/>
      <c r="G123" s="9">
        <v>11</v>
      </c>
      <c r="H123" s="9">
        <v>11</v>
      </c>
      <c r="I123" s="9">
        <v>24</v>
      </c>
      <c r="J123" s="9">
        <v>24</v>
      </c>
      <c r="K123" s="9">
        <f t="shared" si="2"/>
        <v>11</v>
      </c>
      <c r="L123" s="9">
        <v>11</v>
      </c>
      <c r="M123" s="9">
        <f t="shared" si="3"/>
        <v>24</v>
      </c>
      <c r="N123" s="9">
        <v>24</v>
      </c>
    </row>
    <row r="124" spans="1:14" ht="15" customHeight="1" x14ac:dyDescent="0.35">
      <c r="A124" s="185"/>
      <c r="B124" s="10" t="s">
        <v>15</v>
      </c>
      <c r="C124" s="11" t="s">
        <v>19</v>
      </c>
      <c r="D124" s="11">
        <v>3</v>
      </c>
      <c r="E124" s="10" t="s">
        <v>17</v>
      </c>
      <c r="F124" s="186"/>
      <c r="G124" s="9">
        <v>9</v>
      </c>
      <c r="H124" s="9">
        <v>9</v>
      </c>
      <c r="I124" s="9">
        <v>19</v>
      </c>
      <c r="J124" s="9">
        <v>19</v>
      </c>
      <c r="K124" s="9">
        <f t="shared" si="2"/>
        <v>9</v>
      </c>
      <c r="L124" s="9">
        <v>7</v>
      </c>
      <c r="M124" s="9">
        <f t="shared" si="3"/>
        <v>19</v>
      </c>
      <c r="N124" s="9">
        <v>7</v>
      </c>
    </row>
    <row r="125" spans="1:14" ht="15" customHeight="1" x14ac:dyDescent="0.35">
      <c r="A125" s="185"/>
      <c r="B125" s="10" t="s">
        <v>15</v>
      </c>
      <c r="C125" s="11" t="s">
        <v>19</v>
      </c>
      <c r="D125" s="11">
        <v>3</v>
      </c>
      <c r="E125" s="10" t="s">
        <v>109</v>
      </c>
      <c r="F125" s="186"/>
      <c r="G125" s="9">
        <v>9</v>
      </c>
      <c r="H125" s="9">
        <v>9</v>
      </c>
      <c r="I125" s="9">
        <v>17</v>
      </c>
      <c r="J125" s="9">
        <v>17</v>
      </c>
      <c r="K125" s="9">
        <f t="shared" si="2"/>
        <v>9</v>
      </c>
      <c r="L125" s="9">
        <v>7</v>
      </c>
      <c r="M125" s="9">
        <f t="shared" si="3"/>
        <v>17</v>
      </c>
      <c r="N125" s="9">
        <v>7</v>
      </c>
    </row>
    <row r="126" spans="1:14" ht="15" customHeight="1" x14ac:dyDescent="0.35">
      <c r="A126" s="185"/>
      <c r="B126" s="7" t="s">
        <v>15</v>
      </c>
      <c r="C126" s="8" t="s">
        <v>20</v>
      </c>
      <c r="D126" s="8">
        <v>1</v>
      </c>
      <c r="E126" s="7" t="s">
        <v>17</v>
      </c>
      <c r="F126" s="186"/>
      <c r="G126" s="9">
        <v>9</v>
      </c>
      <c r="H126" s="9">
        <v>9</v>
      </c>
      <c r="I126" s="9">
        <v>17</v>
      </c>
      <c r="J126" s="9">
        <v>17</v>
      </c>
      <c r="K126" s="9">
        <f t="shared" si="2"/>
        <v>9</v>
      </c>
      <c r="L126" s="9">
        <v>7</v>
      </c>
      <c r="M126" s="9">
        <f t="shared" si="3"/>
        <v>17</v>
      </c>
      <c r="N126" s="9">
        <v>7</v>
      </c>
    </row>
    <row r="127" spans="1:14" ht="15" customHeight="1" x14ac:dyDescent="0.35">
      <c r="A127" s="185"/>
      <c r="B127" s="7" t="s">
        <v>15</v>
      </c>
      <c r="C127" s="8" t="s">
        <v>20</v>
      </c>
      <c r="D127" s="8">
        <v>1</v>
      </c>
      <c r="E127" s="7" t="s">
        <v>109</v>
      </c>
      <c r="F127" s="186"/>
      <c r="G127" s="9">
        <v>11</v>
      </c>
      <c r="H127" s="9">
        <v>11</v>
      </c>
      <c r="I127" s="9">
        <v>21</v>
      </c>
      <c r="J127" s="9">
        <v>21</v>
      </c>
      <c r="K127" s="9">
        <f t="shared" si="2"/>
        <v>11</v>
      </c>
      <c r="L127" s="9">
        <v>11</v>
      </c>
      <c r="M127" s="9">
        <f t="shared" si="3"/>
        <v>21</v>
      </c>
      <c r="N127" s="9">
        <v>21</v>
      </c>
    </row>
    <row r="128" spans="1:14" ht="15" customHeight="1" x14ac:dyDescent="0.35">
      <c r="A128" s="185"/>
      <c r="B128" s="10" t="s">
        <v>15</v>
      </c>
      <c r="C128" s="11" t="s">
        <v>20</v>
      </c>
      <c r="D128" s="11">
        <v>2</v>
      </c>
      <c r="E128" s="10" t="s">
        <v>17</v>
      </c>
      <c r="F128" s="186"/>
      <c r="G128" s="9">
        <v>9</v>
      </c>
      <c r="H128" s="9">
        <v>9</v>
      </c>
      <c r="I128" s="9">
        <v>19</v>
      </c>
      <c r="J128" s="9">
        <v>19</v>
      </c>
      <c r="K128" s="9">
        <f t="shared" si="2"/>
        <v>9</v>
      </c>
      <c r="L128" s="9">
        <v>7</v>
      </c>
      <c r="M128" s="9">
        <f t="shared" si="3"/>
        <v>19</v>
      </c>
      <c r="N128" s="9">
        <v>7</v>
      </c>
    </row>
    <row r="129" spans="1:14" ht="15" customHeight="1" x14ac:dyDescent="0.35">
      <c r="A129" s="185"/>
      <c r="B129" s="10" t="s">
        <v>15</v>
      </c>
      <c r="C129" s="11" t="s">
        <v>20</v>
      </c>
      <c r="D129" s="11">
        <v>2</v>
      </c>
      <c r="E129" s="10" t="s">
        <v>109</v>
      </c>
      <c r="F129" s="186"/>
      <c r="G129" s="9">
        <v>9</v>
      </c>
      <c r="H129" s="9">
        <v>9</v>
      </c>
      <c r="I129" s="9">
        <v>19</v>
      </c>
      <c r="J129" s="9">
        <v>19</v>
      </c>
      <c r="K129" s="9">
        <f t="shared" si="2"/>
        <v>9</v>
      </c>
      <c r="L129" s="9">
        <v>7</v>
      </c>
      <c r="M129" s="9">
        <f t="shared" si="3"/>
        <v>19</v>
      </c>
      <c r="N129" s="9">
        <v>7</v>
      </c>
    </row>
    <row r="130" spans="1:14" ht="15" customHeight="1" x14ac:dyDescent="0.35">
      <c r="A130" s="185"/>
      <c r="B130" s="7" t="s">
        <v>15</v>
      </c>
      <c r="C130" s="8" t="s">
        <v>20</v>
      </c>
      <c r="D130" s="8">
        <v>3</v>
      </c>
      <c r="E130" s="7" t="s">
        <v>17</v>
      </c>
      <c r="F130" s="186"/>
      <c r="G130" s="9">
        <v>9</v>
      </c>
      <c r="H130" s="9">
        <v>9</v>
      </c>
      <c r="I130" s="9">
        <v>17</v>
      </c>
      <c r="J130" s="9">
        <v>17</v>
      </c>
      <c r="K130" s="9">
        <f t="shared" si="2"/>
        <v>9</v>
      </c>
      <c r="L130" s="9">
        <v>7</v>
      </c>
      <c r="M130" s="9">
        <f t="shared" si="3"/>
        <v>17</v>
      </c>
      <c r="N130" s="9">
        <v>7</v>
      </c>
    </row>
    <row r="131" spans="1:14" ht="15" customHeight="1" x14ac:dyDescent="0.35">
      <c r="A131" s="185"/>
      <c r="B131" s="7" t="s">
        <v>15</v>
      </c>
      <c r="C131" s="8" t="s">
        <v>20</v>
      </c>
      <c r="D131" s="8">
        <v>3</v>
      </c>
      <c r="E131" s="7" t="s">
        <v>109</v>
      </c>
      <c r="F131" s="186"/>
      <c r="G131" s="9">
        <v>11</v>
      </c>
      <c r="H131" s="9">
        <v>11</v>
      </c>
      <c r="I131" s="9">
        <v>23</v>
      </c>
      <c r="J131" s="9">
        <v>23</v>
      </c>
      <c r="K131" s="9">
        <f t="shared" si="2"/>
        <v>11</v>
      </c>
      <c r="L131" s="9">
        <v>11</v>
      </c>
      <c r="M131" s="9">
        <f t="shared" si="3"/>
        <v>23</v>
      </c>
      <c r="N131" s="9">
        <v>23</v>
      </c>
    </row>
    <row r="132" spans="1:14" ht="15" customHeight="1" x14ac:dyDescent="0.35">
      <c r="A132" s="185"/>
      <c r="B132" s="12" t="s">
        <v>21</v>
      </c>
      <c r="C132" s="13" t="s">
        <v>16</v>
      </c>
      <c r="D132" s="13">
        <v>1</v>
      </c>
      <c r="E132" s="12" t="s">
        <v>17</v>
      </c>
      <c r="F132" s="186"/>
      <c r="G132" s="9">
        <v>11</v>
      </c>
      <c r="H132" s="9">
        <v>10</v>
      </c>
      <c r="I132" s="9">
        <v>3</v>
      </c>
      <c r="J132" s="9">
        <v>3</v>
      </c>
      <c r="K132" s="9">
        <f t="shared" si="2"/>
        <v>11</v>
      </c>
      <c r="L132" s="9">
        <v>9</v>
      </c>
      <c r="M132" s="9">
        <f t="shared" si="3"/>
        <v>3</v>
      </c>
      <c r="N132" s="9">
        <v>3</v>
      </c>
    </row>
    <row r="133" spans="1:14" ht="15" customHeight="1" x14ac:dyDescent="0.35">
      <c r="A133" s="185"/>
      <c r="B133" s="12" t="s">
        <v>21</v>
      </c>
      <c r="C133" s="13" t="s">
        <v>16</v>
      </c>
      <c r="D133" s="13">
        <v>1</v>
      </c>
      <c r="E133" s="12" t="s">
        <v>109</v>
      </c>
      <c r="F133" s="186"/>
      <c r="G133" s="9">
        <v>8</v>
      </c>
      <c r="H133" s="9">
        <v>8</v>
      </c>
      <c r="I133" s="9">
        <v>15</v>
      </c>
      <c r="J133" s="9">
        <v>15</v>
      </c>
      <c r="K133" s="9">
        <f t="shared" si="2"/>
        <v>8</v>
      </c>
      <c r="L133" s="9">
        <v>6</v>
      </c>
      <c r="M133" s="9">
        <f t="shared" si="3"/>
        <v>15</v>
      </c>
      <c r="N133" s="9">
        <v>7</v>
      </c>
    </row>
    <row r="134" spans="1:14" ht="15" customHeight="1" x14ac:dyDescent="0.35">
      <c r="A134" s="185"/>
      <c r="B134" s="14" t="s">
        <v>21</v>
      </c>
      <c r="C134" s="15" t="s">
        <v>16</v>
      </c>
      <c r="D134" s="15">
        <v>2</v>
      </c>
      <c r="E134" s="14" t="s">
        <v>17</v>
      </c>
      <c r="F134" s="186"/>
      <c r="G134" s="9">
        <v>9</v>
      </c>
      <c r="H134" s="9">
        <v>9</v>
      </c>
      <c r="I134" s="9">
        <v>13</v>
      </c>
      <c r="J134" s="9">
        <v>13</v>
      </c>
      <c r="K134" s="9">
        <f t="shared" si="2"/>
        <v>9</v>
      </c>
      <c r="L134" s="9">
        <v>7</v>
      </c>
      <c r="M134" s="9">
        <f t="shared" si="3"/>
        <v>13</v>
      </c>
      <c r="N134" s="9">
        <v>7</v>
      </c>
    </row>
    <row r="135" spans="1:14" ht="15" customHeight="1" x14ac:dyDescent="0.35">
      <c r="A135" s="185"/>
      <c r="B135" s="14" t="s">
        <v>21</v>
      </c>
      <c r="C135" s="15" t="s">
        <v>16</v>
      </c>
      <c r="D135" s="15">
        <v>2</v>
      </c>
      <c r="E135" s="14" t="s">
        <v>109</v>
      </c>
      <c r="F135" s="186"/>
      <c r="G135" s="9">
        <v>9</v>
      </c>
      <c r="H135" s="9">
        <v>8</v>
      </c>
      <c r="I135" s="9">
        <v>14</v>
      </c>
      <c r="J135" s="9">
        <v>14</v>
      </c>
      <c r="K135" s="9">
        <f t="shared" ref="K135:K198" si="4">G135</f>
        <v>9</v>
      </c>
      <c r="L135" s="9">
        <v>6</v>
      </c>
      <c r="M135" s="9">
        <f t="shared" ref="M135:M198" si="5">I135</f>
        <v>14</v>
      </c>
      <c r="N135" s="9">
        <v>7</v>
      </c>
    </row>
    <row r="136" spans="1:14" ht="15" customHeight="1" x14ac:dyDescent="0.35">
      <c r="A136" s="185"/>
      <c r="B136" s="12" t="s">
        <v>21</v>
      </c>
      <c r="C136" s="13" t="s">
        <v>16</v>
      </c>
      <c r="D136" s="13">
        <v>3</v>
      </c>
      <c r="E136" s="12" t="s">
        <v>17</v>
      </c>
      <c r="F136" s="186"/>
      <c r="G136" s="9">
        <v>9</v>
      </c>
      <c r="H136" s="9">
        <v>9</v>
      </c>
      <c r="I136" s="9">
        <v>13</v>
      </c>
      <c r="J136" s="9">
        <v>13</v>
      </c>
      <c r="K136" s="9">
        <f t="shared" si="4"/>
        <v>9</v>
      </c>
      <c r="L136" s="9">
        <v>7</v>
      </c>
      <c r="M136" s="9">
        <f t="shared" si="5"/>
        <v>13</v>
      </c>
      <c r="N136" s="9">
        <v>7</v>
      </c>
    </row>
    <row r="137" spans="1:14" ht="15" customHeight="1" x14ac:dyDescent="0.35">
      <c r="A137" s="185"/>
      <c r="B137" s="12" t="s">
        <v>21</v>
      </c>
      <c r="C137" s="13" t="s">
        <v>16</v>
      </c>
      <c r="D137" s="13">
        <v>3</v>
      </c>
      <c r="E137" s="12" t="s">
        <v>109</v>
      </c>
      <c r="F137" s="186"/>
      <c r="G137" s="9">
        <v>8</v>
      </c>
      <c r="H137" s="9">
        <v>8</v>
      </c>
      <c r="I137" s="9">
        <v>15</v>
      </c>
      <c r="J137" s="9">
        <v>15</v>
      </c>
      <c r="K137" s="9">
        <f t="shared" si="4"/>
        <v>8</v>
      </c>
      <c r="L137" s="9">
        <v>6</v>
      </c>
      <c r="M137" s="9">
        <f t="shared" si="5"/>
        <v>15</v>
      </c>
      <c r="N137" s="9">
        <v>7</v>
      </c>
    </row>
    <row r="138" spans="1:14" ht="15" customHeight="1" x14ac:dyDescent="0.35">
      <c r="A138" s="185"/>
      <c r="B138" s="14" t="s">
        <v>21</v>
      </c>
      <c r="C138" s="15" t="s">
        <v>19</v>
      </c>
      <c r="D138" s="15">
        <v>1</v>
      </c>
      <c r="E138" s="14" t="s">
        <v>17</v>
      </c>
      <c r="F138" s="186"/>
      <c r="G138" s="9">
        <v>9</v>
      </c>
      <c r="H138" s="9">
        <v>9</v>
      </c>
      <c r="I138" s="9">
        <v>13</v>
      </c>
      <c r="J138" s="9">
        <v>13</v>
      </c>
      <c r="K138" s="9">
        <f t="shared" si="4"/>
        <v>9</v>
      </c>
      <c r="L138" s="9">
        <v>7</v>
      </c>
      <c r="M138" s="9">
        <f t="shared" si="5"/>
        <v>13</v>
      </c>
      <c r="N138" s="9">
        <v>7</v>
      </c>
    </row>
    <row r="139" spans="1:14" ht="15" customHeight="1" x14ac:dyDescent="0.35">
      <c r="A139" s="185"/>
      <c r="B139" s="14" t="s">
        <v>21</v>
      </c>
      <c r="C139" s="15" t="s">
        <v>19</v>
      </c>
      <c r="D139" s="15">
        <v>1</v>
      </c>
      <c r="E139" s="14" t="s">
        <v>109</v>
      </c>
      <c r="F139" s="186"/>
      <c r="G139" s="9">
        <v>8</v>
      </c>
      <c r="H139" s="9">
        <v>8</v>
      </c>
      <c r="I139" s="9">
        <v>15</v>
      </c>
      <c r="J139" s="9">
        <v>15</v>
      </c>
      <c r="K139" s="9">
        <f t="shared" si="4"/>
        <v>8</v>
      </c>
      <c r="L139" s="9">
        <v>6</v>
      </c>
      <c r="M139" s="9">
        <f t="shared" si="5"/>
        <v>15</v>
      </c>
      <c r="N139" s="9">
        <v>7</v>
      </c>
    </row>
    <row r="140" spans="1:14" ht="15" customHeight="1" x14ac:dyDescent="0.35">
      <c r="A140" s="185"/>
      <c r="B140" s="12" t="s">
        <v>21</v>
      </c>
      <c r="C140" s="13" t="s">
        <v>19</v>
      </c>
      <c r="D140" s="13">
        <v>2</v>
      </c>
      <c r="E140" s="12" t="s">
        <v>17</v>
      </c>
      <c r="F140" s="186"/>
      <c r="G140" s="9">
        <v>9</v>
      </c>
      <c r="H140" s="9">
        <v>9</v>
      </c>
      <c r="I140" s="9">
        <v>13</v>
      </c>
      <c r="J140" s="9">
        <v>13</v>
      </c>
      <c r="K140" s="9">
        <f t="shared" si="4"/>
        <v>9</v>
      </c>
      <c r="L140" s="9">
        <v>7</v>
      </c>
      <c r="M140" s="9">
        <f t="shared" si="5"/>
        <v>13</v>
      </c>
      <c r="N140" s="9">
        <v>7</v>
      </c>
    </row>
    <row r="141" spans="1:14" ht="15" customHeight="1" x14ac:dyDescent="0.35">
      <c r="A141" s="185"/>
      <c r="B141" s="12" t="s">
        <v>21</v>
      </c>
      <c r="C141" s="13" t="s">
        <v>19</v>
      </c>
      <c r="D141" s="13">
        <v>2</v>
      </c>
      <c r="E141" s="12" t="s">
        <v>109</v>
      </c>
      <c r="F141" s="186"/>
      <c r="G141" s="9">
        <v>7</v>
      </c>
      <c r="H141" s="9">
        <v>7</v>
      </c>
      <c r="I141" s="9">
        <v>13</v>
      </c>
      <c r="J141" s="9">
        <v>13</v>
      </c>
      <c r="K141" s="9">
        <f t="shared" si="4"/>
        <v>7</v>
      </c>
      <c r="L141" s="9">
        <v>5</v>
      </c>
      <c r="M141" s="9">
        <f t="shared" si="5"/>
        <v>13</v>
      </c>
      <c r="N141" s="9">
        <v>13</v>
      </c>
    </row>
    <row r="142" spans="1:14" ht="15" customHeight="1" x14ac:dyDescent="0.35">
      <c r="A142" s="185"/>
      <c r="B142" s="14" t="s">
        <v>21</v>
      </c>
      <c r="C142" s="15" t="s">
        <v>19</v>
      </c>
      <c r="D142" s="15">
        <v>3</v>
      </c>
      <c r="E142" s="14" t="s">
        <v>17</v>
      </c>
      <c r="F142" s="186"/>
      <c r="G142" s="9">
        <v>9</v>
      </c>
      <c r="H142" s="9">
        <v>9</v>
      </c>
      <c r="I142" s="9">
        <v>13</v>
      </c>
      <c r="J142" s="9">
        <v>13</v>
      </c>
      <c r="K142" s="9">
        <f t="shared" si="4"/>
        <v>9</v>
      </c>
      <c r="L142" s="9">
        <v>7</v>
      </c>
      <c r="M142" s="9">
        <f t="shared" si="5"/>
        <v>13</v>
      </c>
      <c r="N142" s="9">
        <v>7</v>
      </c>
    </row>
    <row r="143" spans="1:14" ht="15" customHeight="1" x14ac:dyDescent="0.35">
      <c r="A143" s="185"/>
      <c r="B143" s="14" t="s">
        <v>21</v>
      </c>
      <c r="C143" s="15" t="s">
        <v>19</v>
      </c>
      <c r="D143" s="15">
        <v>3</v>
      </c>
      <c r="E143" s="14" t="s">
        <v>109</v>
      </c>
      <c r="F143" s="186"/>
      <c r="G143" s="9">
        <v>8</v>
      </c>
      <c r="H143" s="9">
        <v>8</v>
      </c>
      <c r="I143" s="9">
        <v>14</v>
      </c>
      <c r="J143" s="9">
        <v>14</v>
      </c>
      <c r="K143" s="9">
        <f t="shared" si="4"/>
        <v>8</v>
      </c>
      <c r="L143" s="9">
        <v>6</v>
      </c>
      <c r="M143" s="9">
        <f t="shared" si="5"/>
        <v>14</v>
      </c>
      <c r="N143" s="9">
        <v>7</v>
      </c>
    </row>
    <row r="144" spans="1:14" ht="15" customHeight="1" x14ac:dyDescent="0.35">
      <c r="A144" s="185"/>
      <c r="B144" s="12" t="s">
        <v>21</v>
      </c>
      <c r="C144" s="13" t="s">
        <v>20</v>
      </c>
      <c r="D144" s="13">
        <v>1</v>
      </c>
      <c r="E144" s="12" t="s">
        <v>17</v>
      </c>
      <c r="F144" s="186"/>
      <c r="G144" s="9">
        <v>9</v>
      </c>
      <c r="H144" s="9">
        <v>9</v>
      </c>
      <c r="I144" s="9">
        <v>15</v>
      </c>
      <c r="J144" s="9">
        <v>15</v>
      </c>
      <c r="K144" s="9">
        <f t="shared" si="4"/>
        <v>9</v>
      </c>
      <c r="L144" s="9">
        <v>7</v>
      </c>
      <c r="M144" s="9">
        <f t="shared" si="5"/>
        <v>15</v>
      </c>
      <c r="N144" s="9">
        <v>7</v>
      </c>
    </row>
    <row r="145" spans="1:14" ht="15" customHeight="1" x14ac:dyDescent="0.35">
      <c r="A145" s="185"/>
      <c r="B145" s="12" t="s">
        <v>21</v>
      </c>
      <c r="C145" s="13" t="s">
        <v>20</v>
      </c>
      <c r="D145" s="13">
        <v>1</v>
      </c>
      <c r="E145" s="12" t="s">
        <v>109</v>
      </c>
      <c r="F145" s="186"/>
      <c r="G145" s="9">
        <v>8</v>
      </c>
      <c r="H145" s="9">
        <v>8</v>
      </c>
      <c r="I145" s="9">
        <v>14</v>
      </c>
      <c r="J145" s="9">
        <v>14</v>
      </c>
      <c r="K145" s="9">
        <f t="shared" si="4"/>
        <v>8</v>
      </c>
      <c r="L145" s="9">
        <v>6</v>
      </c>
      <c r="M145" s="9">
        <f t="shared" si="5"/>
        <v>14</v>
      </c>
      <c r="N145" s="9">
        <v>7</v>
      </c>
    </row>
    <row r="146" spans="1:14" ht="15" customHeight="1" x14ac:dyDescent="0.35">
      <c r="A146" s="185"/>
      <c r="B146" s="14" t="s">
        <v>21</v>
      </c>
      <c r="C146" s="15" t="s">
        <v>20</v>
      </c>
      <c r="D146" s="15">
        <v>2</v>
      </c>
      <c r="E146" s="14" t="s">
        <v>17</v>
      </c>
      <c r="F146" s="186"/>
      <c r="G146" s="9">
        <v>9</v>
      </c>
      <c r="H146" s="9">
        <v>9</v>
      </c>
      <c r="I146" s="9">
        <v>13</v>
      </c>
      <c r="J146" s="9">
        <v>13</v>
      </c>
      <c r="K146" s="9">
        <f t="shared" si="4"/>
        <v>9</v>
      </c>
      <c r="L146" s="9">
        <v>7</v>
      </c>
      <c r="M146" s="9">
        <f t="shared" si="5"/>
        <v>13</v>
      </c>
      <c r="N146" s="9">
        <v>7</v>
      </c>
    </row>
    <row r="147" spans="1:14" ht="15" customHeight="1" x14ac:dyDescent="0.35">
      <c r="A147" s="185"/>
      <c r="B147" s="14" t="s">
        <v>21</v>
      </c>
      <c r="C147" s="15" t="s">
        <v>20</v>
      </c>
      <c r="D147" s="15">
        <v>2</v>
      </c>
      <c r="E147" s="14" t="s">
        <v>109</v>
      </c>
      <c r="F147" s="186"/>
      <c r="G147" s="9">
        <v>8</v>
      </c>
      <c r="H147" s="9">
        <v>8</v>
      </c>
      <c r="I147" s="9">
        <v>14</v>
      </c>
      <c r="J147" s="9">
        <v>14</v>
      </c>
      <c r="K147" s="9">
        <f t="shared" si="4"/>
        <v>8</v>
      </c>
      <c r="L147" s="9">
        <v>6</v>
      </c>
      <c r="M147" s="9">
        <f t="shared" si="5"/>
        <v>14</v>
      </c>
      <c r="N147" s="9">
        <v>7</v>
      </c>
    </row>
    <row r="148" spans="1:14" ht="15" customHeight="1" x14ac:dyDescent="0.35">
      <c r="A148" s="185"/>
      <c r="B148" s="12" t="s">
        <v>21</v>
      </c>
      <c r="C148" s="13" t="s">
        <v>20</v>
      </c>
      <c r="D148" s="13">
        <v>3</v>
      </c>
      <c r="E148" s="12" t="s">
        <v>17</v>
      </c>
      <c r="F148" s="186"/>
      <c r="G148" s="9">
        <v>9</v>
      </c>
      <c r="H148" s="9">
        <v>9</v>
      </c>
      <c r="I148" s="9">
        <v>13</v>
      </c>
      <c r="J148" s="9">
        <v>13</v>
      </c>
      <c r="K148" s="9">
        <f t="shared" si="4"/>
        <v>9</v>
      </c>
      <c r="L148" s="9">
        <v>7</v>
      </c>
      <c r="M148" s="9">
        <f t="shared" si="5"/>
        <v>13</v>
      </c>
      <c r="N148" s="9">
        <v>7</v>
      </c>
    </row>
    <row r="149" spans="1:14" ht="15" customHeight="1" x14ac:dyDescent="0.35">
      <c r="A149" s="185"/>
      <c r="B149" s="12" t="s">
        <v>21</v>
      </c>
      <c r="C149" s="13" t="s">
        <v>20</v>
      </c>
      <c r="D149" s="13">
        <v>3</v>
      </c>
      <c r="E149" s="12" t="s">
        <v>109</v>
      </c>
      <c r="F149" s="186"/>
      <c r="G149" s="9">
        <v>8</v>
      </c>
      <c r="H149" s="9">
        <v>8</v>
      </c>
      <c r="I149" s="9">
        <v>14</v>
      </c>
      <c r="J149" s="9">
        <v>14</v>
      </c>
      <c r="K149" s="9">
        <f t="shared" si="4"/>
        <v>8</v>
      </c>
      <c r="L149" s="9">
        <v>6</v>
      </c>
      <c r="M149" s="9">
        <f t="shared" si="5"/>
        <v>14</v>
      </c>
      <c r="N149" s="9">
        <v>7</v>
      </c>
    </row>
    <row r="150" spans="1:14" ht="15" customHeight="1" x14ac:dyDescent="0.35">
      <c r="A150" s="185"/>
      <c r="B150" s="16" t="s">
        <v>22</v>
      </c>
      <c r="C150" s="17" t="s">
        <v>16</v>
      </c>
      <c r="D150" s="17">
        <v>1</v>
      </c>
      <c r="E150" s="16" t="s">
        <v>17</v>
      </c>
      <c r="F150" s="186"/>
      <c r="G150" s="9">
        <v>9</v>
      </c>
      <c r="H150" s="9">
        <v>9</v>
      </c>
      <c r="I150" s="9">
        <v>14</v>
      </c>
      <c r="J150" s="9">
        <v>14</v>
      </c>
      <c r="K150" s="9">
        <f t="shared" si="4"/>
        <v>9</v>
      </c>
      <c r="L150" s="9">
        <v>7</v>
      </c>
      <c r="M150" s="9">
        <f t="shared" si="5"/>
        <v>14</v>
      </c>
      <c r="N150" s="9">
        <v>7</v>
      </c>
    </row>
    <row r="151" spans="1:14" ht="15" customHeight="1" x14ac:dyDescent="0.35">
      <c r="A151" s="185"/>
      <c r="B151" s="16" t="s">
        <v>22</v>
      </c>
      <c r="C151" s="17" t="s">
        <v>16</v>
      </c>
      <c r="D151" s="17">
        <v>1</v>
      </c>
      <c r="E151" s="16" t="s">
        <v>109</v>
      </c>
      <c r="F151" s="186"/>
      <c r="G151" s="9">
        <v>9</v>
      </c>
      <c r="H151" s="9">
        <v>8</v>
      </c>
      <c r="I151" s="9">
        <v>15</v>
      </c>
      <c r="J151" s="9">
        <v>15</v>
      </c>
      <c r="K151" s="9">
        <f t="shared" si="4"/>
        <v>9</v>
      </c>
      <c r="L151" s="9">
        <v>6</v>
      </c>
      <c r="M151" s="9">
        <f t="shared" si="5"/>
        <v>15</v>
      </c>
      <c r="N151" s="9">
        <v>7</v>
      </c>
    </row>
    <row r="152" spans="1:14" ht="15" customHeight="1" x14ac:dyDescent="0.35">
      <c r="A152" s="185"/>
      <c r="B152" s="18" t="s">
        <v>22</v>
      </c>
      <c r="C152" s="19" t="s">
        <v>16</v>
      </c>
      <c r="D152" s="19">
        <v>2</v>
      </c>
      <c r="E152" s="18" t="s">
        <v>17</v>
      </c>
      <c r="F152" s="186"/>
      <c r="G152" s="9">
        <v>9</v>
      </c>
      <c r="H152" s="9">
        <v>9</v>
      </c>
      <c r="I152" s="9">
        <v>8</v>
      </c>
      <c r="J152" s="9">
        <v>8</v>
      </c>
      <c r="K152" s="9">
        <f t="shared" si="4"/>
        <v>9</v>
      </c>
      <c r="L152" s="9">
        <v>7</v>
      </c>
      <c r="M152" s="9">
        <f t="shared" si="5"/>
        <v>8</v>
      </c>
      <c r="N152" s="9">
        <v>7</v>
      </c>
    </row>
    <row r="153" spans="1:14" ht="15" customHeight="1" x14ac:dyDescent="0.35">
      <c r="A153" s="185"/>
      <c r="B153" s="18" t="s">
        <v>22</v>
      </c>
      <c r="C153" s="19" t="s">
        <v>16</v>
      </c>
      <c r="D153" s="19">
        <v>2</v>
      </c>
      <c r="E153" s="18" t="s">
        <v>109</v>
      </c>
      <c r="F153" s="186"/>
      <c r="G153" s="9">
        <v>9</v>
      </c>
      <c r="H153" s="9">
        <v>9</v>
      </c>
      <c r="I153" s="9">
        <v>15</v>
      </c>
      <c r="J153" s="9">
        <v>15</v>
      </c>
      <c r="K153" s="9">
        <f t="shared" si="4"/>
        <v>9</v>
      </c>
      <c r="L153" s="9">
        <v>7</v>
      </c>
      <c r="M153" s="9">
        <f t="shared" si="5"/>
        <v>15</v>
      </c>
      <c r="N153" s="9">
        <v>7</v>
      </c>
    </row>
    <row r="154" spans="1:14" ht="15" customHeight="1" x14ac:dyDescent="0.35">
      <c r="A154" s="185"/>
      <c r="B154" s="16" t="s">
        <v>22</v>
      </c>
      <c r="C154" s="17" t="s">
        <v>16</v>
      </c>
      <c r="D154" s="17">
        <v>3</v>
      </c>
      <c r="E154" s="16" t="s">
        <v>17</v>
      </c>
      <c r="F154" s="186"/>
      <c r="G154" s="9">
        <v>9</v>
      </c>
      <c r="H154" s="9">
        <v>9</v>
      </c>
      <c r="I154" s="9">
        <v>13</v>
      </c>
      <c r="J154" s="9">
        <v>13</v>
      </c>
      <c r="K154" s="9">
        <f t="shared" si="4"/>
        <v>9</v>
      </c>
      <c r="L154" s="9">
        <v>7</v>
      </c>
      <c r="M154" s="9">
        <f t="shared" si="5"/>
        <v>13</v>
      </c>
      <c r="N154" s="9">
        <v>7</v>
      </c>
    </row>
    <row r="155" spans="1:14" ht="15" customHeight="1" x14ac:dyDescent="0.35">
      <c r="A155" s="185"/>
      <c r="B155" s="16" t="s">
        <v>22</v>
      </c>
      <c r="C155" s="17" t="s">
        <v>16</v>
      </c>
      <c r="D155" s="17">
        <v>3</v>
      </c>
      <c r="E155" s="16" t="s">
        <v>109</v>
      </c>
      <c r="F155" s="186"/>
      <c r="G155" s="9">
        <v>9</v>
      </c>
      <c r="H155" s="9">
        <v>8</v>
      </c>
      <c r="I155" s="9">
        <v>13</v>
      </c>
      <c r="J155" s="9">
        <v>13</v>
      </c>
      <c r="K155" s="9">
        <f t="shared" si="4"/>
        <v>9</v>
      </c>
      <c r="L155" s="9">
        <v>6</v>
      </c>
      <c r="M155" s="9">
        <f t="shared" si="5"/>
        <v>13</v>
      </c>
      <c r="N155" s="9">
        <v>7</v>
      </c>
    </row>
    <row r="156" spans="1:14" ht="15" customHeight="1" x14ac:dyDescent="0.35">
      <c r="A156" s="185"/>
      <c r="B156" s="18" t="s">
        <v>22</v>
      </c>
      <c r="C156" s="19" t="s">
        <v>19</v>
      </c>
      <c r="D156" s="19">
        <v>1</v>
      </c>
      <c r="E156" s="18" t="s">
        <v>17</v>
      </c>
      <c r="F156" s="186"/>
      <c r="G156" s="9">
        <v>9</v>
      </c>
      <c r="H156" s="9">
        <v>9</v>
      </c>
      <c r="I156" s="9">
        <v>14</v>
      </c>
      <c r="J156" s="9">
        <v>14</v>
      </c>
      <c r="K156" s="9">
        <f t="shared" si="4"/>
        <v>9</v>
      </c>
      <c r="L156" s="9">
        <v>7</v>
      </c>
      <c r="M156" s="9">
        <f t="shared" si="5"/>
        <v>14</v>
      </c>
      <c r="N156" s="9">
        <v>7</v>
      </c>
    </row>
    <row r="157" spans="1:14" ht="15" customHeight="1" x14ac:dyDescent="0.35">
      <c r="A157" s="185"/>
      <c r="B157" s="18" t="s">
        <v>22</v>
      </c>
      <c r="C157" s="19" t="s">
        <v>19</v>
      </c>
      <c r="D157" s="19">
        <v>1</v>
      </c>
      <c r="E157" s="18" t="s">
        <v>109</v>
      </c>
      <c r="F157" s="186"/>
      <c r="G157" s="9">
        <v>9</v>
      </c>
      <c r="H157" s="9">
        <v>8</v>
      </c>
      <c r="I157" s="9">
        <v>13</v>
      </c>
      <c r="J157" s="9">
        <v>13</v>
      </c>
      <c r="K157" s="9">
        <f t="shared" si="4"/>
        <v>9</v>
      </c>
      <c r="L157" s="9">
        <v>6</v>
      </c>
      <c r="M157" s="9">
        <f t="shared" si="5"/>
        <v>13</v>
      </c>
      <c r="N157" s="9">
        <v>7</v>
      </c>
    </row>
    <row r="158" spans="1:14" ht="15" customHeight="1" x14ac:dyDescent="0.35">
      <c r="A158" s="185"/>
      <c r="B158" s="16" t="s">
        <v>22</v>
      </c>
      <c r="C158" s="17" t="s">
        <v>19</v>
      </c>
      <c r="D158" s="17">
        <v>2</v>
      </c>
      <c r="E158" s="16" t="s">
        <v>17</v>
      </c>
      <c r="F158" s="186"/>
      <c r="G158" s="9">
        <v>9</v>
      </c>
      <c r="H158" s="9">
        <v>9</v>
      </c>
      <c r="I158" s="9">
        <v>14</v>
      </c>
      <c r="J158" s="9">
        <v>14</v>
      </c>
      <c r="K158" s="9">
        <f t="shared" si="4"/>
        <v>9</v>
      </c>
      <c r="L158" s="9">
        <v>7</v>
      </c>
      <c r="M158" s="9">
        <f t="shared" si="5"/>
        <v>14</v>
      </c>
      <c r="N158" s="9">
        <v>7</v>
      </c>
    </row>
    <row r="159" spans="1:14" ht="15" customHeight="1" x14ac:dyDescent="0.35">
      <c r="A159" s="185"/>
      <c r="B159" s="16" t="s">
        <v>22</v>
      </c>
      <c r="C159" s="17" t="s">
        <v>19</v>
      </c>
      <c r="D159" s="17">
        <v>2</v>
      </c>
      <c r="E159" s="16" t="s">
        <v>109</v>
      </c>
      <c r="F159" s="186"/>
      <c r="G159" s="9">
        <v>9</v>
      </c>
      <c r="H159" s="9">
        <v>9</v>
      </c>
      <c r="I159" s="9">
        <v>12</v>
      </c>
      <c r="J159" s="9">
        <v>12</v>
      </c>
      <c r="K159" s="9">
        <f t="shared" si="4"/>
        <v>9</v>
      </c>
      <c r="L159" s="9">
        <v>7</v>
      </c>
      <c r="M159" s="9">
        <f t="shared" si="5"/>
        <v>12</v>
      </c>
      <c r="N159" s="9">
        <v>7</v>
      </c>
    </row>
    <row r="160" spans="1:14" ht="15" customHeight="1" x14ac:dyDescent="0.35">
      <c r="A160" s="185"/>
      <c r="B160" s="18" t="s">
        <v>22</v>
      </c>
      <c r="C160" s="19" t="s">
        <v>19</v>
      </c>
      <c r="D160" s="19">
        <v>3</v>
      </c>
      <c r="E160" s="18" t="s">
        <v>17</v>
      </c>
      <c r="F160" s="186"/>
      <c r="G160" s="9">
        <v>11</v>
      </c>
      <c r="H160" s="9">
        <v>11</v>
      </c>
      <c r="I160" s="9">
        <v>19</v>
      </c>
      <c r="J160" s="9">
        <v>19</v>
      </c>
      <c r="K160" s="9">
        <f t="shared" si="4"/>
        <v>11</v>
      </c>
      <c r="L160" s="9">
        <v>11</v>
      </c>
      <c r="M160" s="9">
        <f t="shared" si="5"/>
        <v>19</v>
      </c>
      <c r="N160" s="9">
        <v>18</v>
      </c>
    </row>
    <row r="161" spans="1:14" ht="15" customHeight="1" x14ac:dyDescent="0.35">
      <c r="A161" s="185"/>
      <c r="B161" s="18" t="s">
        <v>22</v>
      </c>
      <c r="C161" s="19" t="s">
        <v>19</v>
      </c>
      <c r="D161" s="19">
        <v>3</v>
      </c>
      <c r="E161" s="18" t="s">
        <v>109</v>
      </c>
      <c r="F161" s="186"/>
      <c r="G161" s="9">
        <v>9</v>
      </c>
      <c r="H161" s="9">
        <v>8</v>
      </c>
      <c r="I161" s="9">
        <v>15</v>
      </c>
      <c r="J161" s="9">
        <v>15</v>
      </c>
      <c r="K161" s="9">
        <f t="shared" si="4"/>
        <v>9</v>
      </c>
      <c r="L161" s="9">
        <v>6</v>
      </c>
      <c r="M161" s="9">
        <f t="shared" si="5"/>
        <v>15</v>
      </c>
      <c r="N161" s="9">
        <v>7</v>
      </c>
    </row>
    <row r="162" spans="1:14" ht="15" customHeight="1" x14ac:dyDescent="0.35">
      <c r="A162" s="185"/>
      <c r="B162" s="16" t="s">
        <v>22</v>
      </c>
      <c r="C162" s="17" t="s">
        <v>20</v>
      </c>
      <c r="D162" s="17">
        <v>1</v>
      </c>
      <c r="E162" s="16" t="s">
        <v>17</v>
      </c>
      <c r="F162" s="186"/>
      <c r="G162" s="9">
        <v>11</v>
      </c>
      <c r="H162" s="9">
        <v>11</v>
      </c>
      <c r="I162" s="9">
        <v>19</v>
      </c>
      <c r="J162" s="9">
        <v>19</v>
      </c>
      <c r="K162" s="9">
        <f t="shared" si="4"/>
        <v>11</v>
      </c>
      <c r="L162" s="9">
        <v>11</v>
      </c>
      <c r="M162" s="9">
        <f t="shared" si="5"/>
        <v>19</v>
      </c>
      <c r="N162" s="9">
        <v>19</v>
      </c>
    </row>
    <row r="163" spans="1:14" ht="15" customHeight="1" x14ac:dyDescent="0.35">
      <c r="A163" s="185"/>
      <c r="B163" s="16" t="s">
        <v>22</v>
      </c>
      <c r="C163" s="17" t="s">
        <v>20</v>
      </c>
      <c r="D163" s="17">
        <v>1</v>
      </c>
      <c r="E163" s="16" t="s">
        <v>109</v>
      </c>
      <c r="F163" s="186"/>
      <c r="G163" s="9">
        <v>9</v>
      </c>
      <c r="H163" s="9">
        <v>8</v>
      </c>
      <c r="I163" s="9">
        <v>13</v>
      </c>
      <c r="J163" s="9">
        <v>13</v>
      </c>
      <c r="K163" s="9">
        <f t="shared" si="4"/>
        <v>9</v>
      </c>
      <c r="L163" s="9">
        <v>6</v>
      </c>
      <c r="M163" s="9">
        <f t="shared" si="5"/>
        <v>13</v>
      </c>
      <c r="N163" s="9">
        <v>7</v>
      </c>
    </row>
    <row r="164" spans="1:14" ht="15" customHeight="1" x14ac:dyDescent="0.35">
      <c r="A164" s="185"/>
      <c r="B164" s="18" t="s">
        <v>22</v>
      </c>
      <c r="C164" s="19" t="s">
        <v>20</v>
      </c>
      <c r="D164" s="19">
        <v>2</v>
      </c>
      <c r="E164" s="18" t="s">
        <v>17</v>
      </c>
      <c r="F164" s="186"/>
      <c r="G164" s="9">
        <v>9</v>
      </c>
      <c r="H164" s="9">
        <v>9</v>
      </c>
      <c r="I164" s="9">
        <v>14</v>
      </c>
      <c r="J164" s="9">
        <v>14</v>
      </c>
      <c r="K164" s="9">
        <f t="shared" si="4"/>
        <v>9</v>
      </c>
      <c r="L164" s="9">
        <v>7</v>
      </c>
      <c r="M164" s="9">
        <f t="shared" si="5"/>
        <v>14</v>
      </c>
      <c r="N164" s="9">
        <v>7</v>
      </c>
    </row>
    <row r="165" spans="1:14" ht="15" customHeight="1" x14ac:dyDescent="0.35">
      <c r="A165" s="185"/>
      <c r="B165" s="18" t="s">
        <v>22</v>
      </c>
      <c r="C165" s="19" t="s">
        <v>20</v>
      </c>
      <c r="D165" s="19">
        <v>2</v>
      </c>
      <c r="E165" s="18" t="s">
        <v>109</v>
      </c>
      <c r="F165" s="186"/>
      <c r="G165" s="9">
        <v>9</v>
      </c>
      <c r="H165" s="9">
        <v>8</v>
      </c>
      <c r="I165" s="9">
        <v>10</v>
      </c>
      <c r="J165" s="9">
        <v>10</v>
      </c>
      <c r="K165" s="9">
        <f t="shared" si="4"/>
        <v>9</v>
      </c>
      <c r="L165" s="9">
        <v>6</v>
      </c>
      <c r="M165" s="9">
        <f t="shared" si="5"/>
        <v>10</v>
      </c>
      <c r="N165" s="9">
        <v>7</v>
      </c>
    </row>
    <row r="166" spans="1:14" ht="15" customHeight="1" x14ac:dyDescent="0.35">
      <c r="A166" s="185"/>
      <c r="B166" s="16" t="s">
        <v>22</v>
      </c>
      <c r="C166" s="17" t="s">
        <v>20</v>
      </c>
      <c r="D166" s="17">
        <v>3</v>
      </c>
      <c r="E166" s="16" t="s">
        <v>17</v>
      </c>
      <c r="F166" s="186"/>
      <c r="G166" s="9">
        <v>9</v>
      </c>
      <c r="H166" s="9">
        <v>9</v>
      </c>
      <c r="I166" s="9">
        <v>8</v>
      </c>
      <c r="J166" s="9">
        <v>8</v>
      </c>
      <c r="K166" s="9">
        <f t="shared" si="4"/>
        <v>9</v>
      </c>
      <c r="L166" s="9">
        <v>7</v>
      </c>
      <c r="M166" s="9">
        <f t="shared" si="5"/>
        <v>8</v>
      </c>
      <c r="N166" s="9">
        <v>7</v>
      </c>
    </row>
    <row r="167" spans="1:14" ht="15" customHeight="1" x14ac:dyDescent="0.35">
      <c r="A167" s="185"/>
      <c r="B167" s="20" t="s">
        <v>22</v>
      </c>
      <c r="C167" s="21" t="s">
        <v>20</v>
      </c>
      <c r="D167" s="21">
        <v>3</v>
      </c>
      <c r="E167" s="20" t="s">
        <v>109</v>
      </c>
      <c r="F167" s="186"/>
      <c r="G167" s="22">
        <v>9</v>
      </c>
      <c r="H167" s="22">
        <v>9</v>
      </c>
      <c r="I167" s="22">
        <v>14</v>
      </c>
      <c r="J167" s="22">
        <v>14</v>
      </c>
      <c r="K167" s="95">
        <f t="shared" si="4"/>
        <v>9</v>
      </c>
      <c r="L167" s="22">
        <v>7</v>
      </c>
      <c r="M167" s="95">
        <f t="shared" si="5"/>
        <v>14</v>
      </c>
      <c r="N167" s="22">
        <v>7</v>
      </c>
    </row>
    <row r="168" spans="1:14" ht="15" customHeight="1" x14ac:dyDescent="0.35">
      <c r="A168" s="185" t="s">
        <v>25</v>
      </c>
      <c r="B168" s="7" t="s">
        <v>15</v>
      </c>
      <c r="C168" s="8" t="s">
        <v>16</v>
      </c>
      <c r="D168" s="8">
        <v>1</v>
      </c>
      <c r="E168" s="7" t="s">
        <v>17</v>
      </c>
      <c r="F168" s="186">
        <v>44</v>
      </c>
      <c r="G168" s="9">
        <v>7</v>
      </c>
      <c r="H168" s="9">
        <v>7</v>
      </c>
      <c r="I168" s="9">
        <v>27</v>
      </c>
      <c r="J168" s="9">
        <v>27</v>
      </c>
      <c r="K168" s="9">
        <f t="shared" si="4"/>
        <v>7</v>
      </c>
      <c r="L168" s="9">
        <v>7</v>
      </c>
      <c r="M168" s="9">
        <f t="shared" si="5"/>
        <v>27</v>
      </c>
      <c r="N168" s="9">
        <v>27</v>
      </c>
    </row>
    <row r="169" spans="1:14" ht="15" customHeight="1" x14ac:dyDescent="0.35">
      <c r="A169" s="185"/>
      <c r="B169" s="7" t="s">
        <v>15</v>
      </c>
      <c r="C169" s="8" t="s">
        <v>16</v>
      </c>
      <c r="D169" s="8">
        <v>1</v>
      </c>
      <c r="E169" s="7" t="s">
        <v>109</v>
      </c>
      <c r="F169" s="186"/>
      <c r="G169" s="9">
        <v>7</v>
      </c>
      <c r="H169" s="9">
        <v>7</v>
      </c>
      <c r="I169" s="9">
        <v>18</v>
      </c>
      <c r="J169" s="9">
        <v>18</v>
      </c>
      <c r="K169" s="9">
        <f t="shared" si="4"/>
        <v>7</v>
      </c>
      <c r="L169" s="9">
        <v>7</v>
      </c>
      <c r="M169" s="9">
        <f t="shared" si="5"/>
        <v>18</v>
      </c>
      <c r="N169" s="9">
        <v>18</v>
      </c>
    </row>
    <row r="170" spans="1:14" ht="15" customHeight="1" x14ac:dyDescent="0.35">
      <c r="A170" s="185"/>
      <c r="B170" s="10" t="s">
        <v>15</v>
      </c>
      <c r="C170" s="11" t="s">
        <v>16</v>
      </c>
      <c r="D170" s="11">
        <v>2</v>
      </c>
      <c r="E170" s="10" t="s">
        <v>17</v>
      </c>
      <c r="F170" s="186"/>
      <c r="G170" s="9">
        <v>7</v>
      </c>
      <c r="H170" s="9">
        <v>7</v>
      </c>
      <c r="I170" s="9">
        <v>18</v>
      </c>
      <c r="J170" s="9">
        <v>18</v>
      </c>
      <c r="K170" s="9">
        <f t="shared" si="4"/>
        <v>7</v>
      </c>
      <c r="L170" s="9">
        <v>7</v>
      </c>
      <c r="M170" s="9">
        <f t="shared" si="5"/>
        <v>18</v>
      </c>
      <c r="N170" s="9">
        <v>18</v>
      </c>
    </row>
    <row r="171" spans="1:14" ht="15" customHeight="1" x14ac:dyDescent="0.35">
      <c r="A171" s="185"/>
      <c r="B171" s="10" t="s">
        <v>15</v>
      </c>
      <c r="C171" s="11" t="s">
        <v>16</v>
      </c>
      <c r="D171" s="11">
        <v>2</v>
      </c>
      <c r="E171" s="10" t="s">
        <v>109</v>
      </c>
      <c r="F171" s="186"/>
      <c r="G171" s="9">
        <v>7</v>
      </c>
      <c r="H171" s="9">
        <v>7</v>
      </c>
      <c r="I171" s="9">
        <v>27</v>
      </c>
      <c r="J171" s="9">
        <v>27</v>
      </c>
      <c r="K171" s="9">
        <f t="shared" si="4"/>
        <v>7</v>
      </c>
      <c r="L171" s="9">
        <v>7</v>
      </c>
      <c r="M171" s="9">
        <f t="shared" si="5"/>
        <v>27</v>
      </c>
      <c r="N171" s="9">
        <v>27</v>
      </c>
    </row>
    <row r="172" spans="1:14" ht="15" customHeight="1" x14ac:dyDescent="0.35">
      <c r="A172" s="185"/>
      <c r="B172" s="7" t="s">
        <v>15</v>
      </c>
      <c r="C172" s="8" t="s">
        <v>16</v>
      </c>
      <c r="D172" s="8">
        <v>3</v>
      </c>
      <c r="E172" s="7" t="s">
        <v>17</v>
      </c>
      <c r="F172" s="186"/>
      <c r="G172" s="9">
        <v>7</v>
      </c>
      <c r="H172" s="9">
        <v>7</v>
      </c>
      <c r="I172" s="9">
        <v>27</v>
      </c>
      <c r="J172" s="9">
        <v>27</v>
      </c>
      <c r="K172" s="9">
        <f t="shared" si="4"/>
        <v>7</v>
      </c>
      <c r="L172" s="9">
        <v>7</v>
      </c>
      <c r="M172" s="9">
        <f t="shared" si="5"/>
        <v>27</v>
      </c>
      <c r="N172" s="9">
        <v>27</v>
      </c>
    </row>
    <row r="173" spans="1:14" ht="15" customHeight="1" x14ac:dyDescent="0.35">
      <c r="A173" s="185"/>
      <c r="B173" s="7" t="s">
        <v>15</v>
      </c>
      <c r="C173" s="8" t="s">
        <v>16</v>
      </c>
      <c r="D173" s="8">
        <v>3</v>
      </c>
      <c r="E173" s="7" t="s">
        <v>109</v>
      </c>
      <c r="F173" s="186"/>
      <c r="G173" s="9">
        <v>7</v>
      </c>
      <c r="H173" s="9">
        <v>7</v>
      </c>
      <c r="I173" s="9">
        <v>21</v>
      </c>
      <c r="J173" s="9">
        <v>21</v>
      </c>
      <c r="K173" s="9">
        <f t="shared" si="4"/>
        <v>7</v>
      </c>
      <c r="L173" s="9">
        <v>7</v>
      </c>
      <c r="M173" s="9">
        <f t="shared" si="5"/>
        <v>21</v>
      </c>
      <c r="N173" s="9">
        <v>21</v>
      </c>
    </row>
    <row r="174" spans="1:14" ht="15" customHeight="1" x14ac:dyDescent="0.35">
      <c r="A174" s="185"/>
      <c r="B174" s="10" t="s">
        <v>15</v>
      </c>
      <c r="C174" s="11" t="s">
        <v>19</v>
      </c>
      <c r="D174" s="11">
        <v>1</v>
      </c>
      <c r="E174" s="10" t="s">
        <v>17</v>
      </c>
      <c r="F174" s="186"/>
      <c r="G174" s="9">
        <v>7</v>
      </c>
      <c r="H174" s="9">
        <v>7</v>
      </c>
      <c r="I174" s="9">
        <v>27</v>
      </c>
      <c r="J174" s="9">
        <v>27</v>
      </c>
      <c r="K174" s="9">
        <f t="shared" si="4"/>
        <v>7</v>
      </c>
      <c r="L174" s="9">
        <v>7</v>
      </c>
      <c r="M174" s="9">
        <f t="shared" si="5"/>
        <v>27</v>
      </c>
      <c r="N174" s="9">
        <v>27</v>
      </c>
    </row>
    <row r="175" spans="1:14" ht="15" customHeight="1" x14ac:dyDescent="0.35">
      <c r="A175" s="185"/>
      <c r="B175" s="10" t="s">
        <v>15</v>
      </c>
      <c r="C175" s="11" t="s">
        <v>19</v>
      </c>
      <c r="D175" s="11">
        <v>1</v>
      </c>
      <c r="E175" s="10" t="s">
        <v>109</v>
      </c>
      <c r="F175" s="186"/>
      <c r="G175" s="9">
        <v>7</v>
      </c>
      <c r="H175" s="9">
        <v>7</v>
      </c>
      <c r="I175" s="9">
        <v>27</v>
      </c>
      <c r="J175" s="9">
        <v>27</v>
      </c>
      <c r="K175" s="9">
        <f t="shared" si="4"/>
        <v>7</v>
      </c>
      <c r="L175" s="9">
        <v>7</v>
      </c>
      <c r="M175" s="9">
        <f t="shared" si="5"/>
        <v>27</v>
      </c>
      <c r="N175" s="9">
        <v>27</v>
      </c>
    </row>
    <row r="176" spans="1:14" ht="15" customHeight="1" x14ac:dyDescent="0.35">
      <c r="A176" s="185"/>
      <c r="B176" s="7" t="s">
        <v>15</v>
      </c>
      <c r="C176" s="8" t="s">
        <v>19</v>
      </c>
      <c r="D176" s="8">
        <v>2</v>
      </c>
      <c r="E176" s="7" t="s">
        <v>17</v>
      </c>
      <c r="F176" s="186"/>
      <c r="G176" s="9">
        <v>7</v>
      </c>
      <c r="H176" s="9">
        <v>7</v>
      </c>
      <c r="I176" s="9">
        <v>18</v>
      </c>
      <c r="J176" s="9">
        <v>18</v>
      </c>
      <c r="K176" s="9">
        <f t="shared" si="4"/>
        <v>7</v>
      </c>
      <c r="L176" s="9">
        <v>7</v>
      </c>
      <c r="M176" s="9">
        <f t="shared" si="5"/>
        <v>18</v>
      </c>
      <c r="N176" s="9">
        <v>18</v>
      </c>
    </row>
    <row r="177" spans="1:14" ht="15" customHeight="1" x14ac:dyDescent="0.35">
      <c r="A177" s="185"/>
      <c r="B177" s="7" t="s">
        <v>15</v>
      </c>
      <c r="C177" s="8" t="s">
        <v>19</v>
      </c>
      <c r="D177" s="8">
        <v>2</v>
      </c>
      <c r="E177" s="7" t="s">
        <v>109</v>
      </c>
      <c r="F177" s="186"/>
      <c r="G177" s="9">
        <v>7</v>
      </c>
      <c r="H177" s="9">
        <v>7</v>
      </c>
      <c r="I177" s="9">
        <v>21</v>
      </c>
      <c r="J177" s="9">
        <v>21</v>
      </c>
      <c r="K177" s="9">
        <f t="shared" si="4"/>
        <v>7</v>
      </c>
      <c r="L177" s="9">
        <v>7</v>
      </c>
      <c r="M177" s="9">
        <f t="shared" si="5"/>
        <v>21</v>
      </c>
      <c r="N177" s="9">
        <v>21</v>
      </c>
    </row>
    <row r="178" spans="1:14" ht="15" customHeight="1" x14ac:dyDescent="0.35">
      <c r="A178" s="185"/>
      <c r="B178" s="10" t="s">
        <v>15</v>
      </c>
      <c r="C178" s="11" t="s">
        <v>19</v>
      </c>
      <c r="D178" s="11">
        <v>3</v>
      </c>
      <c r="E178" s="10" t="s">
        <v>17</v>
      </c>
      <c r="F178" s="186"/>
      <c r="G178" s="9">
        <v>7</v>
      </c>
      <c r="H178" s="9">
        <v>7</v>
      </c>
      <c r="I178" s="9">
        <v>27</v>
      </c>
      <c r="J178" s="9">
        <v>27</v>
      </c>
      <c r="K178" s="9">
        <f t="shared" si="4"/>
        <v>7</v>
      </c>
      <c r="L178" s="9">
        <v>7</v>
      </c>
      <c r="M178" s="9">
        <f t="shared" si="5"/>
        <v>27</v>
      </c>
      <c r="N178" s="9">
        <v>27</v>
      </c>
    </row>
    <row r="179" spans="1:14" ht="15" customHeight="1" x14ac:dyDescent="0.35">
      <c r="A179" s="185"/>
      <c r="B179" s="10" t="s">
        <v>15</v>
      </c>
      <c r="C179" s="11" t="s">
        <v>19</v>
      </c>
      <c r="D179" s="11">
        <v>3</v>
      </c>
      <c r="E179" s="10" t="s">
        <v>109</v>
      </c>
      <c r="F179" s="186"/>
      <c r="G179" s="9">
        <v>7</v>
      </c>
      <c r="H179" s="9">
        <v>7</v>
      </c>
      <c r="I179" s="9">
        <v>27</v>
      </c>
      <c r="J179" s="9">
        <v>27</v>
      </c>
      <c r="K179" s="9">
        <f t="shared" si="4"/>
        <v>7</v>
      </c>
      <c r="L179" s="9">
        <v>7</v>
      </c>
      <c r="M179" s="9">
        <f t="shared" si="5"/>
        <v>27</v>
      </c>
      <c r="N179" s="9">
        <v>27</v>
      </c>
    </row>
    <row r="180" spans="1:14" ht="15" customHeight="1" x14ac:dyDescent="0.35">
      <c r="A180" s="185"/>
      <c r="B180" s="7" t="s">
        <v>15</v>
      </c>
      <c r="C180" s="8" t="s">
        <v>20</v>
      </c>
      <c r="D180" s="8">
        <v>1</v>
      </c>
      <c r="E180" s="7" t="s">
        <v>17</v>
      </c>
      <c r="F180" s="186"/>
      <c r="G180" s="9">
        <v>7</v>
      </c>
      <c r="H180" s="9">
        <v>7</v>
      </c>
      <c r="I180" s="9">
        <v>27</v>
      </c>
      <c r="J180" s="9">
        <v>27</v>
      </c>
      <c r="K180" s="9">
        <f t="shared" si="4"/>
        <v>7</v>
      </c>
      <c r="L180" s="9">
        <v>7</v>
      </c>
      <c r="M180" s="9">
        <f t="shared" si="5"/>
        <v>27</v>
      </c>
      <c r="N180" s="9">
        <v>27</v>
      </c>
    </row>
    <row r="181" spans="1:14" ht="15" customHeight="1" x14ac:dyDescent="0.35">
      <c r="A181" s="185"/>
      <c r="B181" s="7" t="s">
        <v>15</v>
      </c>
      <c r="C181" s="8" t="s">
        <v>20</v>
      </c>
      <c r="D181" s="8">
        <v>1</v>
      </c>
      <c r="E181" s="7" t="s">
        <v>109</v>
      </c>
      <c r="F181" s="186"/>
      <c r="G181" s="9">
        <v>7</v>
      </c>
      <c r="H181" s="9">
        <v>7</v>
      </c>
      <c r="I181" s="9">
        <v>18</v>
      </c>
      <c r="J181" s="9">
        <v>18</v>
      </c>
      <c r="K181" s="9">
        <f t="shared" si="4"/>
        <v>7</v>
      </c>
      <c r="L181" s="9">
        <v>7</v>
      </c>
      <c r="M181" s="9">
        <f t="shared" si="5"/>
        <v>18</v>
      </c>
      <c r="N181" s="9">
        <v>18</v>
      </c>
    </row>
    <row r="182" spans="1:14" ht="15" customHeight="1" x14ac:dyDescent="0.35">
      <c r="A182" s="185"/>
      <c r="B182" s="10" t="s">
        <v>15</v>
      </c>
      <c r="C182" s="11" t="s">
        <v>20</v>
      </c>
      <c r="D182" s="11">
        <v>2</v>
      </c>
      <c r="E182" s="10" t="s">
        <v>17</v>
      </c>
      <c r="F182" s="186"/>
      <c r="G182" s="9">
        <v>7</v>
      </c>
      <c r="H182" s="9">
        <v>7</v>
      </c>
      <c r="I182" s="9">
        <v>27</v>
      </c>
      <c r="J182" s="9">
        <v>27</v>
      </c>
      <c r="K182" s="9">
        <f t="shared" si="4"/>
        <v>7</v>
      </c>
      <c r="L182" s="9">
        <v>7</v>
      </c>
      <c r="M182" s="9">
        <f t="shared" si="5"/>
        <v>27</v>
      </c>
      <c r="N182" s="9">
        <v>27</v>
      </c>
    </row>
    <row r="183" spans="1:14" ht="15" customHeight="1" x14ac:dyDescent="0.35">
      <c r="A183" s="185"/>
      <c r="B183" s="10" t="s">
        <v>15</v>
      </c>
      <c r="C183" s="11" t="s">
        <v>20</v>
      </c>
      <c r="D183" s="11">
        <v>2</v>
      </c>
      <c r="E183" s="10" t="s">
        <v>109</v>
      </c>
      <c r="F183" s="186"/>
      <c r="G183" s="9">
        <v>7</v>
      </c>
      <c r="H183" s="9">
        <v>7</v>
      </c>
      <c r="I183" s="9">
        <v>25</v>
      </c>
      <c r="J183" s="9">
        <v>25</v>
      </c>
      <c r="K183" s="9">
        <f t="shared" si="4"/>
        <v>7</v>
      </c>
      <c r="L183" s="9">
        <v>7</v>
      </c>
      <c r="M183" s="9">
        <f t="shared" si="5"/>
        <v>25</v>
      </c>
      <c r="N183" s="9">
        <v>25</v>
      </c>
    </row>
    <row r="184" spans="1:14" ht="15" customHeight="1" x14ac:dyDescent="0.35">
      <c r="A184" s="185"/>
      <c r="B184" s="7" t="s">
        <v>15</v>
      </c>
      <c r="C184" s="8" t="s">
        <v>20</v>
      </c>
      <c r="D184" s="8">
        <v>3</v>
      </c>
      <c r="E184" s="7" t="s">
        <v>17</v>
      </c>
      <c r="F184" s="186"/>
      <c r="G184" s="9">
        <v>7</v>
      </c>
      <c r="H184" s="9">
        <v>7</v>
      </c>
      <c r="I184" s="9">
        <v>27</v>
      </c>
      <c r="J184" s="9">
        <v>27</v>
      </c>
      <c r="K184" s="9">
        <f t="shared" si="4"/>
        <v>7</v>
      </c>
      <c r="L184" s="9">
        <v>7</v>
      </c>
      <c r="M184" s="9">
        <f t="shared" si="5"/>
        <v>27</v>
      </c>
      <c r="N184" s="9">
        <v>27</v>
      </c>
    </row>
    <row r="185" spans="1:14" ht="15" customHeight="1" x14ac:dyDescent="0.35">
      <c r="A185" s="185"/>
      <c r="B185" s="7" t="s">
        <v>15</v>
      </c>
      <c r="C185" s="8" t="s">
        <v>20</v>
      </c>
      <c r="D185" s="8">
        <v>3</v>
      </c>
      <c r="E185" s="7" t="s">
        <v>109</v>
      </c>
      <c r="F185" s="186"/>
      <c r="G185" s="9">
        <v>7</v>
      </c>
      <c r="H185" s="9">
        <v>7</v>
      </c>
      <c r="I185" s="9">
        <v>18</v>
      </c>
      <c r="J185" s="9">
        <v>18</v>
      </c>
      <c r="K185" s="9">
        <f t="shared" si="4"/>
        <v>7</v>
      </c>
      <c r="L185" s="9">
        <v>7</v>
      </c>
      <c r="M185" s="9">
        <f t="shared" si="5"/>
        <v>18</v>
      </c>
      <c r="N185" s="9">
        <v>18</v>
      </c>
    </row>
    <row r="186" spans="1:14" ht="15" customHeight="1" x14ac:dyDescent="0.35">
      <c r="A186" s="185"/>
      <c r="B186" s="12" t="s">
        <v>21</v>
      </c>
      <c r="C186" s="13" t="s">
        <v>16</v>
      </c>
      <c r="D186" s="13">
        <v>1</v>
      </c>
      <c r="E186" s="12" t="s">
        <v>17</v>
      </c>
      <c r="F186" s="186"/>
      <c r="G186" s="9">
        <v>7</v>
      </c>
      <c r="H186" s="9">
        <v>7</v>
      </c>
      <c r="I186" s="9">
        <v>18</v>
      </c>
      <c r="J186" s="9">
        <v>18</v>
      </c>
      <c r="K186" s="9">
        <f t="shared" si="4"/>
        <v>7</v>
      </c>
      <c r="L186" s="9">
        <v>7</v>
      </c>
      <c r="M186" s="9">
        <f t="shared" si="5"/>
        <v>18</v>
      </c>
      <c r="N186" s="9">
        <v>18</v>
      </c>
    </row>
    <row r="187" spans="1:14" ht="15" customHeight="1" x14ac:dyDescent="0.35">
      <c r="A187" s="185"/>
      <c r="B187" s="12" t="s">
        <v>21</v>
      </c>
      <c r="C187" s="13" t="s">
        <v>16</v>
      </c>
      <c r="D187" s="13">
        <v>1</v>
      </c>
      <c r="E187" s="12" t="s">
        <v>109</v>
      </c>
      <c r="F187" s="186"/>
      <c r="G187" s="9">
        <v>7</v>
      </c>
      <c r="H187" s="9">
        <v>7</v>
      </c>
      <c r="I187" s="9">
        <v>18</v>
      </c>
      <c r="J187" s="9">
        <v>18</v>
      </c>
      <c r="K187" s="9">
        <f t="shared" si="4"/>
        <v>7</v>
      </c>
      <c r="L187" s="9">
        <v>7</v>
      </c>
      <c r="M187" s="9">
        <f t="shared" si="5"/>
        <v>18</v>
      </c>
      <c r="N187" s="9">
        <v>18</v>
      </c>
    </row>
    <row r="188" spans="1:14" ht="15" customHeight="1" x14ac:dyDescent="0.35">
      <c r="A188" s="185"/>
      <c r="B188" s="14" t="s">
        <v>21</v>
      </c>
      <c r="C188" s="15" t="s">
        <v>16</v>
      </c>
      <c r="D188" s="15">
        <v>2</v>
      </c>
      <c r="E188" s="14" t="s">
        <v>17</v>
      </c>
      <c r="F188" s="186"/>
      <c r="G188" s="9">
        <v>7</v>
      </c>
      <c r="H188" s="9">
        <v>7</v>
      </c>
      <c r="I188" s="9">
        <v>18</v>
      </c>
      <c r="J188" s="9">
        <v>18</v>
      </c>
      <c r="K188" s="9">
        <f t="shared" si="4"/>
        <v>7</v>
      </c>
      <c r="L188" s="9">
        <v>7</v>
      </c>
      <c r="M188" s="9">
        <f t="shared" si="5"/>
        <v>18</v>
      </c>
      <c r="N188" s="9">
        <v>18</v>
      </c>
    </row>
    <row r="189" spans="1:14" ht="15" customHeight="1" x14ac:dyDescent="0.35">
      <c r="A189" s="185"/>
      <c r="B189" s="14" t="s">
        <v>21</v>
      </c>
      <c r="C189" s="15" t="s">
        <v>16</v>
      </c>
      <c r="D189" s="15">
        <v>2</v>
      </c>
      <c r="E189" s="14" t="s">
        <v>109</v>
      </c>
      <c r="F189" s="186"/>
      <c r="G189" s="9">
        <v>7</v>
      </c>
      <c r="H189" s="9">
        <v>7</v>
      </c>
      <c r="I189" s="9">
        <v>17</v>
      </c>
      <c r="J189" s="9">
        <v>17</v>
      </c>
      <c r="K189" s="9">
        <f t="shared" si="4"/>
        <v>7</v>
      </c>
      <c r="L189" s="9">
        <v>7</v>
      </c>
      <c r="M189" s="9">
        <f t="shared" si="5"/>
        <v>17</v>
      </c>
      <c r="N189" s="9">
        <v>17</v>
      </c>
    </row>
    <row r="190" spans="1:14" ht="15" customHeight="1" x14ac:dyDescent="0.35">
      <c r="A190" s="185"/>
      <c r="B190" s="12" t="s">
        <v>21</v>
      </c>
      <c r="C190" s="13" t="s">
        <v>16</v>
      </c>
      <c r="D190" s="13">
        <v>3</v>
      </c>
      <c r="E190" s="12" t="s">
        <v>17</v>
      </c>
      <c r="F190" s="186"/>
      <c r="G190" s="9">
        <v>7</v>
      </c>
      <c r="H190" s="9">
        <v>7</v>
      </c>
      <c r="I190" s="9">
        <v>18</v>
      </c>
      <c r="J190" s="9">
        <v>18</v>
      </c>
      <c r="K190" s="9">
        <f t="shared" si="4"/>
        <v>7</v>
      </c>
      <c r="L190" s="9">
        <v>7</v>
      </c>
      <c r="M190" s="9">
        <f t="shared" si="5"/>
        <v>18</v>
      </c>
      <c r="N190" s="9">
        <v>18</v>
      </c>
    </row>
    <row r="191" spans="1:14" ht="15" customHeight="1" x14ac:dyDescent="0.35">
      <c r="A191" s="185"/>
      <c r="B191" s="12" t="s">
        <v>21</v>
      </c>
      <c r="C191" s="13" t="s">
        <v>16</v>
      </c>
      <c r="D191" s="13">
        <v>3</v>
      </c>
      <c r="E191" s="12" t="s">
        <v>109</v>
      </c>
      <c r="F191" s="186"/>
      <c r="G191" s="9">
        <v>7</v>
      </c>
      <c r="H191" s="9">
        <v>7</v>
      </c>
      <c r="I191" s="9">
        <v>17</v>
      </c>
      <c r="J191" s="9">
        <v>17</v>
      </c>
      <c r="K191" s="9">
        <f t="shared" si="4"/>
        <v>7</v>
      </c>
      <c r="L191" s="9">
        <v>7</v>
      </c>
      <c r="M191" s="9">
        <f t="shared" si="5"/>
        <v>17</v>
      </c>
      <c r="N191" s="9">
        <v>17</v>
      </c>
    </row>
    <row r="192" spans="1:14" ht="15" customHeight="1" x14ac:dyDescent="0.35">
      <c r="A192" s="185"/>
      <c r="B192" s="14" t="s">
        <v>21</v>
      </c>
      <c r="C192" s="15" t="s">
        <v>19</v>
      </c>
      <c r="D192" s="15">
        <v>1</v>
      </c>
      <c r="E192" s="14" t="s">
        <v>17</v>
      </c>
      <c r="F192" s="186"/>
      <c r="G192" s="9">
        <v>7</v>
      </c>
      <c r="H192" s="9">
        <v>7</v>
      </c>
      <c r="I192" s="9">
        <v>18</v>
      </c>
      <c r="J192" s="9">
        <v>18</v>
      </c>
      <c r="K192" s="9">
        <f t="shared" si="4"/>
        <v>7</v>
      </c>
      <c r="L192" s="9">
        <v>7</v>
      </c>
      <c r="M192" s="9">
        <f t="shared" si="5"/>
        <v>18</v>
      </c>
      <c r="N192" s="9">
        <v>18</v>
      </c>
    </row>
    <row r="193" spans="1:14" ht="15" customHeight="1" x14ac:dyDescent="0.35">
      <c r="A193" s="185"/>
      <c r="B193" s="14" t="s">
        <v>21</v>
      </c>
      <c r="C193" s="15" t="s">
        <v>19</v>
      </c>
      <c r="D193" s="15">
        <v>1</v>
      </c>
      <c r="E193" s="14" t="s">
        <v>109</v>
      </c>
      <c r="F193" s="186"/>
      <c r="G193" s="9">
        <v>7</v>
      </c>
      <c r="H193" s="9">
        <v>7</v>
      </c>
      <c r="I193" s="9">
        <v>9</v>
      </c>
      <c r="J193" s="9">
        <v>9</v>
      </c>
      <c r="K193" s="9">
        <f t="shared" si="4"/>
        <v>7</v>
      </c>
      <c r="L193" s="9">
        <v>7</v>
      </c>
      <c r="M193" s="9">
        <f t="shared" si="5"/>
        <v>9</v>
      </c>
      <c r="N193" s="9">
        <v>9</v>
      </c>
    </row>
    <row r="194" spans="1:14" ht="15" customHeight="1" x14ac:dyDescent="0.35">
      <c r="A194" s="185"/>
      <c r="B194" s="12" t="s">
        <v>21</v>
      </c>
      <c r="C194" s="13" t="s">
        <v>19</v>
      </c>
      <c r="D194" s="13">
        <v>2</v>
      </c>
      <c r="E194" s="12" t="s">
        <v>17</v>
      </c>
      <c r="F194" s="186"/>
      <c r="G194" s="9">
        <v>7</v>
      </c>
      <c r="H194" s="9">
        <v>7</v>
      </c>
      <c r="I194" s="9">
        <v>18</v>
      </c>
      <c r="J194" s="9">
        <v>18</v>
      </c>
      <c r="K194" s="9">
        <f t="shared" si="4"/>
        <v>7</v>
      </c>
      <c r="L194" s="9">
        <v>7</v>
      </c>
      <c r="M194" s="9">
        <f t="shared" si="5"/>
        <v>18</v>
      </c>
      <c r="N194" s="9">
        <v>18</v>
      </c>
    </row>
    <row r="195" spans="1:14" ht="15" customHeight="1" x14ac:dyDescent="0.35">
      <c r="A195" s="185"/>
      <c r="B195" s="12" t="s">
        <v>21</v>
      </c>
      <c r="C195" s="13" t="s">
        <v>19</v>
      </c>
      <c r="D195" s="13">
        <v>2</v>
      </c>
      <c r="E195" s="12" t="s">
        <v>109</v>
      </c>
      <c r="F195" s="186"/>
      <c r="G195" s="9">
        <v>7</v>
      </c>
      <c r="H195" s="9">
        <v>7</v>
      </c>
      <c r="I195" s="9">
        <v>22</v>
      </c>
      <c r="J195" s="9">
        <v>22</v>
      </c>
      <c r="K195" s="9">
        <f t="shared" si="4"/>
        <v>7</v>
      </c>
      <c r="L195" s="9">
        <v>7</v>
      </c>
      <c r="M195" s="9">
        <f t="shared" si="5"/>
        <v>22</v>
      </c>
      <c r="N195" s="9">
        <v>22</v>
      </c>
    </row>
    <row r="196" spans="1:14" ht="15" customHeight="1" x14ac:dyDescent="0.35">
      <c r="A196" s="185"/>
      <c r="B196" s="14" t="s">
        <v>21</v>
      </c>
      <c r="C196" s="15" t="s">
        <v>19</v>
      </c>
      <c r="D196" s="15">
        <v>3</v>
      </c>
      <c r="E196" s="14" t="s">
        <v>17</v>
      </c>
      <c r="F196" s="186"/>
      <c r="G196" s="9">
        <v>7</v>
      </c>
      <c r="H196" s="9">
        <v>7</v>
      </c>
      <c r="I196" s="9">
        <v>18</v>
      </c>
      <c r="J196" s="9">
        <v>18</v>
      </c>
      <c r="K196" s="9">
        <f t="shared" si="4"/>
        <v>7</v>
      </c>
      <c r="L196" s="9">
        <v>7</v>
      </c>
      <c r="M196" s="9">
        <f t="shared" si="5"/>
        <v>18</v>
      </c>
      <c r="N196" s="9">
        <v>18</v>
      </c>
    </row>
    <row r="197" spans="1:14" ht="15" customHeight="1" x14ac:dyDescent="0.35">
      <c r="A197" s="185"/>
      <c r="B197" s="14" t="s">
        <v>21</v>
      </c>
      <c r="C197" s="15" t="s">
        <v>19</v>
      </c>
      <c r="D197" s="15">
        <v>3</v>
      </c>
      <c r="E197" s="14" t="s">
        <v>109</v>
      </c>
      <c r="F197" s="186"/>
      <c r="G197" s="9">
        <v>7</v>
      </c>
      <c r="H197" s="9">
        <v>7</v>
      </c>
      <c r="I197" s="9">
        <v>17</v>
      </c>
      <c r="J197" s="9">
        <v>17</v>
      </c>
      <c r="K197" s="9">
        <f t="shared" si="4"/>
        <v>7</v>
      </c>
      <c r="L197" s="9">
        <v>7</v>
      </c>
      <c r="M197" s="9">
        <f t="shared" si="5"/>
        <v>17</v>
      </c>
      <c r="N197" s="9">
        <v>17</v>
      </c>
    </row>
    <row r="198" spans="1:14" ht="15" customHeight="1" x14ac:dyDescent="0.35">
      <c r="A198" s="185"/>
      <c r="B198" s="12" t="s">
        <v>21</v>
      </c>
      <c r="C198" s="13" t="s">
        <v>20</v>
      </c>
      <c r="D198" s="13">
        <v>1</v>
      </c>
      <c r="E198" s="12" t="s">
        <v>17</v>
      </c>
      <c r="F198" s="186"/>
      <c r="G198" s="9">
        <v>7</v>
      </c>
      <c r="H198" s="9">
        <v>7</v>
      </c>
      <c r="I198" s="9">
        <v>17</v>
      </c>
      <c r="J198" s="9">
        <v>17</v>
      </c>
      <c r="K198" s="9">
        <f t="shared" si="4"/>
        <v>7</v>
      </c>
      <c r="L198" s="9">
        <v>7</v>
      </c>
      <c r="M198" s="9">
        <f t="shared" si="5"/>
        <v>17</v>
      </c>
      <c r="N198" s="9">
        <v>17</v>
      </c>
    </row>
    <row r="199" spans="1:14" ht="15" customHeight="1" x14ac:dyDescent="0.35">
      <c r="A199" s="185"/>
      <c r="B199" s="12" t="s">
        <v>21</v>
      </c>
      <c r="C199" s="13" t="s">
        <v>20</v>
      </c>
      <c r="D199" s="13">
        <v>1</v>
      </c>
      <c r="E199" s="12" t="s">
        <v>109</v>
      </c>
      <c r="F199" s="186"/>
      <c r="G199" s="9">
        <v>7</v>
      </c>
      <c r="H199" s="9">
        <v>7</v>
      </c>
      <c r="I199" s="9">
        <v>18</v>
      </c>
      <c r="J199" s="9">
        <v>18</v>
      </c>
      <c r="K199" s="9">
        <f t="shared" ref="K199:K262" si="6">G199</f>
        <v>7</v>
      </c>
      <c r="L199" s="9">
        <v>7</v>
      </c>
      <c r="M199" s="9">
        <f t="shared" ref="M199:M262" si="7">I199</f>
        <v>18</v>
      </c>
      <c r="N199" s="9">
        <v>18</v>
      </c>
    </row>
    <row r="200" spans="1:14" ht="15" customHeight="1" x14ac:dyDescent="0.35">
      <c r="A200" s="185"/>
      <c r="B200" s="14" t="s">
        <v>21</v>
      </c>
      <c r="C200" s="15" t="s">
        <v>20</v>
      </c>
      <c r="D200" s="15">
        <v>2</v>
      </c>
      <c r="E200" s="14" t="s">
        <v>17</v>
      </c>
      <c r="F200" s="186"/>
      <c r="G200" s="9">
        <v>7</v>
      </c>
      <c r="H200" s="9">
        <v>7</v>
      </c>
      <c r="I200" s="9">
        <v>19</v>
      </c>
      <c r="J200" s="9">
        <v>19</v>
      </c>
      <c r="K200" s="9">
        <f t="shared" si="6"/>
        <v>7</v>
      </c>
      <c r="L200" s="9">
        <v>7</v>
      </c>
      <c r="M200" s="9">
        <f t="shared" si="7"/>
        <v>19</v>
      </c>
      <c r="N200" s="9">
        <v>19</v>
      </c>
    </row>
    <row r="201" spans="1:14" ht="15" customHeight="1" x14ac:dyDescent="0.35">
      <c r="A201" s="185"/>
      <c r="B201" s="14" t="s">
        <v>21</v>
      </c>
      <c r="C201" s="15" t="s">
        <v>20</v>
      </c>
      <c r="D201" s="15">
        <v>2</v>
      </c>
      <c r="E201" s="14" t="s">
        <v>109</v>
      </c>
      <c r="F201" s="186"/>
      <c r="G201" s="9">
        <v>7</v>
      </c>
      <c r="H201" s="9">
        <v>7</v>
      </c>
      <c r="I201" s="9">
        <v>21</v>
      </c>
      <c r="J201" s="9">
        <v>21</v>
      </c>
      <c r="K201" s="9">
        <f t="shared" si="6"/>
        <v>7</v>
      </c>
      <c r="L201" s="9">
        <v>7</v>
      </c>
      <c r="M201" s="9">
        <f t="shared" si="7"/>
        <v>21</v>
      </c>
      <c r="N201" s="9">
        <v>6</v>
      </c>
    </row>
    <row r="202" spans="1:14" ht="15" customHeight="1" x14ac:dyDescent="0.35">
      <c r="A202" s="185"/>
      <c r="B202" s="12" t="s">
        <v>21</v>
      </c>
      <c r="C202" s="13" t="s">
        <v>20</v>
      </c>
      <c r="D202" s="13">
        <v>3</v>
      </c>
      <c r="E202" s="12" t="s">
        <v>17</v>
      </c>
      <c r="F202" s="186"/>
      <c r="G202" s="9">
        <v>7</v>
      </c>
      <c r="H202" s="9">
        <v>7</v>
      </c>
      <c r="I202" s="9">
        <v>18</v>
      </c>
      <c r="J202" s="9">
        <v>18</v>
      </c>
      <c r="K202" s="9">
        <f t="shared" si="6"/>
        <v>7</v>
      </c>
      <c r="L202" s="9">
        <v>7</v>
      </c>
      <c r="M202" s="9">
        <f t="shared" si="7"/>
        <v>18</v>
      </c>
      <c r="N202" s="9">
        <v>18</v>
      </c>
    </row>
    <row r="203" spans="1:14" ht="15" customHeight="1" x14ac:dyDescent="0.35">
      <c r="A203" s="185"/>
      <c r="B203" s="12" t="s">
        <v>21</v>
      </c>
      <c r="C203" s="13" t="s">
        <v>20</v>
      </c>
      <c r="D203" s="13">
        <v>3</v>
      </c>
      <c r="E203" s="12" t="s">
        <v>109</v>
      </c>
      <c r="F203" s="186"/>
      <c r="G203" s="9">
        <v>7</v>
      </c>
      <c r="H203" s="9">
        <v>7</v>
      </c>
      <c r="I203" s="9">
        <v>18</v>
      </c>
      <c r="J203" s="9">
        <v>18</v>
      </c>
      <c r="K203" s="9">
        <f t="shared" si="6"/>
        <v>7</v>
      </c>
      <c r="L203" s="9">
        <v>7</v>
      </c>
      <c r="M203" s="9">
        <f t="shared" si="7"/>
        <v>18</v>
      </c>
      <c r="N203" s="9">
        <v>18</v>
      </c>
    </row>
    <row r="204" spans="1:14" ht="15" customHeight="1" x14ac:dyDescent="0.35">
      <c r="A204" s="185"/>
      <c r="B204" s="16" t="s">
        <v>22</v>
      </c>
      <c r="C204" s="17" t="s">
        <v>16</v>
      </c>
      <c r="D204" s="17">
        <v>1</v>
      </c>
      <c r="E204" s="16" t="s">
        <v>17</v>
      </c>
      <c r="F204" s="186"/>
      <c r="G204" s="9">
        <v>7</v>
      </c>
      <c r="H204" s="9">
        <v>7</v>
      </c>
      <c r="I204" s="9">
        <v>18</v>
      </c>
      <c r="J204" s="9">
        <v>18</v>
      </c>
      <c r="K204" s="9">
        <f t="shared" si="6"/>
        <v>7</v>
      </c>
      <c r="L204" s="9">
        <v>7</v>
      </c>
      <c r="M204" s="9">
        <f t="shared" si="7"/>
        <v>18</v>
      </c>
      <c r="N204" s="9">
        <v>18</v>
      </c>
    </row>
    <row r="205" spans="1:14" ht="15" customHeight="1" x14ac:dyDescent="0.35">
      <c r="A205" s="185"/>
      <c r="B205" s="16" t="s">
        <v>22</v>
      </c>
      <c r="C205" s="17" t="s">
        <v>16</v>
      </c>
      <c r="D205" s="17">
        <v>1</v>
      </c>
      <c r="E205" s="16" t="s">
        <v>109</v>
      </c>
      <c r="F205" s="186"/>
      <c r="G205" s="9">
        <v>7</v>
      </c>
      <c r="H205" s="9">
        <v>7</v>
      </c>
      <c r="I205" s="9">
        <v>18</v>
      </c>
      <c r="J205" s="9">
        <v>18</v>
      </c>
      <c r="K205" s="9">
        <f t="shared" si="6"/>
        <v>7</v>
      </c>
      <c r="L205" s="9">
        <v>7</v>
      </c>
      <c r="M205" s="9">
        <f t="shared" si="7"/>
        <v>18</v>
      </c>
      <c r="N205" s="9">
        <v>18</v>
      </c>
    </row>
    <row r="206" spans="1:14" ht="15" customHeight="1" x14ac:dyDescent="0.35">
      <c r="A206" s="185"/>
      <c r="B206" s="18" t="s">
        <v>22</v>
      </c>
      <c r="C206" s="19" t="s">
        <v>16</v>
      </c>
      <c r="D206" s="19">
        <v>2</v>
      </c>
      <c r="E206" s="18" t="s">
        <v>17</v>
      </c>
      <c r="F206" s="186"/>
      <c r="G206" s="9">
        <v>7</v>
      </c>
      <c r="H206" s="9">
        <v>7</v>
      </c>
      <c r="I206" s="9">
        <v>18</v>
      </c>
      <c r="J206" s="9">
        <v>18</v>
      </c>
      <c r="K206" s="9">
        <f t="shared" si="6"/>
        <v>7</v>
      </c>
      <c r="L206" s="9">
        <v>7</v>
      </c>
      <c r="M206" s="9">
        <f t="shared" si="7"/>
        <v>18</v>
      </c>
      <c r="N206" s="9">
        <v>18</v>
      </c>
    </row>
    <row r="207" spans="1:14" ht="15" customHeight="1" x14ac:dyDescent="0.35">
      <c r="A207" s="185"/>
      <c r="B207" s="18" t="s">
        <v>22</v>
      </c>
      <c r="C207" s="19" t="s">
        <v>16</v>
      </c>
      <c r="D207" s="19">
        <v>2</v>
      </c>
      <c r="E207" s="18" t="s">
        <v>109</v>
      </c>
      <c r="F207" s="186"/>
      <c r="G207" s="9">
        <v>7</v>
      </c>
      <c r="H207" s="9">
        <v>7</v>
      </c>
      <c r="I207" s="9">
        <v>10</v>
      </c>
      <c r="J207" s="9">
        <v>10</v>
      </c>
      <c r="K207" s="9">
        <f t="shared" si="6"/>
        <v>7</v>
      </c>
      <c r="L207" s="9">
        <v>7</v>
      </c>
      <c r="M207" s="9">
        <f t="shared" si="7"/>
        <v>10</v>
      </c>
      <c r="N207" s="9">
        <v>10</v>
      </c>
    </row>
    <row r="208" spans="1:14" ht="15" customHeight="1" x14ac:dyDescent="0.35">
      <c r="A208" s="185"/>
      <c r="B208" s="16" t="s">
        <v>22</v>
      </c>
      <c r="C208" s="17" t="s">
        <v>16</v>
      </c>
      <c r="D208" s="17">
        <v>3</v>
      </c>
      <c r="E208" s="16" t="s">
        <v>17</v>
      </c>
      <c r="F208" s="186"/>
      <c r="G208" s="9">
        <v>7</v>
      </c>
      <c r="H208" s="9">
        <v>7</v>
      </c>
      <c r="I208" s="9">
        <v>18</v>
      </c>
      <c r="J208" s="9">
        <v>18</v>
      </c>
      <c r="K208" s="9">
        <f t="shared" si="6"/>
        <v>7</v>
      </c>
      <c r="L208" s="9">
        <v>7</v>
      </c>
      <c r="M208" s="9">
        <f t="shared" si="7"/>
        <v>18</v>
      </c>
      <c r="N208" s="9">
        <v>18</v>
      </c>
    </row>
    <row r="209" spans="1:14" ht="15" customHeight="1" x14ac:dyDescent="0.35">
      <c r="A209" s="185"/>
      <c r="B209" s="16" t="s">
        <v>22</v>
      </c>
      <c r="C209" s="17" t="s">
        <v>16</v>
      </c>
      <c r="D209" s="17">
        <v>3</v>
      </c>
      <c r="E209" s="16" t="s">
        <v>109</v>
      </c>
      <c r="F209" s="186"/>
      <c r="G209" s="9">
        <v>7</v>
      </c>
      <c r="H209" s="9">
        <v>7</v>
      </c>
      <c r="I209" s="9">
        <v>10</v>
      </c>
      <c r="J209" s="9">
        <v>10</v>
      </c>
      <c r="K209" s="9">
        <f t="shared" si="6"/>
        <v>7</v>
      </c>
      <c r="L209" s="9">
        <v>7</v>
      </c>
      <c r="M209" s="9">
        <f t="shared" si="7"/>
        <v>10</v>
      </c>
      <c r="N209" s="9">
        <v>10</v>
      </c>
    </row>
    <row r="210" spans="1:14" ht="15" customHeight="1" x14ac:dyDescent="0.35">
      <c r="A210" s="185"/>
      <c r="B210" s="18" t="s">
        <v>22</v>
      </c>
      <c r="C210" s="19" t="s">
        <v>19</v>
      </c>
      <c r="D210" s="19">
        <v>1</v>
      </c>
      <c r="E210" s="18" t="s">
        <v>17</v>
      </c>
      <c r="F210" s="186"/>
      <c r="G210" s="9">
        <v>7</v>
      </c>
      <c r="H210" s="9">
        <v>7</v>
      </c>
      <c r="I210" s="9">
        <v>18</v>
      </c>
      <c r="J210" s="9">
        <v>18</v>
      </c>
      <c r="K210" s="9">
        <f t="shared" si="6"/>
        <v>7</v>
      </c>
      <c r="L210" s="9">
        <v>7</v>
      </c>
      <c r="M210" s="9">
        <f t="shared" si="7"/>
        <v>18</v>
      </c>
      <c r="N210" s="9">
        <v>18</v>
      </c>
    </row>
    <row r="211" spans="1:14" ht="15" customHeight="1" x14ac:dyDescent="0.35">
      <c r="A211" s="185"/>
      <c r="B211" s="18" t="s">
        <v>22</v>
      </c>
      <c r="C211" s="19" t="s">
        <v>19</v>
      </c>
      <c r="D211" s="19">
        <v>1</v>
      </c>
      <c r="E211" s="18" t="s">
        <v>109</v>
      </c>
      <c r="F211" s="186"/>
      <c r="G211" s="9">
        <v>7</v>
      </c>
      <c r="H211" s="9">
        <v>7</v>
      </c>
      <c r="I211" s="9">
        <v>15</v>
      </c>
      <c r="J211" s="9">
        <v>15</v>
      </c>
      <c r="K211" s="9">
        <f t="shared" si="6"/>
        <v>7</v>
      </c>
      <c r="L211" s="9">
        <v>7</v>
      </c>
      <c r="M211" s="9">
        <f t="shared" si="7"/>
        <v>15</v>
      </c>
      <c r="N211" s="9">
        <v>15</v>
      </c>
    </row>
    <row r="212" spans="1:14" ht="15" customHeight="1" x14ac:dyDescent="0.35">
      <c r="A212" s="185"/>
      <c r="B212" s="16" t="s">
        <v>22</v>
      </c>
      <c r="C212" s="17" t="s">
        <v>19</v>
      </c>
      <c r="D212" s="17">
        <v>2</v>
      </c>
      <c r="E212" s="16" t="s">
        <v>17</v>
      </c>
      <c r="F212" s="186"/>
      <c r="G212" s="9">
        <v>7</v>
      </c>
      <c r="H212" s="9">
        <v>7</v>
      </c>
      <c r="I212" s="9">
        <v>18</v>
      </c>
      <c r="J212" s="9">
        <v>18</v>
      </c>
      <c r="K212" s="9">
        <f t="shared" si="6"/>
        <v>7</v>
      </c>
      <c r="L212" s="9">
        <v>7</v>
      </c>
      <c r="M212" s="9">
        <f t="shared" si="7"/>
        <v>18</v>
      </c>
      <c r="N212" s="9">
        <v>18</v>
      </c>
    </row>
    <row r="213" spans="1:14" ht="15" customHeight="1" x14ac:dyDescent="0.35">
      <c r="A213" s="185"/>
      <c r="B213" s="16" t="s">
        <v>22</v>
      </c>
      <c r="C213" s="17" t="s">
        <v>19</v>
      </c>
      <c r="D213" s="17">
        <v>2</v>
      </c>
      <c r="E213" s="16" t="s">
        <v>109</v>
      </c>
      <c r="F213" s="186"/>
      <c r="G213" s="9">
        <v>7</v>
      </c>
      <c r="H213" s="9">
        <v>7</v>
      </c>
      <c r="I213" s="9">
        <v>18</v>
      </c>
      <c r="J213" s="9">
        <v>18</v>
      </c>
      <c r="K213" s="9">
        <f t="shared" si="6"/>
        <v>7</v>
      </c>
      <c r="L213" s="9">
        <v>7</v>
      </c>
      <c r="M213" s="9">
        <f t="shared" si="7"/>
        <v>18</v>
      </c>
      <c r="N213" s="9">
        <v>18</v>
      </c>
    </row>
    <row r="214" spans="1:14" ht="15" customHeight="1" x14ac:dyDescent="0.35">
      <c r="A214" s="185"/>
      <c r="B214" s="18" t="s">
        <v>22</v>
      </c>
      <c r="C214" s="19" t="s">
        <v>19</v>
      </c>
      <c r="D214" s="19">
        <v>3</v>
      </c>
      <c r="E214" s="18" t="s">
        <v>17</v>
      </c>
      <c r="F214" s="186"/>
      <c r="G214" s="9">
        <v>7</v>
      </c>
      <c r="H214" s="9">
        <v>7</v>
      </c>
      <c r="I214" s="9">
        <v>18</v>
      </c>
      <c r="J214" s="9">
        <v>18</v>
      </c>
      <c r="K214" s="9">
        <f t="shared" si="6"/>
        <v>7</v>
      </c>
      <c r="L214" s="9">
        <v>7</v>
      </c>
      <c r="M214" s="9">
        <f t="shared" si="7"/>
        <v>18</v>
      </c>
      <c r="N214" s="9">
        <v>18</v>
      </c>
    </row>
    <row r="215" spans="1:14" ht="15" customHeight="1" x14ac:dyDescent="0.35">
      <c r="A215" s="185"/>
      <c r="B215" s="18" t="s">
        <v>22</v>
      </c>
      <c r="C215" s="19" t="s">
        <v>19</v>
      </c>
      <c r="D215" s="19">
        <v>3</v>
      </c>
      <c r="E215" s="18" t="s">
        <v>109</v>
      </c>
      <c r="F215" s="186"/>
      <c r="G215" s="9">
        <v>7</v>
      </c>
      <c r="H215" s="9">
        <v>7</v>
      </c>
      <c r="I215" s="9">
        <v>18</v>
      </c>
      <c r="J215" s="9">
        <v>18</v>
      </c>
      <c r="K215" s="9">
        <f t="shared" si="6"/>
        <v>7</v>
      </c>
      <c r="L215" s="9">
        <v>7</v>
      </c>
      <c r="M215" s="9">
        <f t="shared" si="7"/>
        <v>18</v>
      </c>
      <c r="N215" s="9">
        <v>18</v>
      </c>
    </row>
    <row r="216" spans="1:14" ht="15" customHeight="1" x14ac:dyDescent="0.35">
      <c r="A216" s="185"/>
      <c r="B216" s="16" t="s">
        <v>22</v>
      </c>
      <c r="C216" s="17" t="s">
        <v>20</v>
      </c>
      <c r="D216" s="17">
        <v>1</v>
      </c>
      <c r="E216" s="16" t="s">
        <v>17</v>
      </c>
      <c r="F216" s="186"/>
      <c r="G216" s="9">
        <v>7</v>
      </c>
      <c r="H216" s="9">
        <v>7</v>
      </c>
      <c r="I216" s="9">
        <v>18</v>
      </c>
      <c r="J216" s="9">
        <v>18</v>
      </c>
      <c r="K216" s="9">
        <f t="shared" si="6"/>
        <v>7</v>
      </c>
      <c r="L216" s="9">
        <v>7</v>
      </c>
      <c r="M216" s="9">
        <f t="shared" si="7"/>
        <v>18</v>
      </c>
      <c r="N216" s="9">
        <v>18</v>
      </c>
    </row>
    <row r="217" spans="1:14" ht="15" customHeight="1" x14ac:dyDescent="0.35">
      <c r="A217" s="185"/>
      <c r="B217" s="16" t="s">
        <v>22</v>
      </c>
      <c r="C217" s="17" t="s">
        <v>20</v>
      </c>
      <c r="D217" s="17">
        <v>1</v>
      </c>
      <c r="E217" s="16" t="s">
        <v>109</v>
      </c>
      <c r="F217" s="186"/>
      <c r="G217" s="9">
        <v>7</v>
      </c>
      <c r="H217" s="9">
        <v>7</v>
      </c>
      <c r="I217" s="9">
        <v>18</v>
      </c>
      <c r="J217" s="9">
        <v>18</v>
      </c>
      <c r="K217" s="9">
        <f t="shared" si="6"/>
        <v>7</v>
      </c>
      <c r="L217" s="9">
        <v>7</v>
      </c>
      <c r="M217" s="9">
        <f t="shared" si="7"/>
        <v>18</v>
      </c>
      <c r="N217" s="9">
        <v>18</v>
      </c>
    </row>
    <row r="218" spans="1:14" ht="15" customHeight="1" x14ac:dyDescent="0.35">
      <c r="A218" s="185"/>
      <c r="B218" s="18" t="s">
        <v>22</v>
      </c>
      <c r="C218" s="19" t="s">
        <v>20</v>
      </c>
      <c r="D218" s="19">
        <v>2</v>
      </c>
      <c r="E218" s="18" t="s">
        <v>17</v>
      </c>
      <c r="F218" s="186"/>
      <c r="G218" s="9">
        <v>7</v>
      </c>
      <c r="H218" s="9">
        <v>7</v>
      </c>
      <c r="I218" s="9">
        <v>18</v>
      </c>
      <c r="J218" s="9">
        <v>18</v>
      </c>
      <c r="K218" s="9">
        <f t="shared" si="6"/>
        <v>7</v>
      </c>
      <c r="L218" s="9">
        <v>7</v>
      </c>
      <c r="M218" s="9">
        <f t="shared" si="7"/>
        <v>18</v>
      </c>
      <c r="N218" s="9">
        <v>18</v>
      </c>
    </row>
    <row r="219" spans="1:14" ht="15" customHeight="1" x14ac:dyDescent="0.35">
      <c r="A219" s="185"/>
      <c r="B219" s="18" t="s">
        <v>22</v>
      </c>
      <c r="C219" s="19" t="s">
        <v>20</v>
      </c>
      <c r="D219" s="19">
        <v>2</v>
      </c>
      <c r="E219" s="18" t="s">
        <v>109</v>
      </c>
      <c r="F219" s="186"/>
      <c r="G219" s="9">
        <v>7</v>
      </c>
      <c r="H219" s="9">
        <v>7</v>
      </c>
      <c r="I219" s="9">
        <v>19</v>
      </c>
      <c r="J219" s="9">
        <v>19</v>
      </c>
      <c r="K219" s="9">
        <f t="shared" si="6"/>
        <v>7</v>
      </c>
      <c r="L219" s="9">
        <v>7</v>
      </c>
      <c r="M219" s="9">
        <f t="shared" si="7"/>
        <v>19</v>
      </c>
      <c r="N219" s="9">
        <v>19</v>
      </c>
    </row>
    <row r="220" spans="1:14" ht="15" customHeight="1" x14ac:dyDescent="0.35">
      <c r="A220" s="185"/>
      <c r="B220" s="16" t="s">
        <v>22</v>
      </c>
      <c r="C220" s="17" t="s">
        <v>20</v>
      </c>
      <c r="D220" s="17">
        <v>3</v>
      </c>
      <c r="E220" s="16" t="s">
        <v>17</v>
      </c>
      <c r="F220" s="186"/>
      <c r="G220" s="9">
        <v>7</v>
      </c>
      <c r="H220" s="9">
        <v>7</v>
      </c>
      <c r="I220" s="9">
        <v>18</v>
      </c>
      <c r="J220" s="9">
        <v>18</v>
      </c>
      <c r="K220" s="9">
        <f t="shared" si="6"/>
        <v>7</v>
      </c>
      <c r="L220" s="9">
        <v>7</v>
      </c>
      <c r="M220" s="9">
        <f t="shared" si="7"/>
        <v>18</v>
      </c>
      <c r="N220" s="9">
        <v>18</v>
      </c>
    </row>
    <row r="221" spans="1:14" ht="15" customHeight="1" x14ac:dyDescent="0.35">
      <c r="A221" s="185"/>
      <c r="B221" s="20" t="s">
        <v>22</v>
      </c>
      <c r="C221" s="21" t="s">
        <v>20</v>
      </c>
      <c r="D221" s="21">
        <v>3</v>
      </c>
      <c r="E221" s="20" t="s">
        <v>109</v>
      </c>
      <c r="F221" s="186"/>
      <c r="G221" s="22">
        <v>7</v>
      </c>
      <c r="H221" s="22">
        <v>7</v>
      </c>
      <c r="I221" s="22">
        <v>16</v>
      </c>
      <c r="J221" s="22">
        <v>16</v>
      </c>
      <c r="K221" s="95">
        <f t="shared" si="6"/>
        <v>7</v>
      </c>
      <c r="L221" s="22">
        <v>7</v>
      </c>
      <c r="M221" s="95">
        <f t="shared" si="7"/>
        <v>16</v>
      </c>
      <c r="N221" s="22">
        <v>16</v>
      </c>
    </row>
    <row r="222" spans="1:14" ht="15" customHeight="1" x14ac:dyDescent="0.35">
      <c r="A222" s="185" t="s">
        <v>26</v>
      </c>
      <c r="B222" s="7" t="s">
        <v>15</v>
      </c>
      <c r="C222" s="8" t="s">
        <v>16</v>
      </c>
      <c r="D222" s="8">
        <v>1</v>
      </c>
      <c r="E222" s="7" t="s">
        <v>17</v>
      </c>
      <c r="F222" s="186">
        <v>59</v>
      </c>
      <c r="G222" s="9">
        <v>3</v>
      </c>
      <c r="H222" s="9">
        <v>3</v>
      </c>
      <c r="I222" s="9">
        <v>7</v>
      </c>
      <c r="J222" s="9">
        <v>7</v>
      </c>
      <c r="K222" s="94">
        <f t="shared" si="6"/>
        <v>3</v>
      </c>
      <c r="L222" s="9">
        <v>3</v>
      </c>
      <c r="M222" s="94">
        <f t="shared" si="7"/>
        <v>7</v>
      </c>
      <c r="N222" s="9">
        <v>4</v>
      </c>
    </row>
    <row r="223" spans="1:14" ht="15" customHeight="1" x14ac:dyDescent="0.35">
      <c r="A223" s="185"/>
      <c r="B223" s="7" t="s">
        <v>15</v>
      </c>
      <c r="C223" s="8" t="s">
        <v>16</v>
      </c>
      <c r="D223" s="8">
        <v>1</v>
      </c>
      <c r="E223" s="7" t="s">
        <v>109</v>
      </c>
      <c r="F223" s="186"/>
      <c r="G223" s="9">
        <v>3</v>
      </c>
      <c r="H223" s="9">
        <v>3</v>
      </c>
      <c r="I223" s="9">
        <v>7</v>
      </c>
      <c r="J223" s="9">
        <v>7</v>
      </c>
      <c r="K223" s="9">
        <f t="shared" si="6"/>
        <v>3</v>
      </c>
      <c r="L223" s="9">
        <v>3</v>
      </c>
      <c r="M223" s="9">
        <f t="shared" si="7"/>
        <v>7</v>
      </c>
      <c r="N223" s="9">
        <v>4</v>
      </c>
    </row>
    <row r="224" spans="1:14" ht="15" customHeight="1" x14ac:dyDescent="0.35">
      <c r="A224" s="185"/>
      <c r="B224" s="10" t="s">
        <v>15</v>
      </c>
      <c r="C224" s="11" t="s">
        <v>16</v>
      </c>
      <c r="D224" s="11">
        <v>2</v>
      </c>
      <c r="E224" s="10" t="s">
        <v>17</v>
      </c>
      <c r="F224" s="186"/>
      <c r="G224" s="9">
        <v>3</v>
      </c>
      <c r="H224" s="9">
        <v>3</v>
      </c>
      <c r="I224" s="9">
        <v>7</v>
      </c>
      <c r="J224" s="9">
        <v>7</v>
      </c>
      <c r="K224" s="9">
        <f t="shared" si="6"/>
        <v>3</v>
      </c>
      <c r="L224" s="9">
        <v>3</v>
      </c>
      <c r="M224" s="9">
        <f t="shared" si="7"/>
        <v>7</v>
      </c>
      <c r="N224" s="9">
        <v>4</v>
      </c>
    </row>
    <row r="225" spans="1:14" ht="15" customHeight="1" x14ac:dyDescent="0.35">
      <c r="A225" s="185"/>
      <c r="B225" s="10" t="s">
        <v>15</v>
      </c>
      <c r="C225" s="11" t="s">
        <v>16</v>
      </c>
      <c r="D225" s="11">
        <v>2</v>
      </c>
      <c r="E225" s="10" t="s">
        <v>109</v>
      </c>
      <c r="F225" s="186"/>
      <c r="G225" s="9">
        <v>3</v>
      </c>
      <c r="H225" s="9">
        <v>3</v>
      </c>
      <c r="I225" s="9">
        <v>7</v>
      </c>
      <c r="J225" s="9">
        <v>7</v>
      </c>
      <c r="K225" s="9">
        <f t="shared" si="6"/>
        <v>3</v>
      </c>
      <c r="L225" s="9">
        <v>3</v>
      </c>
      <c r="M225" s="9">
        <f t="shared" si="7"/>
        <v>7</v>
      </c>
      <c r="N225" s="9">
        <v>4</v>
      </c>
    </row>
    <row r="226" spans="1:14" ht="15" customHeight="1" x14ac:dyDescent="0.35">
      <c r="A226" s="185"/>
      <c r="B226" s="7" t="s">
        <v>15</v>
      </c>
      <c r="C226" s="8" t="s">
        <v>16</v>
      </c>
      <c r="D226" s="8">
        <v>3</v>
      </c>
      <c r="E226" s="7" t="s">
        <v>17</v>
      </c>
      <c r="F226" s="186"/>
      <c r="G226" s="9">
        <v>3</v>
      </c>
      <c r="H226" s="9">
        <v>3</v>
      </c>
      <c r="I226" s="9">
        <v>7</v>
      </c>
      <c r="J226" s="9">
        <v>7</v>
      </c>
      <c r="K226" s="9">
        <f t="shared" si="6"/>
        <v>3</v>
      </c>
      <c r="L226" s="9">
        <v>3</v>
      </c>
      <c r="M226" s="9">
        <f t="shared" si="7"/>
        <v>7</v>
      </c>
      <c r="N226" s="9">
        <v>4</v>
      </c>
    </row>
    <row r="227" spans="1:14" ht="15" customHeight="1" x14ac:dyDescent="0.35">
      <c r="A227" s="185"/>
      <c r="B227" s="7" t="s">
        <v>15</v>
      </c>
      <c r="C227" s="8" t="s">
        <v>16</v>
      </c>
      <c r="D227" s="8">
        <v>3</v>
      </c>
      <c r="E227" s="7" t="s">
        <v>109</v>
      </c>
      <c r="F227" s="186"/>
      <c r="G227" s="9">
        <v>3</v>
      </c>
      <c r="H227" s="9">
        <v>3</v>
      </c>
      <c r="I227" s="9">
        <v>7</v>
      </c>
      <c r="J227" s="9">
        <v>7</v>
      </c>
      <c r="K227" s="9">
        <f t="shared" si="6"/>
        <v>3</v>
      </c>
      <c r="L227" s="9">
        <v>3</v>
      </c>
      <c r="M227" s="9">
        <f t="shared" si="7"/>
        <v>7</v>
      </c>
      <c r="N227" s="9">
        <v>4</v>
      </c>
    </row>
    <row r="228" spans="1:14" ht="15" customHeight="1" x14ac:dyDescent="0.35">
      <c r="A228" s="185"/>
      <c r="B228" s="10" t="s">
        <v>15</v>
      </c>
      <c r="C228" s="11" t="s">
        <v>19</v>
      </c>
      <c r="D228" s="11">
        <v>1</v>
      </c>
      <c r="E228" s="10" t="s">
        <v>17</v>
      </c>
      <c r="F228" s="186"/>
      <c r="G228" s="9">
        <v>3</v>
      </c>
      <c r="H228" s="9">
        <v>3</v>
      </c>
      <c r="I228" s="9">
        <v>7</v>
      </c>
      <c r="J228" s="9">
        <v>7</v>
      </c>
      <c r="K228" s="9">
        <f t="shared" si="6"/>
        <v>3</v>
      </c>
      <c r="L228" s="9">
        <v>3</v>
      </c>
      <c r="M228" s="9">
        <f t="shared" si="7"/>
        <v>7</v>
      </c>
      <c r="N228" s="9">
        <v>4</v>
      </c>
    </row>
    <row r="229" spans="1:14" ht="15" customHeight="1" x14ac:dyDescent="0.35">
      <c r="A229" s="185"/>
      <c r="B229" s="10" t="s">
        <v>15</v>
      </c>
      <c r="C229" s="11" t="s">
        <v>19</v>
      </c>
      <c r="D229" s="11">
        <v>1</v>
      </c>
      <c r="E229" s="10" t="s">
        <v>109</v>
      </c>
      <c r="F229" s="186"/>
      <c r="G229" s="9">
        <v>3</v>
      </c>
      <c r="H229" s="9">
        <v>3</v>
      </c>
      <c r="I229" s="9">
        <v>7</v>
      </c>
      <c r="J229" s="9">
        <v>7</v>
      </c>
      <c r="K229" s="9">
        <f t="shared" si="6"/>
        <v>3</v>
      </c>
      <c r="L229" s="9">
        <v>3</v>
      </c>
      <c r="M229" s="9">
        <f t="shared" si="7"/>
        <v>7</v>
      </c>
      <c r="N229" s="9">
        <v>4</v>
      </c>
    </row>
    <row r="230" spans="1:14" ht="15" customHeight="1" x14ac:dyDescent="0.35">
      <c r="A230" s="185"/>
      <c r="B230" s="7" t="s">
        <v>15</v>
      </c>
      <c r="C230" s="8" t="s">
        <v>19</v>
      </c>
      <c r="D230" s="8">
        <v>2</v>
      </c>
      <c r="E230" s="7" t="s">
        <v>17</v>
      </c>
      <c r="F230" s="186"/>
      <c r="G230" s="9">
        <v>3</v>
      </c>
      <c r="H230" s="9">
        <v>3</v>
      </c>
      <c r="I230" s="9">
        <v>7</v>
      </c>
      <c r="J230" s="9">
        <v>7</v>
      </c>
      <c r="K230" s="9">
        <f t="shared" si="6"/>
        <v>3</v>
      </c>
      <c r="L230" s="9">
        <v>3</v>
      </c>
      <c r="M230" s="9">
        <f t="shared" si="7"/>
        <v>7</v>
      </c>
      <c r="N230" s="9">
        <v>4</v>
      </c>
    </row>
    <row r="231" spans="1:14" ht="15" customHeight="1" x14ac:dyDescent="0.35">
      <c r="A231" s="185"/>
      <c r="B231" s="7" t="s">
        <v>15</v>
      </c>
      <c r="C231" s="8" t="s">
        <v>19</v>
      </c>
      <c r="D231" s="8">
        <v>2</v>
      </c>
      <c r="E231" s="7" t="s">
        <v>109</v>
      </c>
      <c r="F231" s="186"/>
      <c r="G231" s="9">
        <v>3</v>
      </c>
      <c r="H231" s="9">
        <v>3</v>
      </c>
      <c r="I231" s="9">
        <v>7</v>
      </c>
      <c r="J231" s="9">
        <v>7</v>
      </c>
      <c r="K231" s="9">
        <f t="shared" si="6"/>
        <v>3</v>
      </c>
      <c r="L231" s="9">
        <v>3</v>
      </c>
      <c r="M231" s="9">
        <f t="shared" si="7"/>
        <v>7</v>
      </c>
      <c r="N231" s="9">
        <v>4</v>
      </c>
    </row>
    <row r="232" spans="1:14" ht="15" customHeight="1" x14ac:dyDescent="0.35">
      <c r="A232" s="185"/>
      <c r="B232" s="10" t="s">
        <v>15</v>
      </c>
      <c r="C232" s="11" t="s">
        <v>19</v>
      </c>
      <c r="D232" s="11">
        <v>3</v>
      </c>
      <c r="E232" s="10" t="s">
        <v>17</v>
      </c>
      <c r="F232" s="186"/>
      <c r="G232" s="9">
        <v>3</v>
      </c>
      <c r="H232" s="9">
        <v>3</v>
      </c>
      <c r="I232" s="9">
        <v>7</v>
      </c>
      <c r="J232" s="9">
        <v>7</v>
      </c>
      <c r="K232" s="9">
        <f t="shared" si="6"/>
        <v>3</v>
      </c>
      <c r="L232" s="9">
        <v>3</v>
      </c>
      <c r="M232" s="9">
        <f t="shared" si="7"/>
        <v>7</v>
      </c>
      <c r="N232" s="9">
        <v>4</v>
      </c>
    </row>
    <row r="233" spans="1:14" ht="15" customHeight="1" x14ac:dyDescent="0.35">
      <c r="A233" s="185"/>
      <c r="B233" s="10" t="s">
        <v>15</v>
      </c>
      <c r="C233" s="11" t="s">
        <v>19</v>
      </c>
      <c r="D233" s="11">
        <v>3</v>
      </c>
      <c r="E233" s="10" t="s">
        <v>109</v>
      </c>
      <c r="F233" s="186"/>
      <c r="G233" s="9">
        <v>3</v>
      </c>
      <c r="H233" s="9">
        <v>3</v>
      </c>
      <c r="I233" s="9">
        <v>6</v>
      </c>
      <c r="J233" s="9">
        <v>6</v>
      </c>
      <c r="K233" s="9">
        <f t="shared" si="6"/>
        <v>3</v>
      </c>
      <c r="L233" s="9">
        <v>3</v>
      </c>
      <c r="M233" s="9">
        <f t="shared" si="7"/>
        <v>6</v>
      </c>
      <c r="N233" s="9">
        <v>4</v>
      </c>
    </row>
    <row r="234" spans="1:14" ht="15" customHeight="1" x14ac:dyDescent="0.35">
      <c r="A234" s="185"/>
      <c r="B234" s="7" t="s">
        <v>15</v>
      </c>
      <c r="C234" s="8" t="s">
        <v>20</v>
      </c>
      <c r="D234" s="8">
        <v>1</v>
      </c>
      <c r="E234" s="7" t="s">
        <v>17</v>
      </c>
      <c r="F234" s="186"/>
      <c r="G234" s="9">
        <v>3</v>
      </c>
      <c r="H234" s="9">
        <v>3</v>
      </c>
      <c r="I234" s="9">
        <v>7</v>
      </c>
      <c r="J234" s="9">
        <v>7</v>
      </c>
      <c r="K234" s="9">
        <f t="shared" si="6"/>
        <v>3</v>
      </c>
      <c r="L234" s="9">
        <v>3</v>
      </c>
      <c r="M234" s="9">
        <f t="shared" si="7"/>
        <v>7</v>
      </c>
      <c r="N234" s="9">
        <v>4</v>
      </c>
    </row>
    <row r="235" spans="1:14" ht="15" customHeight="1" x14ac:dyDescent="0.35">
      <c r="A235" s="185"/>
      <c r="B235" s="7" t="s">
        <v>15</v>
      </c>
      <c r="C235" s="8" t="s">
        <v>20</v>
      </c>
      <c r="D235" s="8">
        <v>1</v>
      </c>
      <c r="E235" s="7" t="s">
        <v>109</v>
      </c>
      <c r="F235" s="186"/>
      <c r="G235" s="9">
        <v>3</v>
      </c>
      <c r="H235" s="9">
        <v>3</v>
      </c>
      <c r="I235" s="9">
        <v>7</v>
      </c>
      <c r="J235" s="9">
        <v>7</v>
      </c>
      <c r="K235" s="9">
        <f t="shared" si="6"/>
        <v>3</v>
      </c>
      <c r="L235" s="9">
        <v>3</v>
      </c>
      <c r="M235" s="9">
        <f t="shared" si="7"/>
        <v>7</v>
      </c>
      <c r="N235" s="9">
        <v>4</v>
      </c>
    </row>
    <row r="236" spans="1:14" ht="15" customHeight="1" x14ac:dyDescent="0.35">
      <c r="A236" s="185"/>
      <c r="B236" s="10" t="s">
        <v>15</v>
      </c>
      <c r="C236" s="11" t="s">
        <v>20</v>
      </c>
      <c r="D236" s="11">
        <v>2</v>
      </c>
      <c r="E236" s="10" t="s">
        <v>17</v>
      </c>
      <c r="F236" s="186"/>
      <c r="G236" s="9">
        <v>3</v>
      </c>
      <c r="H236" s="9">
        <v>3</v>
      </c>
      <c r="I236" s="9">
        <v>7</v>
      </c>
      <c r="J236" s="9">
        <v>7</v>
      </c>
      <c r="K236" s="9">
        <f t="shared" si="6"/>
        <v>3</v>
      </c>
      <c r="L236" s="9">
        <v>3</v>
      </c>
      <c r="M236" s="9">
        <f t="shared" si="7"/>
        <v>7</v>
      </c>
      <c r="N236" s="9">
        <v>4</v>
      </c>
    </row>
    <row r="237" spans="1:14" ht="15" customHeight="1" x14ac:dyDescent="0.35">
      <c r="A237" s="185"/>
      <c r="B237" s="10" t="s">
        <v>15</v>
      </c>
      <c r="C237" s="11" t="s">
        <v>20</v>
      </c>
      <c r="D237" s="11">
        <v>2</v>
      </c>
      <c r="E237" s="10" t="s">
        <v>109</v>
      </c>
      <c r="F237" s="186"/>
      <c r="G237" s="9">
        <v>3</v>
      </c>
      <c r="H237" s="9">
        <v>3</v>
      </c>
      <c r="I237" s="9">
        <v>7</v>
      </c>
      <c r="J237" s="9">
        <v>7</v>
      </c>
      <c r="K237" s="9">
        <f t="shared" si="6"/>
        <v>3</v>
      </c>
      <c r="L237" s="9">
        <v>3</v>
      </c>
      <c r="M237" s="9">
        <f t="shared" si="7"/>
        <v>7</v>
      </c>
      <c r="N237" s="9">
        <v>4</v>
      </c>
    </row>
    <row r="238" spans="1:14" ht="15" customHeight="1" x14ac:dyDescent="0.35">
      <c r="A238" s="185"/>
      <c r="B238" s="7" t="s">
        <v>15</v>
      </c>
      <c r="C238" s="8" t="s">
        <v>20</v>
      </c>
      <c r="D238" s="8">
        <v>3</v>
      </c>
      <c r="E238" s="7" t="s">
        <v>17</v>
      </c>
      <c r="F238" s="186"/>
      <c r="G238" s="9">
        <v>3</v>
      </c>
      <c r="H238" s="9">
        <v>3</v>
      </c>
      <c r="I238" s="9">
        <v>7</v>
      </c>
      <c r="J238" s="9">
        <v>7</v>
      </c>
      <c r="K238" s="9">
        <f t="shared" si="6"/>
        <v>3</v>
      </c>
      <c r="L238" s="9">
        <v>3</v>
      </c>
      <c r="M238" s="9">
        <f t="shared" si="7"/>
        <v>7</v>
      </c>
      <c r="N238" s="9">
        <v>4</v>
      </c>
    </row>
    <row r="239" spans="1:14" ht="15" customHeight="1" x14ac:dyDescent="0.35">
      <c r="A239" s="185"/>
      <c r="B239" s="7" t="s">
        <v>15</v>
      </c>
      <c r="C239" s="8" t="s">
        <v>20</v>
      </c>
      <c r="D239" s="8">
        <v>3</v>
      </c>
      <c r="E239" s="7" t="s">
        <v>109</v>
      </c>
      <c r="F239" s="186"/>
      <c r="G239" s="9">
        <v>3</v>
      </c>
      <c r="H239" s="9">
        <v>3</v>
      </c>
      <c r="I239" s="9">
        <v>7</v>
      </c>
      <c r="J239" s="9">
        <v>7</v>
      </c>
      <c r="K239" s="9">
        <f t="shared" si="6"/>
        <v>3</v>
      </c>
      <c r="L239" s="9">
        <v>3</v>
      </c>
      <c r="M239" s="9">
        <f t="shared" si="7"/>
        <v>7</v>
      </c>
      <c r="N239" s="9">
        <v>4</v>
      </c>
    </row>
    <row r="240" spans="1:14" ht="15" customHeight="1" x14ac:dyDescent="0.35">
      <c r="A240" s="185"/>
      <c r="B240" s="12" t="s">
        <v>21</v>
      </c>
      <c r="C240" s="13" t="s">
        <v>16</v>
      </c>
      <c r="D240" s="13">
        <v>1</v>
      </c>
      <c r="E240" s="12" t="s">
        <v>17</v>
      </c>
      <c r="F240" s="186"/>
      <c r="G240" s="9">
        <v>3</v>
      </c>
      <c r="H240" s="9">
        <v>3</v>
      </c>
      <c r="I240" s="9">
        <v>7</v>
      </c>
      <c r="J240" s="9">
        <v>7</v>
      </c>
      <c r="K240" s="9">
        <f t="shared" si="6"/>
        <v>3</v>
      </c>
      <c r="L240" s="9">
        <v>3</v>
      </c>
      <c r="M240" s="9">
        <f t="shared" si="7"/>
        <v>7</v>
      </c>
      <c r="N240" s="9">
        <v>3</v>
      </c>
    </row>
    <row r="241" spans="1:14" ht="15" customHeight="1" x14ac:dyDescent="0.35">
      <c r="A241" s="185"/>
      <c r="B241" s="12" t="s">
        <v>21</v>
      </c>
      <c r="C241" s="13" t="s">
        <v>16</v>
      </c>
      <c r="D241" s="13">
        <v>1</v>
      </c>
      <c r="E241" s="12" t="s">
        <v>109</v>
      </c>
      <c r="F241" s="186"/>
      <c r="G241" s="9">
        <v>5</v>
      </c>
      <c r="H241" s="9">
        <v>5</v>
      </c>
      <c r="I241" s="9">
        <v>9</v>
      </c>
      <c r="J241" s="9">
        <v>9</v>
      </c>
      <c r="K241" s="9">
        <f t="shared" si="6"/>
        <v>5</v>
      </c>
      <c r="L241" s="9">
        <v>3</v>
      </c>
      <c r="M241" s="9">
        <f t="shared" si="7"/>
        <v>9</v>
      </c>
      <c r="N241" s="9">
        <v>4</v>
      </c>
    </row>
    <row r="242" spans="1:14" ht="15" customHeight="1" x14ac:dyDescent="0.35">
      <c r="A242" s="185"/>
      <c r="B242" s="14" t="s">
        <v>21</v>
      </c>
      <c r="C242" s="15" t="s">
        <v>16</v>
      </c>
      <c r="D242" s="15">
        <v>2</v>
      </c>
      <c r="E242" s="14" t="s">
        <v>17</v>
      </c>
      <c r="F242" s="186"/>
      <c r="G242" s="9">
        <v>3</v>
      </c>
      <c r="H242" s="9">
        <v>3</v>
      </c>
      <c r="I242" s="9">
        <v>7</v>
      </c>
      <c r="J242" s="9">
        <v>7</v>
      </c>
      <c r="K242" s="9">
        <f t="shared" si="6"/>
        <v>3</v>
      </c>
      <c r="L242" s="9">
        <v>3</v>
      </c>
      <c r="M242" s="9">
        <f t="shared" si="7"/>
        <v>7</v>
      </c>
      <c r="N242" s="9">
        <v>4</v>
      </c>
    </row>
    <row r="243" spans="1:14" ht="15" customHeight="1" x14ac:dyDescent="0.35">
      <c r="A243" s="185"/>
      <c r="B243" s="14" t="s">
        <v>21</v>
      </c>
      <c r="C243" s="15" t="s">
        <v>16</v>
      </c>
      <c r="D243" s="15">
        <v>2</v>
      </c>
      <c r="E243" s="14" t="s">
        <v>109</v>
      </c>
      <c r="F243" s="186"/>
      <c r="G243" s="9">
        <v>5</v>
      </c>
      <c r="H243" s="9">
        <v>5</v>
      </c>
      <c r="I243" s="9">
        <v>8</v>
      </c>
      <c r="J243" s="9">
        <v>8</v>
      </c>
      <c r="K243" s="9">
        <f t="shared" si="6"/>
        <v>5</v>
      </c>
      <c r="L243" s="9">
        <v>3</v>
      </c>
      <c r="M243" s="9">
        <f t="shared" si="7"/>
        <v>8</v>
      </c>
      <c r="N243" s="9">
        <v>4</v>
      </c>
    </row>
    <row r="244" spans="1:14" ht="15" customHeight="1" x14ac:dyDescent="0.35">
      <c r="A244" s="185"/>
      <c r="B244" s="12" t="s">
        <v>21</v>
      </c>
      <c r="C244" s="13" t="s">
        <v>16</v>
      </c>
      <c r="D244" s="13">
        <v>3</v>
      </c>
      <c r="E244" s="12" t="s">
        <v>17</v>
      </c>
      <c r="F244" s="186"/>
      <c r="G244" s="9">
        <v>3</v>
      </c>
      <c r="H244" s="9">
        <v>3</v>
      </c>
      <c r="I244" s="9">
        <v>7</v>
      </c>
      <c r="J244" s="9">
        <v>7</v>
      </c>
      <c r="K244" s="9">
        <f t="shared" si="6"/>
        <v>3</v>
      </c>
      <c r="L244" s="9">
        <v>3</v>
      </c>
      <c r="M244" s="9">
        <f t="shared" si="7"/>
        <v>7</v>
      </c>
      <c r="N244" s="9">
        <v>4</v>
      </c>
    </row>
    <row r="245" spans="1:14" ht="15" customHeight="1" x14ac:dyDescent="0.35">
      <c r="A245" s="185"/>
      <c r="B245" s="12" t="s">
        <v>21</v>
      </c>
      <c r="C245" s="13" t="s">
        <v>16</v>
      </c>
      <c r="D245" s="13">
        <v>3</v>
      </c>
      <c r="E245" s="12" t="s">
        <v>109</v>
      </c>
      <c r="F245" s="186"/>
      <c r="G245" s="9">
        <v>5</v>
      </c>
      <c r="H245" s="9">
        <v>5</v>
      </c>
      <c r="I245" s="9">
        <v>10</v>
      </c>
      <c r="J245" s="9">
        <v>10</v>
      </c>
      <c r="K245" s="9">
        <f t="shared" si="6"/>
        <v>5</v>
      </c>
      <c r="L245" s="9">
        <v>3</v>
      </c>
      <c r="M245" s="9">
        <f t="shared" si="7"/>
        <v>10</v>
      </c>
      <c r="N245" s="9">
        <v>4</v>
      </c>
    </row>
    <row r="246" spans="1:14" ht="15" customHeight="1" x14ac:dyDescent="0.35">
      <c r="A246" s="185"/>
      <c r="B246" s="14" t="s">
        <v>21</v>
      </c>
      <c r="C246" s="15" t="s">
        <v>19</v>
      </c>
      <c r="D246" s="15">
        <v>1</v>
      </c>
      <c r="E246" s="14" t="s">
        <v>17</v>
      </c>
      <c r="F246" s="186"/>
      <c r="G246" s="9">
        <v>3</v>
      </c>
      <c r="H246" s="9">
        <v>3</v>
      </c>
      <c r="I246" s="9">
        <v>7</v>
      </c>
      <c r="J246" s="9">
        <v>7</v>
      </c>
      <c r="K246" s="9">
        <f t="shared" si="6"/>
        <v>3</v>
      </c>
      <c r="L246" s="9">
        <v>3</v>
      </c>
      <c r="M246" s="9">
        <f t="shared" si="7"/>
        <v>7</v>
      </c>
      <c r="N246" s="9">
        <v>4</v>
      </c>
    </row>
    <row r="247" spans="1:14" ht="15" customHeight="1" x14ac:dyDescent="0.35">
      <c r="A247" s="185"/>
      <c r="B247" s="14" t="s">
        <v>21</v>
      </c>
      <c r="C247" s="15" t="s">
        <v>19</v>
      </c>
      <c r="D247" s="15">
        <v>1</v>
      </c>
      <c r="E247" s="14" t="s">
        <v>109</v>
      </c>
      <c r="F247" s="186"/>
      <c r="G247" s="9">
        <v>5</v>
      </c>
      <c r="H247" s="9">
        <v>5</v>
      </c>
      <c r="I247" s="9">
        <v>9</v>
      </c>
      <c r="J247" s="9">
        <v>9</v>
      </c>
      <c r="K247" s="9">
        <f t="shared" si="6"/>
        <v>5</v>
      </c>
      <c r="L247" s="9">
        <v>3</v>
      </c>
      <c r="M247" s="9">
        <f t="shared" si="7"/>
        <v>9</v>
      </c>
      <c r="N247" s="9">
        <v>4</v>
      </c>
    </row>
    <row r="248" spans="1:14" ht="15" customHeight="1" x14ac:dyDescent="0.35">
      <c r="A248" s="185"/>
      <c r="B248" s="12" t="s">
        <v>21</v>
      </c>
      <c r="C248" s="13" t="s">
        <v>19</v>
      </c>
      <c r="D248" s="13">
        <v>2</v>
      </c>
      <c r="E248" s="12" t="s">
        <v>17</v>
      </c>
      <c r="F248" s="186"/>
      <c r="G248" s="9">
        <v>3</v>
      </c>
      <c r="H248" s="9">
        <v>3</v>
      </c>
      <c r="I248" s="9">
        <v>7</v>
      </c>
      <c r="J248" s="9">
        <v>7</v>
      </c>
      <c r="K248" s="9">
        <f t="shared" si="6"/>
        <v>3</v>
      </c>
      <c r="L248" s="9">
        <v>3</v>
      </c>
      <c r="M248" s="9">
        <f t="shared" si="7"/>
        <v>7</v>
      </c>
      <c r="N248" s="9">
        <v>3</v>
      </c>
    </row>
    <row r="249" spans="1:14" ht="15" customHeight="1" x14ac:dyDescent="0.35">
      <c r="A249" s="185"/>
      <c r="B249" s="12" t="s">
        <v>21</v>
      </c>
      <c r="C249" s="13" t="s">
        <v>19</v>
      </c>
      <c r="D249" s="13">
        <v>2</v>
      </c>
      <c r="E249" s="12" t="s">
        <v>109</v>
      </c>
      <c r="F249" s="186"/>
      <c r="G249" s="9">
        <v>3</v>
      </c>
      <c r="H249" s="9">
        <v>3</v>
      </c>
      <c r="I249" s="9">
        <v>5</v>
      </c>
      <c r="J249" s="9">
        <v>5</v>
      </c>
      <c r="K249" s="9">
        <f t="shared" si="6"/>
        <v>3</v>
      </c>
      <c r="L249" s="9">
        <v>3</v>
      </c>
      <c r="M249" s="9">
        <f t="shared" si="7"/>
        <v>5</v>
      </c>
      <c r="N249" s="9">
        <v>4</v>
      </c>
    </row>
    <row r="250" spans="1:14" ht="15" customHeight="1" x14ac:dyDescent="0.35">
      <c r="A250" s="185"/>
      <c r="B250" s="14" t="s">
        <v>21</v>
      </c>
      <c r="C250" s="15" t="s">
        <v>19</v>
      </c>
      <c r="D250" s="15">
        <v>3</v>
      </c>
      <c r="E250" s="14" t="s">
        <v>17</v>
      </c>
      <c r="F250" s="186"/>
      <c r="G250" s="9">
        <v>3</v>
      </c>
      <c r="H250" s="9">
        <v>3</v>
      </c>
      <c r="I250" s="9">
        <v>7</v>
      </c>
      <c r="J250" s="9">
        <v>7</v>
      </c>
      <c r="K250" s="9">
        <f t="shared" si="6"/>
        <v>3</v>
      </c>
      <c r="L250" s="9">
        <v>3</v>
      </c>
      <c r="M250" s="9">
        <f t="shared" si="7"/>
        <v>7</v>
      </c>
      <c r="N250" s="9">
        <v>3</v>
      </c>
    </row>
    <row r="251" spans="1:14" ht="15" customHeight="1" x14ac:dyDescent="0.35">
      <c r="A251" s="185"/>
      <c r="B251" s="14" t="s">
        <v>21</v>
      </c>
      <c r="C251" s="15" t="s">
        <v>19</v>
      </c>
      <c r="D251" s="15">
        <v>3</v>
      </c>
      <c r="E251" s="14" t="s">
        <v>109</v>
      </c>
      <c r="F251" s="186"/>
      <c r="G251" s="9">
        <v>5</v>
      </c>
      <c r="H251" s="9">
        <v>5</v>
      </c>
      <c r="I251" s="9">
        <v>9</v>
      </c>
      <c r="J251" s="9">
        <v>9</v>
      </c>
      <c r="K251" s="9">
        <f t="shared" si="6"/>
        <v>5</v>
      </c>
      <c r="L251" s="9">
        <v>3</v>
      </c>
      <c r="M251" s="9">
        <f t="shared" si="7"/>
        <v>9</v>
      </c>
      <c r="N251" s="9">
        <v>4</v>
      </c>
    </row>
    <row r="252" spans="1:14" ht="15" customHeight="1" x14ac:dyDescent="0.35">
      <c r="A252" s="185"/>
      <c r="B252" s="12" t="s">
        <v>21</v>
      </c>
      <c r="C252" s="13" t="s">
        <v>20</v>
      </c>
      <c r="D252" s="13">
        <v>1</v>
      </c>
      <c r="E252" s="12" t="s">
        <v>17</v>
      </c>
      <c r="F252" s="186"/>
      <c r="G252" s="9">
        <v>3</v>
      </c>
      <c r="H252" s="9">
        <v>3</v>
      </c>
      <c r="I252" s="9">
        <v>7</v>
      </c>
      <c r="J252" s="9">
        <v>7</v>
      </c>
      <c r="K252" s="9">
        <f t="shared" si="6"/>
        <v>3</v>
      </c>
      <c r="L252" s="9">
        <v>3</v>
      </c>
      <c r="M252" s="9">
        <f t="shared" si="7"/>
        <v>7</v>
      </c>
      <c r="N252" s="9">
        <v>4</v>
      </c>
    </row>
    <row r="253" spans="1:14" ht="15" customHeight="1" x14ac:dyDescent="0.35">
      <c r="A253" s="185"/>
      <c r="B253" s="12" t="s">
        <v>21</v>
      </c>
      <c r="C253" s="13" t="s">
        <v>20</v>
      </c>
      <c r="D253" s="13">
        <v>1</v>
      </c>
      <c r="E253" s="12" t="s">
        <v>109</v>
      </c>
      <c r="F253" s="186"/>
      <c r="G253" s="9">
        <v>3</v>
      </c>
      <c r="H253" s="9">
        <v>3</v>
      </c>
      <c r="I253" s="9">
        <v>6</v>
      </c>
      <c r="J253" s="9">
        <v>6</v>
      </c>
      <c r="K253" s="9">
        <f t="shared" si="6"/>
        <v>3</v>
      </c>
      <c r="L253" s="9">
        <v>3</v>
      </c>
      <c r="M253" s="9">
        <f t="shared" si="7"/>
        <v>6</v>
      </c>
      <c r="N253" s="9">
        <v>4</v>
      </c>
    </row>
    <row r="254" spans="1:14" ht="15" customHeight="1" x14ac:dyDescent="0.35">
      <c r="A254" s="185"/>
      <c r="B254" s="14" t="s">
        <v>21</v>
      </c>
      <c r="C254" s="15" t="s">
        <v>20</v>
      </c>
      <c r="D254" s="15">
        <v>2</v>
      </c>
      <c r="E254" s="14" t="s">
        <v>17</v>
      </c>
      <c r="F254" s="186"/>
      <c r="G254" s="9">
        <v>3</v>
      </c>
      <c r="H254" s="9">
        <v>3</v>
      </c>
      <c r="I254" s="9">
        <v>7</v>
      </c>
      <c r="J254" s="9">
        <v>7</v>
      </c>
      <c r="K254" s="9">
        <f t="shared" si="6"/>
        <v>3</v>
      </c>
      <c r="L254" s="9">
        <v>3</v>
      </c>
      <c r="M254" s="9">
        <f t="shared" si="7"/>
        <v>7</v>
      </c>
      <c r="N254" s="9">
        <v>4</v>
      </c>
    </row>
    <row r="255" spans="1:14" ht="15" customHeight="1" x14ac:dyDescent="0.35">
      <c r="A255" s="185"/>
      <c r="B255" s="14" t="s">
        <v>21</v>
      </c>
      <c r="C255" s="15" t="s">
        <v>20</v>
      </c>
      <c r="D255" s="15">
        <v>2</v>
      </c>
      <c r="E255" s="14" t="s">
        <v>109</v>
      </c>
      <c r="F255" s="186"/>
      <c r="G255" s="9">
        <v>5</v>
      </c>
      <c r="H255" s="9">
        <v>5</v>
      </c>
      <c r="I255" s="9">
        <v>10</v>
      </c>
      <c r="J255" s="9">
        <v>10</v>
      </c>
      <c r="K255" s="9">
        <f t="shared" si="6"/>
        <v>5</v>
      </c>
      <c r="L255" s="9">
        <v>3</v>
      </c>
      <c r="M255" s="9">
        <f t="shared" si="7"/>
        <v>10</v>
      </c>
      <c r="N255" s="9">
        <v>4</v>
      </c>
    </row>
    <row r="256" spans="1:14" ht="15" customHeight="1" x14ac:dyDescent="0.35">
      <c r="A256" s="185"/>
      <c r="B256" s="12" t="s">
        <v>21</v>
      </c>
      <c r="C256" s="13" t="s">
        <v>20</v>
      </c>
      <c r="D256" s="13">
        <v>3</v>
      </c>
      <c r="E256" s="12" t="s">
        <v>17</v>
      </c>
      <c r="F256" s="186"/>
      <c r="G256" s="9">
        <v>3</v>
      </c>
      <c r="H256" s="9">
        <v>3</v>
      </c>
      <c r="I256" s="9">
        <v>7</v>
      </c>
      <c r="J256" s="9">
        <v>7</v>
      </c>
      <c r="K256" s="9">
        <f t="shared" si="6"/>
        <v>3</v>
      </c>
      <c r="L256" s="9">
        <v>3</v>
      </c>
      <c r="M256" s="9">
        <f t="shared" si="7"/>
        <v>7</v>
      </c>
      <c r="N256" s="9">
        <v>3</v>
      </c>
    </row>
    <row r="257" spans="1:14" ht="15" customHeight="1" x14ac:dyDescent="0.35">
      <c r="A257" s="185"/>
      <c r="B257" s="12" t="s">
        <v>21</v>
      </c>
      <c r="C257" s="13" t="s">
        <v>20</v>
      </c>
      <c r="D257" s="13">
        <v>3</v>
      </c>
      <c r="E257" s="12" t="s">
        <v>109</v>
      </c>
      <c r="F257" s="186"/>
      <c r="G257" s="9">
        <v>5</v>
      </c>
      <c r="H257" s="9">
        <v>5</v>
      </c>
      <c r="I257" s="9">
        <v>9</v>
      </c>
      <c r="J257" s="9">
        <v>9</v>
      </c>
      <c r="K257" s="9">
        <f t="shared" si="6"/>
        <v>5</v>
      </c>
      <c r="L257" s="9">
        <v>3</v>
      </c>
      <c r="M257" s="9">
        <f t="shared" si="7"/>
        <v>9</v>
      </c>
      <c r="N257" s="9">
        <v>4</v>
      </c>
    </row>
    <row r="258" spans="1:14" ht="15" customHeight="1" x14ac:dyDescent="0.35">
      <c r="A258" s="185"/>
      <c r="B258" s="16" t="s">
        <v>22</v>
      </c>
      <c r="C258" s="17" t="s">
        <v>16</v>
      </c>
      <c r="D258" s="17">
        <v>1</v>
      </c>
      <c r="E258" s="16" t="s">
        <v>17</v>
      </c>
      <c r="F258" s="186"/>
      <c r="G258" s="9">
        <v>3</v>
      </c>
      <c r="H258" s="9">
        <v>3</v>
      </c>
      <c r="I258" s="9">
        <v>9</v>
      </c>
      <c r="J258" s="9">
        <v>9</v>
      </c>
      <c r="K258" s="9">
        <f t="shared" si="6"/>
        <v>3</v>
      </c>
      <c r="L258" s="9">
        <v>3</v>
      </c>
      <c r="M258" s="9">
        <f t="shared" si="7"/>
        <v>9</v>
      </c>
      <c r="N258" s="9">
        <v>4</v>
      </c>
    </row>
    <row r="259" spans="1:14" ht="15" customHeight="1" x14ac:dyDescent="0.35">
      <c r="A259" s="185"/>
      <c r="B259" s="16" t="s">
        <v>22</v>
      </c>
      <c r="C259" s="17" t="s">
        <v>16</v>
      </c>
      <c r="D259" s="17">
        <v>1</v>
      </c>
      <c r="E259" s="16" t="s">
        <v>109</v>
      </c>
      <c r="F259" s="186"/>
      <c r="G259" s="9">
        <v>3</v>
      </c>
      <c r="H259" s="9">
        <v>3</v>
      </c>
      <c r="I259" s="9">
        <v>7</v>
      </c>
      <c r="J259" s="9">
        <v>7</v>
      </c>
      <c r="K259" s="9">
        <f t="shared" si="6"/>
        <v>3</v>
      </c>
      <c r="L259" s="9">
        <v>3</v>
      </c>
      <c r="M259" s="9">
        <f t="shared" si="7"/>
        <v>7</v>
      </c>
      <c r="N259" s="9">
        <v>4</v>
      </c>
    </row>
    <row r="260" spans="1:14" ht="15" customHeight="1" x14ac:dyDescent="0.35">
      <c r="A260" s="185"/>
      <c r="B260" s="18" t="s">
        <v>22</v>
      </c>
      <c r="C260" s="19" t="s">
        <v>16</v>
      </c>
      <c r="D260" s="19">
        <v>2</v>
      </c>
      <c r="E260" s="18" t="s">
        <v>17</v>
      </c>
      <c r="F260" s="186"/>
      <c r="G260" s="9">
        <v>3</v>
      </c>
      <c r="H260" s="9">
        <v>3</v>
      </c>
      <c r="I260" s="9">
        <v>9</v>
      </c>
      <c r="J260" s="9">
        <v>9</v>
      </c>
      <c r="K260" s="9">
        <f t="shared" si="6"/>
        <v>3</v>
      </c>
      <c r="L260" s="9">
        <v>3</v>
      </c>
      <c r="M260" s="9">
        <f t="shared" si="7"/>
        <v>9</v>
      </c>
      <c r="N260" s="9">
        <v>4</v>
      </c>
    </row>
    <row r="261" spans="1:14" ht="15" customHeight="1" x14ac:dyDescent="0.35">
      <c r="A261" s="185"/>
      <c r="B261" s="18" t="s">
        <v>22</v>
      </c>
      <c r="C261" s="19" t="s">
        <v>16</v>
      </c>
      <c r="D261" s="19">
        <v>2</v>
      </c>
      <c r="E261" s="18" t="s">
        <v>109</v>
      </c>
      <c r="F261" s="186"/>
      <c r="G261" s="9">
        <v>3</v>
      </c>
      <c r="H261" s="9">
        <v>3</v>
      </c>
      <c r="I261" s="9">
        <v>7</v>
      </c>
      <c r="J261" s="9">
        <v>7</v>
      </c>
      <c r="K261" s="9">
        <f t="shared" si="6"/>
        <v>3</v>
      </c>
      <c r="L261" s="9">
        <v>3</v>
      </c>
      <c r="M261" s="9">
        <f t="shared" si="7"/>
        <v>7</v>
      </c>
      <c r="N261" s="9">
        <v>4</v>
      </c>
    </row>
    <row r="262" spans="1:14" ht="15" customHeight="1" x14ac:dyDescent="0.35">
      <c r="A262" s="185"/>
      <c r="B262" s="16" t="s">
        <v>22</v>
      </c>
      <c r="C262" s="17" t="s">
        <v>16</v>
      </c>
      <c r="D262" s="17">
        <v>3</v>
      </c>
      <c r="E262" s="16" t="s">
        <v>17</v>
      </c>
      <c r="F262" s="186"/>
      <c r="G262" s="9">
        <v>3</v>
      </c>
      <c r="H262" s="9">
        <v>3</v>
      </c>
      <c r="I262" s="9">
        <v>8</v>
      </c>
      <c r="J262" s="9">
        <v>8</v>
      </c>
      <c r="K262" s="9">
        <f t="shared" si="6"/>
        <v>3</v>
      </c>
      <c r="L262" s="9">
        <v>3</v>
      </c>
      <c r="M262" s="9">
        <f t="shared" si="7"/>
        <v>8</v>
      </c>
      <c r="N262" s="9">
        <v>4</v>
      </c>
    </row>
    <row r="263" spans="1:14" ht="15" customHeight="1" x14ac:dyDescent="0.35">
      <c r="A263" s="185"/>
      <c r="B263" s="16" t="s">
        <v>22</v>
      </c>
      <c r="C263" s="17" t="s">
        <v>16</v>
      </c>
      <c r="D263" s="17">
        <v>3</v>
      </c>
      <c r="E263" s="16" t="s">
        <v>109</v>
      </c>
      <c r="F263" s="186"/>
      <c r="G263" s="9">
        <v>3</v>
      </c>
      <c r="H263" s="9">
        <v>3</v>
      </c>
      <c r="I263" s="9">
        <v>8</v>
      </c>
      <c r="J263" s="9">
        <v>8</v>
      </c>
      <c r="K263" s="9">
        <f t="shared" ref="K263:K326" si="8">G263</f>
        <v>3</v>
      </c>
      <c r="L263" s="9">
        <v>3</v>
      </c>
      <c r="M263" s="9">
        <f t="shared" ref="M263:M326" si="9">I263</f>
        <v>8</v>
      </c>
      <c r="N263" s="9">
        <v>4</v>
      </c>
    </row>
    <row r="264" spans="1:14" ht="15" customHeight="1" x14ac:dyDescent="0.35">
      <c r="A264" s="185"/>
      <c r="B264" s="18" t="s">
        <v>22</v>
      </c>
      <c r="C264" s="19" t="s">
        <v>19</v>
      </c>
      <c r="D264" s="19">
        <v>1</v>
      </c>
      <c r="E264" s="18" t="s">
        <v>17</v>
      </c>
      <c r="F264" s="186"/>
      <c r="G264" s="9">
        <v>3</v>
      </c>
      <c r="H264" s="9">
        <v>3</v>
      </c>
      <c r="I264" s="9">
        <v>7</v>
      </c>
      <c r="J264" s="9">
        <v>7</v>
      </c>
      <c r="K264" s="9">
        <f t="shared" si="8"/>
        <v>3</v>
      </c>
      <c r="L264" s="9">
        <v>3</v>
      </c>
      <c r="M264" s="9">
        <f t="shared" si="9"/>
        <v>7</v>
      </c>
      <c r="N264" s="9">
        <v>4</v>
      </c>
    </row>
    <row r="265" spans="1:14" ht="15" customHeight="1" x14ac:dyDescent="0.35">
      <c r="A265" s="185"/>
      <c r="B265" s="18" t="s">
        <v>22</v>
      </c>
      <c r="C265" s="19" t="s">
        <v>19</v>
      </c>
      <c r="D265" s="19">
        <v>1</v>
      </c>
      <c r="E265" s="18" t="s">
        <v>109</v>
      </c>
      <c r="F265" s="186"/>
      <c r="G265" s="9">
        <v>3</v>
      </c>
      <c r="H265" s="9">
        <v>3</v>
      </c>
      <c r="I265" s="9">
        <v>7</v>
      </c>
      <c r="J265" s="9">
        <v>7</v>
      </c>
      <c r="K265" s="9">
        <f t="shared" si="8"/>
        <v>3</v>
      </c>
      <c r="L265" s="9">
        <v>3</v>
      </c>
      <c r="M265" s="9">
        <f t="shared" si="9"/>
        <v>7</v>
      </c>
      <c r="N265" s="9">
        <v>4</v>
      </c>
    </row>
    <row r="266" spans="1:14" ht="15" customHeight="1" x14ac:dyDescent="0.35">
      <c r="A266" s="185"/>
      <c r="B266" s="16" t="s">
        <v>22</v>
      </c>
      <c r="C266" s="17" t="s">
        <v>19</v>
      </c>
      <c r="D266" s="17">
        <v>2</v>
      </c>
      <c r="E266" s="16" t="s">
        <v>17</v>
      </c>
      <c r="F266" s="186"/>
      <c r="G266" s="9">
        <v>3</v>
      </c>
      <c r="H266" s="9">
        <v>3</v>
      </c>
      <c r="I266" s="9">
        <v>9</v>
      </c>
      <c r="J266" s="9">
        <v>9</v>
      </c>
      <c r="K266" s="9">
        <f t="shared" si="8"/>
        <v>3</v>
      </c>
      <c r="L266" s="9">
        <v>3</v>
      </c>
      <c r="M266" s="9">
        <f t="shared" si="9"/>
        <v>9</v>
      </c>
      <c r="N266" s="9">
        <v>4</v>
      </c>
    </row>
    <row r="267" spans="1:14" ht="15" customHeight="1" x14ac:dyDescent="0.35">
      <c r="A267" s="185"/>
      <c r="B267" s="16" t="s">
        <v>22</v>
      </c>
      <c r="C267" s="17" t="s">
        <v>19</v>
      </c>
      <c r="D267" s="17">
        <v>2</v>
      </c>
      <c r="E267" s="16" t="s">
        <v>109</v>
      </c>
      <c r="F267" s="186"/>
      <c r="G267" s="9">
        <v>3</v>
      </c>
      <c r="H267" s="9">
        <v>3</v>
      </c>
      <c r="I267" s="9">
        <v>7</v>
      </c>
      <c r="J267" s="9">
        <v>7</v>
      </c>
      <c r="K267" s="9">
        <f t="shared" si="8"/>
        <v>3</v>
      </c>
      <c r="L267" s="9">
        <v>3</v>
      </c>
      <c r="M267" s="9">
        <f t="shared" si="9"/>
        <v>7</v>
      </c>
      <c r="N267" s="9">
        <v>4</v>
      </c>
    </row>
    <row r="268" spans="1:14" ht="15" customHeight="1" x14ac:dyDescent="0.35">
      <c r="A268" s="185"/>
      <c r="B268" s="18" t="s">
        <v>22</v>
      </c>
      <c r="C268" s="19" t="s">
        <v>19</v>
      </c>
      <c r="D268" s="19">
        <v>3</v>
      </c>
      <c r="E268" s="18" t="s">
        <v>17</v>
      </c>
      <c r="F268" s="186"/>
      <c r="G268" s="9">
        <v>3</v>
      </c>
      <c r="H268" s="9">
        <v>3</v>
      </c>
      <c r="I268" s="9">
        <v>9</v>
      </c>
      <c r="J268" s="9">
        <v>9</v>
      </c>
      <c r="K268" s="9">
        <f t="shared" si="8"/>
        <v>3</v>
      </c>
      <c r="L268" s="9">
        <v>3</v>
      </c>
      <c r="M268" s="9">
        <f t="shared" si="9"/>
        <v>9</v>
      </c>
      <c r="N268" s="9">
        <v>4</v>
      </c>
    </row>
    <row r="269" spans="1:14" ht="15" customHeight="1" x14ac:dyDescent="0.35">
      <c r="A269" s="185"/>
      <c r="B269" s="18" t="s">
        <v>22</v>
      </c>
      <c r="C269" s="19" t="s">
        <v>19</v>
      </c>
      <c r="D269" s="19">
        <v>3</v>
      </c>
      <c r="E269" s="18" t="s">
        <v>109</v>
      </c>
      <c r="F269" s="186"/>
      <c r="G269" s="9">
        <v>5</v>
      </c>
      <c r="H269" s="9">
        <v>5</v>
      </c>
      <c r="I269" s="9">
        <v>9</v>
      </c>
      <c r="J269" s="9">
        <v>9</v>
      </c>
      <c r="K269" s="9">
        <f t="shared" si="8"/>
        <v>5</v>
      </c>
      <c r="L269" s="9">
        <v>3</v>
      </c>
      <c r="M269" s="9">
        <f t="shared" si="9"/>
        <v>9</v>
      </c>
      <c r="N269" s="9">
        <v>4</v>
      </c>
    </row>
    <row r="270" spans="1:14" ht="15" customHeight="1" x14ac:dyDescent="0.35">
      <c r="A270" s="185"/>
      <c r="B270" s="16" t="s">
        <v>22</v>
      </c>
      <c r="C270" s="17" t="s">
        <v>20</v>
      </c>
      <c r="D270" s="17">
        <v>1</v>
      </c>
      <c r="E270" s="16" t="s">
        <v>17</v>
      </c>
      <c r="F270" s="186"/>
      <c r="G270" s="9">
        <v>3</v>
      </c>
      <c r="H270" s="9">
        <v>3</v>
      </c>
      <c r="I270" s="9">
        <v>7</v>
      </c>
      <c r="J270" s="9">
        <v>7</v>
      </c>
      <c r="K270" s="9">
        <f t="shared" si="8"/>
        <v>3</v>
      </c>
      <c r="L270" s="9">
        <v>3</v>
      </c>
      <c r="M270" s="9">
        <f t="shared" si="9"/>
        <v>7</v>
      </c>
      <c r="N270" s="9">
        <v>4</v>
      </c>
    </row>
    <row r="271" spans="1:14" ht="15" customHeight="1" x14ac:dyDescent="0.35">
      <c r="A271" s="185"/>
      <c r="B271" s="16" t="s">
        <v>22</v>
      </c>
      <c r="C271" s="17" t="s">
        <v>20</v>
      </c>
      <c r="D271" s="17">
        <v>1</v>
      </c>
      <c r="E271" s="16" t="s">
        <v>109</v>
      </c>
      <c r="F271" s="186"/>
      <c r="G271" s="9">
        <v>3</v>
      </c>
      <c r="H271" s="9">
        <v>3</v>
      </c>
      <c r="I271" s="9">
        <v>7</v>
      </c>
      <c r="J271" s="9">
        <v>7</v>
      </c>
      <c r="K271" s="9">
        <f t="shared" si="8"/>
        <v>3</v>
      </c>
      <c r="L271" s="9">
        <v>3</v>
      </c>
      <c r="M271" s="9">
        <f t="shared" si="9"/>
        <v>7</v>
      </c>
      <c r="N271" s="9">
        <v>4</v>
      </c>
    </row>
    <row r="272" spans="1:14" ht="15" customHeight="1" x14ac:dyDescent="0.35">
      <c r="A272" s="185"/>
      <c r="B272" s="18" t="s">
        <v>22</v>
      </c>
      <c r="C272" s="19" t="s">
        <v>20</v>
      </c>
      <c r="D272" s="19">
        <v>2</v>
      </c>
      <c r="E272" s="18" t="s">
        <v>17</v>
      </c>
      <c r="F272" s="186"/>
      <c r="G272" s="9">
        <v>3</v>
      </c>
      <c r="H272" s="9">
        <v>3</v>
      </c>
      <c r="I272" s="9">
        <v>8</v>
      </c>
      <c r="J272" s="9">
        <v>8</v>
      </c>
      <c r="K272" s="9">
        <f t="shared" si="8"/>
        <v>3</v>
      </c>
      <c r="L272" s="9">
        <v>3</v>
      </c>
      <c r="M272" s="9">
        <f t="shared" si="9"/>
        <v>8</v>
      </c>
      <c r="N272" s="9">
        <v>4</v>
      </c>
    </row>
    <row r="273" spans="1:14" ht="15" customHeight="1" x14ac:dyDescent="0.35">
      <c r="A273" s="185"/>
      <c r="B273" s="18" t="s">
        <v>22</v>
      </c>
      <c r="C273" s="19" t="s">
        <v>20</v>
      </c>
      <c r="D273" s="19">
        <v>2</v>
      </c>
      <c r="E273" s="18" t="s">
        <v>109</v>
      </c>
      <c r="F273" s="186"/>
      <c r="G273" s="9">
        <v>3</v>
      </c>
      <c r="H273" s="9">
        <v>3</v>
      </c>
      <c r="I273" s="9">
        <v>8</v>
      </c>
      <c r="J273" s="9">
        <v>8</v>
      </c>
      <c r="K273" s="9">
        <f t="shared" si="8"/>
        <v>3</v>
      </c>
      <c r="L273" s="9">
        <v>3</v>
      </c>
      <c r="M273" s="9">
        <f t="shared" si="9"/>
        <v>8</v>
      </c>
      <c r="N273" s="9">
        <v>4</v>
      </c>
    </row>
    <row r="274" spans="1:14" ht="15" customHeight="1" x14ac:dyDescent="0.35">
      <c r="A274" s="185"/>
      <c r="B274" s="16" t="s">
        <v>22</v>
      </c>
      <c r="C274" s="17" t="s">
        <v>20</v>
      </c>
      <c r="D274" s="17">
        <v>3</v>
      </c>
      <c r="E274" s="16" t="s">
        <v>17</v>
      </c>
      <c r="F274" s="186"/>
      <c r="G274" s="9">
        <v>3</v>
      </c>
      <c r="H274" s="9">
        <v>3</v>
      </c>
      <c r="I274" s="9">
        <v>9</v>
      </c>
      <c r="J274" s="9">
        <v>9</v>
      </c>
      <c r="K274" s="9">
        <f t="shared" si="8"/>
        <v>3</v>
      </c>
      <c r="L274" s="9">
        <v>3</v>
      </c>
      <c r="M274" s="9">
        <f t="shared" si="9"/>
        <v>9</v>
      </c>
      <c r="N274" s="9">
        <v>4</v>
      </c>
    </row>
    <row r="275" spans="1:14" ht="15" customHeight="1" x14ac:dyDescent="0.35">
      <c r="A275" s="185"/>
      <c r="B275" s="20" t="s">
        <v>22</v>
      </c>
      <c r="C275" s="21" t="s">
        <v>20</v>
      </c>
      <c r="D275" s="21">
        <v>3</v>
      </c>
      <c r="E275" s="20" t="s">
        <v>109</v>
      </c>
      <c r="F275" s="186"/>
      <c r="G275" s="22">
        <v>5</v>
      </c>
      <c r="H275" s="22">
        <v>5</v>
      </c>
      <c r="I275" s="22">
        <v>14</v>
      </c>
      <c r="J275" s="22">
        <v>14</v>
      </c>
      <c r="K275" s="95">
        <f t="shared" si="8"/>
        <v>5</v>
      </c>
      <c r="L275" s="22">
        <v>3</v>
      </c>
      <c r="M275" s="95">
        <f t="shared" si="9"/>
        <v>14</v>
      </c>
      <c r="N275" s="22">
        <v>4</v>
      </c>
    </row>
    <row r="276" spans="1:14" ht="15" customHeight="1" x14ac:dyDescent="0.35">
      <c r="A276" s="185" t="s">
        <v>27</v>
      </c>
      <c r="B276" s="7" t="s">
        <v>15</v>
      </c>
      <c r="C276" s="8" t="s">
        <v>16</v>
      </c>
      <c r="D276" s="8">
        <v>1</v>
      </c>
      <c r="E276" s="7" t="s">
        <v>17</v>
      </c>
      <c r="F276" s="186">
        <v>85</v>
      </c>
      <c r="G276" s="9">
        <v>5</v>
      </c>
      <c r="H276" s="9">
        <v>5</v>
      </c>
      <c r="I276" s="9">
        <v>8</v>
      </c>
      <c r="J276" s="9">
        <v>8</v>
      </c>
      <c r="K276" s="94">
        <f t="shared" si="8"/>
        <v>5</v>
      </c>
      <c r="L276" s="9">
        <v>3</v>
      </c>
      <c r="M276" s="94">
        <f t="shared" si="9"/>
        <v>8</v>
      </c>
      <c r="N276" s="9">
        <v>5</v>
      </c>
    </row>
    <row r="277" spans="1:14" ht="15" customHeight="1" x14ac:dyDescent="0.35">
      <c r="A277" s="185"/>
      <c r="B277" s="7" t="s">
        <v>15</v>
      </c>
      <c r="C277" s="8" t="s">
        <v>16</v>
      </c>
      <c r="D277" s="8">
        <v>1</v>
      </c>
      <c r="E277" s="7" t="s">
        <v>109</v>
      </c>
      <c r="F277" s="186"/>
      <c r="G277" s="9">
        <v>5</v>
      </c>
      <c r="H277" s="9">
        <v>5</v>
      </c>
      <c r="I277" s="9">
        <v>8</v>
      </c>
      <c r="J277" s="9">
        <v>8</v>
      </c>
      <c r="K277" s="9">
        <f t="shared" si="8"/>
        <v>5</v>
      </c>
      <c r="L277" s="9">
        <v>3</v>
      </c>
      <c r="M277" s="9">
        <f t="shared" si="9"/>
        <v>8</v>
      </c>
      <c r="N277" s="9">
        <v>5</v>
      </c>
    </row>
    <row r="278" spans="1:14" ht="15" customHeight="1" x14ac:dyDescent="0.35">
      <c r="A278" s="185"/>
      <c r="B278" s="10" t="s">
        <v>15</v>
      </c>
      <c r="C278" s="11" t="s">
        <v>16</v>
      </c>
      <c r="D278" s="11">
        <v>2</v>
      </c>
      <c r="E278" s="10" t="s">
        <v>17</v>
      </c>
      <c r="F278" s="186"/>
      <c r="G278" s="9">
        <v>5</v>
      </c>
      <c r="H278" s="9">
        <v>5</v>
      </c>
      <c r="I278" s="9">
        <v>8</v>
      </c>
      <c r="J278" s="9">
        <v>8</v>
      </c>
      <c r="K278" s="9">
        <f t="shared" si="8"/>
        <v>5</v>
      </c>
      <c r="L278" s="9">
        <v>3</v>
      </c>
      <c r="M278" s="9">
        <f t="shared" si="9"/>
        <v>8</v>
      </c>
      <c r="N278" s="9">
        <v>5</v>
      </c>
    </row>
    <row r="279" spans="1:14" ht="15" customHeight="1" x14ac:dyDescent="0.35">
      <c r="A279" s="185"/>
      <c r="B279" s="10" t="s">
        <v>15</v>
      </c>
      <c r="C279" s="11" t="s">
        <v>16</v>
      </c>
      <c r="D279" s="11">
        <v>2</v>
      </c>
      <c r="E279" s="10" t="s">
        <v>109</v>
      </c>
      <c r="F279" s="186"/>
      <c r="G279" s="9">
        <v>5</v>
      </c>
      <c r="H279" s="9">
        <v>5</v>
      </c>
      <c r="I279" s="9">
        <v>8</v>
      </c>
      <c r="J279" s="9">
        <v>8</v>
      </c>
      <c r="K279" s="9">
        <f t="shared" si="8"/>
        <v>5</v>
      </c>
      <c r="L279" s="9">
        <v>3</v>
      </c>
      <c r="M279" s="9">
        <f t="shared" si="9"/>
        <v>8</v>
      </c>
      <c r="N279" s="9">
        <v>5</v>
      </c>
    </row>
    <row r="280" spans="1:14" ht="15" customHeight="1" x14ac:dyDescent="0.35">
      <c r="A280" s="185"/>
      <c r="B280" s="7" t="s">
        <v>15</v>
      </c>
      <c r="C280" s="8" t="s">
        <v>16</v>
      </c>
      <c r="D280" s="8">
        <v>3</v>
      </c>
      <c r="E280" s="7" t="s">
        <v>17</v>
      </c>
      <c r="F280" s="186"/>
      <c r="G280" s="9">
        <v>5</v>
      </c>
      <c r="H280" s="9">
        <v>5</v>
      </c>
      <c r="I280" s="9">
        <v>8</v>
      </c>
      <c r="J280" s="9">
        <v>8</v>
      </c>
      <c r="K280" s="9">
        <f t="shared" si="8"/>
        <v>5</v>
      </c>
      <c r="L280" s="9">
        <v>3</v>
      </c>
      <c r="M280" s="9">
        <f t="shared" si="9"/>
        <v>8</v>
      </c>
      <c r="N280" s="9">
        <v>5</v>
      </c>
    </row>
    <row r="281" spans="1:14" ht="15" customHeight="1" x14ac:dyDescent="0.35">
      <c r="A281" s="185"/>
      <c r="B281" s="7" t="s">
        <v>15</v>
      </c>
      <c r="C281" s="8" t="s">
        <v>16</v>
      </c>
      <c r="D281" s="8">
        <v>3</v>
      </c>
      <c r="E281" s="7" t="s">
        <v>109</v>
      </c>
      <c r="F281" s="186"/>
      <c r="G281" s="9">
        <v>5</v>
      </c>
      <c r="H281" s="9">
        <v>5</v>
      </c>
      <c r="I281" s="9">
        <v>8</v>
      </c>
      <c r="J281" s="9">
        <v>8</v>
      </c>
      <c r="K281" s="9">
        <f t="shared" si="8"/>
        <v>5</v>
      </c>
      <c r="L281" s="9">
        <v>3</v>
      </c>
      <c r="M281" s="9">
        <f t="shared" si="9"/>
        <v>8</v>
      </c>
      <c r="N281" s="9">
        <v>5</v>
      </c>
    </row>
    <row r="282" spans="1:14" ht="15" customHeight="1" x14ac:dyDescent="0.35">
      <c r="A282" s="185"/>
      <c r="B282" s="10" t="s">
        <v>15</v>
      </c>
      <c r="C282" s="11" t="s">
        <v>19</v>
      </c>
      <c r="D282" s="11">
        <v>1</v>
      </c>
      <c r="E282" s="10" t="s">
        <v>17</v>
      </c>
      <c r="F282" s="186"/>
      <c r="G282" s="9">
        <v>5</v>
      </c>
      <c r="H282" s="9">
        <v>5</v>
      </c>
      <c r="I282" s="9">
        <v>8</v>
      </c>
      <c r="J282" s="9">
        <v>8</v>
      </c>
      <c r="K282" s="9">
        <f t="shared" si="8"/>
        <v>5</v>
      </c>
      <c r="L282" s="9">
        <v>3</v>
      </c>
      <c r="M282" s="9">
        <f t="shared" si="9"/>
        <v>8</v>
      </c>
      <c r="N282" s="9">
        <v>5</v>
      </c>
    </row>
    <row r="283" spans="1:14" ht="15" customHeight="1" x14ac:dyDescent="0.35">
      <c r="A283" s="185"/>
      <c r="B283" s="10" t="s">
        <v>15</v>
      </c>
      <c r="C283" s="11" t="s">
        <v>19</v>
      </c>
      <c r="D283" s="11">
        <v>1</v>
      </c>
      <c r="E283" s="10" t="s">
        <v>109</v>
      </c>
      <c r="F283" s="186"/>
      <c r="G283" s="9">
        <v>5</v>
      </c>
      <c r="H283" s="9">
        <v>5</v>
      </c>
      <c r="I283" s="9">
        <v>8</v>
      </c>
      <c r="J283" s="9">
        <v>8</v>
      </c>
      <c r="K283" s="9">
        <f t="shared" si="8"/>
        <v>5</v>
      </c>
      <c r="L283" s="9">
        <v>3</v>
      </c>
      <c r="M283" s="9">
        <f t="shared" si="9"/>
        <v>8</v>
      </c>
      <c r="N283" s="9">
        <v>5</v>
      </c>
    </row>
    <row r="284" spans="1:14" ht="15" customHeight="1" x14ac:dyDescent="0.35">
      <c r="A284" s="185"/>
      <c r="B284" s="7" t="s">
        <v>15</v>
      </c>
      <c r="C284" s="8" t="s">
        <v>19</v>
      </c>
      <c r="D284" s="8">
        <v>2</v>
      </c>
      <c r="E284" s="7" t="s">
        <v>17</v>
      </c>
      <c r="F284" s="186"/>
      <c r="G284" s="9">
        <v>5</v>
      </c>
      <c r="H284" s="9">
        <v>5</v>
      </c>
      <c r="I284" s="9">
        <v>8</v>
      </c>
      <c r="J284" s="9">
        <v>8</v>
      </c>
      <c r="K284" s="9">
        <f t="shared" si="8"/>
        <v>5</v>
      </c>
      <c r="L284" s="9">
        <v>3</v>
      </c>
      <c r="M284" s="9">
        <f t="shared" si="9"/>
        <v>8</v>
      </c>
      <c r="N284" s="9">
        <v>5</v>
      </c>
    </row>
    <row r="285" spans="1:14" ht="15" customHeight="1" x14ac:dyDescent="0.35">
      <c r="A285" s="185"/>
      <c r="B285" s="7" t="s">
        <v>15</v>
      </c>
      <c r="C285" s="8" t="s">
        <v>19</v>
      </c>
      <c r="D285" s="8">
        <v>2</v>
      </c>
      <c r="E285" s="7" t="s">
        <v>109</v>
      </c>
      <c r="F285" s="186"/>
      <c r="G285" s="9">
        <v>5</v>
      </c>
      <c r="H285" s="9">
        <v>5</v>
      </c>
      <c r="I285" s="9">
        <v>8</v>
      </c>
      <c r="J285" s="9">
        <v>8</v>
      </c>
      <c r="K285" s="9">
        <f t="shared" si="8"/>
        <v>5</v>
      </c>
      <c r="L285" s="9">
        <v>3</v>
      </c>
      <c r="M285" s="9">
        <f t="shared" si="9"/>
        <v>8</v>
      </c>
      <c r="N285" s="9">
        <v>5</v>
      </c>
    </row>
    <row r="286" spans="1:14" ht="15" customHeight="1" x14ac:dyDescent="0.35">
      <c r="A286" s="185"/>
      <c r="B286" s="10" t="s">
        <v>15</v>
      </c>
      <c r="C286" s="11" t="s">
        <v>19</v>
      </c>
      <c r="D286" s="11">
        <v>3</v>
      </c>
      <c r="E286" s="10" t="s">
        <v>17</v>
      </c>
      <c r="F286" s="186"/>
      <c r="G286" s="9">
        <v>5</v>
      </c>
      <c r="H286" s="9">
        <v>5</v>
      </c>
      <c r="I286" s="9">
        <v>8</v>
      </c>
      <c r="J286" s="9">
        <v>8</v>
      </c>
      <c r="K286" s="9">
        <f t="shared" si="8"/>
        <v>5</v>
      </c>
      <c r="L286" s="9">
        <v>3</v>
      </c>
      <c r="M286" s="9">
        <f t="shared" si="9"/>
        <v>8</v>
      </c>
      <c r="N286" s="9">
        <v>5</v>
      </c>
    </row>
    <row r="287" spans="1:14" ht="15" customHeight="1" x14ac:dyDescent="0.35">
      <c r="A287" s="185"/>
      <c r="B287" s="10" t="s">
        <v>15</v>
      </c>
      <c r="C287" s="11" t="s">
        <v>19</v>
      </c>
      <c r="D287" s="11">
        <v>3</v>
      </c>
      <c r="E287" s="10" t="s">
        <v>109</v>
      </c>
      <c r="F287" s="186"/>
      <c r="G287" s="9">
        <v>5</v>
      </c>
      <c r="H287" s="9">
        <v>5</v>
      </c>
      <c r="I287" s="9">
        <v>8</v>
      </c>
      <c r="J287" s="9">
        <v>8</v>
      </c>
      <c r="K287" s="9">
        <f t="shared" si="8"/>
        <v>5</v>
      </c>
      <c r="L287" s="9">
        <v>3</v>
      </c>
      <c r="M287" s="9">
        <f t="shared" si="9"/>
        <v>8</v>
      </c>
      <c r="N287" s="9">
        <v>5</v>
      </c>
    </row>
    <row r="288" spans="1:14" ht="15" customHeight="1" x14ac:dyDescent="0.35">
      <c r="A288" s="185"/>
      <c r="B288" s="7" t="s">
        <v>15</v>
      </c>
      <c r="C288" s="8" t="s">
        <v>20</v>
      </c>
      <c r="D288" s="8">
        <v>1</v>
      </c>
      <c r="E288" s="7" t="s">
        <v>17</v>
      </c>
      <c r="F288" s="186"/>
      <c r="G288" s="9">
        <v>5</v>
      </c>
      <c r="H288" s="9">
        <v>5</v>
      </c>
      <c r="I288" s="9">
        <v>8</v>
      </c>
      <c r="J288" s="9">
        <v>8</v>
      </c>
      <c r="K288" s="9">
        <f t="shared" si="8"/>
        <v>5</v>
      </c>
      <c r="L288" s="9">
        <v>3</v>
      </c>
      <c r="M288" s="9">
        <f t="shared" si="9"/>
        <v>8</v>
      </c>
      <c r="N288" s="9">
        <v>5</v>
      </c>
    </row>
    <row r="289" spans="1:14" ht="15" customHeight="1" x14ac:dyDescent="0.35">
      <c r="A289" s="185"/>
      <c r="B289" s="7" t="s">
        <v>15</v>
      </c>
      <c r="C289" s="8" t="s">
        <v>20</v>
      </c>
      <c r="D289" s="8">
        <v>1</v>
      </c>
      <c r="E289" s="7" t="s">
        <v>109</v>
      </c>
      <c r="F289" s="186"/>
      <c r="G289" s="9">
        <v>5</v>
      </c>
      <c r="H289" s="9">
        <v>5</v>
      </c>
      <c r="I289" s="9">
        <v>8</v>
      </c>
      <c r="J289" s="9">
        <v>8</v>
      </c>
      <c r="K289" s="9">
        <f t="shared" si="8"/>
        <v>5</v>
      </c>
      <c r="L289" s="9">
        <v>3</v>
      </c>
      <c r="M289" s="9">
        <f t="shared" si="9"/>
        <v>8</v>
      </c>
      <c r="N289" s="9">
        <v>5</v>
      </c>
    </row>
    <row r="290" spans="1:14" ht="15" customHeight="1" x14ac:dyDescent="0.35">
      <c r="A290" s="185"/>
      <c r="B290" s="10" t="s">
        <v>15</v>
      </c>
      <c r="C290" s="11" t="s">
        <v>20</v>
      </c>
      <c r="D290" s="11">
        <v>2</v>
      </c>
      <c r="E290" s="10" t="s">
        <v>17</v>
      </c>
      <c r="F290" s="186"/>
      <c r="G290" s="9">
        <v>5</v>
      </c>
      <c r="H290" s="9">
        <v>5</v>
      </c>
      <c r="I290" s="9">
        <v>8</v>
      </c>
      <c r="J290" s="9">
        <v>8</v>
      </c>
      <c r="K290" s="9">
        <f t="shared" si="8"/>
        <v>5</v>
      </c>
      <c r="L290" s="9">
        <v>3</v>
      </c>
      <c r="M290" s="9">
        <f t="shared" si="9"/>
        <v>8</v>
      </c>
      <c r="N290" s="9">
        <v>5</v>
      </c>
    </row>
    <row r="291" spans="1:14" ht="15" customHeight="1" x14ac:dyDescent="0.35">
      <c r="A291" s="185"/>
      <c r="B291" s="10" t="s">
        <v>15</v>
      </c>
      <c r="C291" s="11" t="s">
        <v>20</v>
      </c>
      <c r="D291" s="11">
        <v>2</v>
      </c>
      <c r="E291" s="10" t="s">
        <v>109</v>
      </c>
      <c r="F291" s="186"/>
      <c r="G291" s="9">
        <v>5</v>
      </c>
      <c r="H291" s="9">
        <v>5</v>
      </c>
      <c r="I291" s="9">
        <v>8</v>
      </c>
      <c r="J291" s="9">
        <v>8</v>
      </c>
      <c r="K291" s="9">
        <f t="shared" si="8"/>
        <v>5</v>
      </c>
      <c r="L291" s="9">
        <v>3</v>
      </c>
      <c r="M291" s="9">
        <f t="shared" si="9"/>
        <v>8</v>
      </c>
      <c r="N291" s="9">
        <v>5</v>
      </c>
    </row>
    <row r="292" spans="1:14" ht="15" customHeight="1" x14ac:dyDescent="0.35">
      <c r="A292" s="185"/>
      <c r="B292" s="7" t="s">
        <v>15</v>
      </c>
      <c r="C292" s="8" t="s">
        <v>20</v>
      </c>
      <c r="D292" s="8">
        <v>3</v>
      </c>
      <c r="E292" s="7" t="s">
        <v>17</v>
      </c>
      <c r="F292" s="186"/>
      <c r="G292" s="9">
        <v>5</v>
      </c>
      <c r="H292" s="9">
        <v>5</v>
      </c>
      <c r="I292" s="9">
        <v>8</v>
      </c>
      <c r="J292" s="9">
        <v>8</v>
      </c>
      <c r="K292" s="9">
        <f t="shared" si="8"/>
        <v>5</v>
      </c>
      <c r="L292" s="9">
        <v>3</v>
      </c>
      <c r="M292" s="9">
        <f t="shared" si="9"/>
        <v>8</v>
      </c>
      <c r="N292" s="9">
        <v>5</v>
      </c>
    </row>
    <row r="293" spans="1:14" ht="15" customHeight="1" x14ac:dyDescent="0.35">
      <c r="A293" s="185"/>
      <c r="B293" s="7" t="s">
        <v>15</v>
      </c>
      <c r="C293" s="8" t="s">
        <v>20</v>
      </c>
      <c r="D293" s="8">
        <v>3</v>
      </c>
      <c r="E293" s="7" t="s">
        <v>109</v>
      </c>
      <c r="F293" s="186"/>
      <c r="G293" s="9">
        <v>5</v>
      </c>
      <c r="H293" s="9">
        <v>5</v>
      </c>
      <c r="I293" s="9">
        <v>8</v>
      </c>
      <c r="J293" s="9">
        <v>8</v>
      </c>
      <c r="K293" s="9">
        <f t="shared" si="8"/>
        <v>5</v>
      </c>
      <c r="L293" s="9">
        <v>3</v>
      </c>
      <c r="M293" s="9">
        <f t="shared" si="9"/>
        <v>8</v>
      </c>
      <c r="N293" s="9">
        <v>5</v>
      </c>
    </row>
    <row r="294" spans="1:14" ht="15" customHeight="1" x14ac:dyDescent="0.35">
      <c r="A294" s="185"/>
      <c r="B294" s="12" t="s">
        <v>21</v>
      </c>
      <c r="C294" s="13" t="s">
        <v>16</v>
      </c>
      <c r="D294" s="13">
        <v>1</v>
      </c>
      <c r="E294" s="12" t="s">
        <v>17</v>
      </c>
      <c r="F294" s="186"/>
      <c r="G294" s="9">
        <v>5</v>
      </c>
      <c r="H294" s="9">
        <v>4</v>
      </c>
      <c r="I294" s="9">
        <v>8</v>
      </c>
      <c r="J294" s="9">
        <v>8</v>
      </c>
      <c r="K294" s="9">
        <f t="shared" si="8"/>
        <v>5</v>
      </c>
      <c r="L294" s="9">
        <v>3</v>
      </c>
      <c r="M294" s="9">
        <f t="shared" si="9"/>
        <v>8</v>
      </c>
      <c r="N294" s="9">
        <v>5</v>
      </c>
    </row>
    <row r="295" spans="1:14" ht="15" customHeight="1" x14ac:dyDescent="0.35">
      <c r="A295" s="185"/>
      <c r="B295" s="12" t="s">
        <v>21</v>
      </c>
      <c r="C295" s="13" t="s">
        <v>16</v>
      </c>
      <c r="D295" s="13">
        <v>1</v>
      </c>
      <c r="E295" s="12" t="s">
        <v>109</v>
      </c>
      <c r="F295" s="186"/>
      <c r="G295" s="9">
        <v>5</v>
      </c>
      <c r="H295" s="9">
        <v>5</v>
      </c>
      <c r="I295" s="9">
        <v>8</v>
      </c>
      <c r="J295" s="9">
        <v>8</v>
      </c>
      <c r="K295" s="9">
        <f t="shared" si="8"/>
        <v>5</v>
      </c>
      <c r="L295" s="9">
        <v>3</v>
      </c>
      <c r="M295" s="9">
        <f t="shared" si="9"/>
        <v>8</v>
      </c>
      <c r="N295" s="9">
        <v>5</v>
      </c>
    </row>
    <row r="296" spans="1:14" ht="15" customHeight="1" x14ac:dyDescent="0.35">
      <c r="A296" s="185"/>
      <c r="B296" s="14" t="s">
        <v>21</v>
      </c>
      <c r="C296" s="15" t="s">
        <v>16</v>
      </c>
      <c r="D296" s="15">
        <v>2</v>
      </c>
      <c r="E296" s="14" t="s">
        <v>17</v>
      </c>
      <c r="F296" s="186"/>
      <c r="G296" s="9">
        <v>5</v>
      </c>
      <c r="H296" s="9">
        <v>3</v>
      </c>
      <c r="I296" s="9">
        <v>9</v>
      </c>
      <c r="J296" s="9">
        <v>9</v>
      </c>
      <c r="K296" s="9">
        <f t="shared" si="8"/>
        <v>5</v>
      </c>
      <c r="L296" s="9">
        <v>3</v>
      </c>
      <c r="M296" s="9">
        <f t="shared" si="9"/>
        <v>9</v>
      </c>
      <c r="N296" s="9">
        <v>5</v>
      </c>
    </row>
    <row r="297" spans="1:14" ht="15" customHeight="1" x14ac:dyDescent="0.35">
      <c r="A297" s="185"/>
      <c r="B297" s="14" t="s">
        <v>21</v>
      </c>
      <c r="C297" s="15" t="s">
        <v>16</v>
      </c>
      <c r="D297" s="15">
        <v>2</v>
      </c>
      <c r="E297" s="14" t="s">
        <v>109</v>
      </c>
      <c r="F297" s="186"/>
      <c r="G297" s="9">
        <v>5</v>
      </c>
      <c r="H297" s="9">
        <v>5</v>
      </c>
      <c r="I297" s="9">
        <v>8</v>
      </c>
      <c r="J297" s="9">
        <v>8</v>
      </c>
      <c r="K297" s="9">
        <f t="shared" si="8"/>
        <v>5</v>
      </c>
      <c r="L297" s="9">
        <v>3</v>
      </c>
      <c r="M297" s="9">
        <f t="shared" si="9"/>
        <v>8</v>
      </c>
      <c r="N297" s="9">
        <v>5</v>
      </c>
    </row>
    <row r="298" spans="1:14" ht="15" customHeight="1" x14ac:dyDescent="0.35">
      <c r="A298" s="185"/>
      <c r="B298" s="12" t="s">
        <v>21</v>
      </c>
      <c r="C298" s="13" t="s">
        <v>16</v>
      </c>
      <c r="D298" s="13">
        <v>3</v>
      </c>
      <c r="E298" s="12" t="s">
        <v>17</v>
      </c>
      <c r="F298" s="186"/>
      <c r="G298" s="9">
        <v>5</v>
      </c>
      <c r="H298" s="9">
        <v>3</v>
      </c>
      <c r="I298" s="9">
        <v>9</v>
      </c>
      <c r="J298" s="9">
        <v>9</v>
      </c>
      <c r="K298" s="9">
        <f t="shared" si="8"/>
        <v>5</v>
      </c>
      <c r="L298" s="9">
        <v>3</v>
      </c>
      <c r="M298" s="9">
        <f t="shared" si="9"/>
        <v>9</v>
      </c>
      <c r="N298" s="9">
        <v>5</v>
      </c>
    </row>
    <row r="299" spans="1:14" ht="15" customHeight="1" x14ac:dyDescent="0.35">
      <c r="A299" s="185"/>
      <c r="B299" s="12" t="s">
        <v>21</v>
      </c>
      <c r="C299" s="13" t="s">
        <v>16</v>
      </c>
      <c r="D299" s="13">
        <v>3</v>
      </c>
      <c r="E299" s="12" t="s">
        <v>109</v>
      </c>
      <c r="F299" s="186"/>
      <c r="G299" s="9">
        <v>5</v>
      </c>
      <c r="H299" s="9">
        <v>5</v>
      </c>
      <c r="I299" s="9">
        <v>8</v>
      </c>
      <c r="J299" s="9">
        <v>8</v>
      </c>
      <c r="K299" s="9">
        <f t="shared" si="8"/>
        <v>5</v>
      </c>
      <c r="L299" s="9">
        <v>3</v>
      </c>
      <c r="M299" s="9">
        <f t="shared" si="9"/>
        <v>8</v>
      </c>
      <c r="N299" s="9">
        <v>5</v>
      </c>
    </row>
    <row r="300" spans="1:14" ht="15" customHeight="1" x14ac:dyDescent="0.35">
      <c r="A300" s="185"/>
      <c r="B300" s="14" t="s">
        <v>21</v>
      </c>
      <c r="C300" s="15" t="s">
        <v>19</v>
      </c>
      <c r="D300" s="15">
        <v>1</v>
      </c>
      <c r="E300" s="14" t="s">
        <v>17</v>
      </c>
      <c r="F300" s="186"/>
      <c r="G300" s="9">
        <v>5</v>
      </c>
      <c r="H300" s="9">
        <v>3</v>
      </c>
      <c r="I300" s="9">
        <v>9</v>
      </c>
      <c r="J300" s="9">
        <v>9</v>
      </c>
      <c r="K300" s="9">
        <f t="shared" si="8"/>
        <v>5</v>
      </c>
      <c r="L300" s="9">
        <v>3</v>
      </c>
      <c r="M300" s="9">
        <f t="shared" si="9"/>
        <v>9</v>
      </c>
      <c r="N300" s="9">
        <v>5</v>
      </c>
    </row>
    <row r="301" spans="1:14" ht="15" customHeight="1" x14ac:dyDescent="0.35">
      <c r="A301" s="185"/>
      <c r="B301" s="14" t="s">
        <v>21</v>
      </c>
      <c r="C301" s="15" t="s">
        <v>19</v>
      </c>
      <c r="D301" s="15">
        <v>1</v>
      </c>
      <c r="E301" s="14" t="s">
        <v>109</v>
      </c>
      <c r="F301" s="186"/>
      <c r="G301" s="9">
        <v>5</v>
      </c>
      <c r="H301" s="9">
        <v>5</v>
      </c>
      <c r="I301" s="9">
        <v>8</v>
      </c>
      <c r="J301" s="9">
        <v>8</v>
      </c>
      <c r="K301" s="9">
        <f t="shared" si="8"/>
        <v>5</v>
      </c>
      <c r="L301" s="9">
        <v>3</v>
      </c>
      <c r="M301" s="9">
        <f t="shared" si="9"/>
        <v>8</v>
      </c>
      <c r="N301" s="9">
        <v>5</v>
      </c>
    </row>
    <row r="302" spans="1:14" ht="15" customHeight="1" x14ac:dyDescent="0.35">
      <c r="A302" s="185"/>
      <c r="B302" s="12" t="s">
        <v>21</v>
      </c>
      <c r="C302" s="13" t="s">
        <v>19</v>
      </c>
      <c r="D302" s="13">
        <v>2</v>
      </c>
      <c r="E302" s="12" t="s">
        <v>17</v>
      </c>
      <c r="F302" s="186"/>
      <c r="G302" s="9">
        <v>5</v>
      </c>
      <c r="H302" s="9">
        <v>4</v>
      </c>
      <c r="I302" s="9">
        <v>8</v>
      </c>
      <c r="J302" s="9">
        <v>8</v>
      </c>
      <c r="K302" s="9">
        <f t="shared" si="8"/>
        <v>5</v>
      </c>
      <c r="L302" s="9">
        <v>3</v>
      </c>
      <c r="M302" s="9">
        <f t="shared" si="9"/>
        <v>8</v>
      </c>
      <c r="N302" s="9">
        <v>5</v>
      </c>
    </row>
    <row r="303" spans="1:14" ht="15" customHeight="1" x14ac:dyDescent="0.35">
      <c r="A303" s="185"/>
      <c r="B303" s="12" t="s">
        <v>21</v>
      </c>
      <c r="C303" s="13" t="s">
        <v>19</v>
      </c>
      <c r="D303" s="13">
        <v>2</v>
      </c>
      <c r="E303" s="12" t="s">
        <v>109</v>
      </c>
      <c r="F303" s="186"/>
      <c r="G303" s="9">
        <v>5</v>
      </c>
      <c r="H303" s="9">
        <v>5</v>
      </c>
      <c r="I303" s="9">
        <v>8</v>
      </c>
      <c r="J303" s="9">
        <v>8</v>
      </c>
      <c r="K303" s="9">
        <f t="shared" si="8"/>
        <v>5</v>
      </c>
      <c r="L303" s="9">
        <v>3</v>
      </c>
      <c r="M303" s="9">
        <f t="shared" si="9"/>
        <v>8</v>
      </c>
      <c r="N303" s="9">
        <v>5</v>
      </c>
    </row>
    <row r="304" spans="1:14" ht="15" customHeight="1" x14ac:dyDescent="0.35">
      <c r="A304" s="185"/>
      <c r="B304" s="14" t="s">
        <v>21</v>
      </c>
      <c r="C304" s="15" t="s">
        <v>19</v>
      </c>
      <c r="D304" s="15">
        <v>3</v>
      </c>
      <c r="E304" s="14" t="s">
        <v>17</v>
      </c>
      <c r="F304" s="186"/>
      <c r="G304" s="9">
        <v>5</v>
      </c>
      <c r="H304" s="9">
        <v>5</v>
      </c>
      <c r="I304" s="9">
        <v>9</v>
      </c>
      <c r="J304" s="9">
        <v>9</v>
      </c>
      <c r="K304" s="9">
        <f t="shared" si="8"/>
        <v>5</v>
      </c>
      <c r="L304" s="9">
        <v>3</v>
      </c>
      <c r="M304" s="9">
        <f t="shared" si="9"/>
        <v>9</v>
      </c>
      <c r="N304" s="9">
        <v>5</v>
      </c>
    </row>
    <row r="305" spans="1:14" ht="15" customHeight="1" x14ac:dyDescent="0.35">
      <c r="A305" s="185"/>
      <c r="B305" s="14" t="s">
        <v>21</v>
      </c>
      <c r="C305" s="15" t="s">
        <v>19</v>
      </c>
      <c r="D305" s="15">
        <v>3</v>
      </c>
      <c r="E305" s="14" t="s">
        <v>109</v>
      </c>
      <c r="F305" s="186"/>
      <c r="G305" s="9">
        <v>5</v>
      </c>
      <c r="H305" s="9">
        <v>5</v>
      </c>
      <c r="I305" s="9">
        <v>8</v>
      </c>
      <c r="J305" s="9">
        <v>8</v>
      </c>
      <c r="K305" s="9">
        <f t="shared" si="8"/>
        <v>5</v>
      </c>
      <c r="L305" s="9">
        <v>3</v>
      </c>
      <c r="M305" s="9">
        <f t="shared" si="9"/>
        <v>8</v>
      </c>
      <c r="N305" s="9">
        <v>5</v>
      </c>
    </row>
    <row r="306" spans="1:14" ht="15" customHeight="1" x14ac:dyDescent="0.35">
      <c r="A306" s="185"/>
      <c r="B306" s="12" t="s">
        <v>21</v>
      </c>
      <c r="C306" s="13" t="s">
        <v>20</v>
      </c>
      <c r="D306" s="13">
        <v>1</v>
      </c>
      <c r="E306" s="12" t="s">
        <v>17</v>
      </c>
      <c r="F306" s="186"/>
      <c r="G306" s="9">
        <v>5</v>
      </c>
      <c r="H306" s="9">
        <v>4</v>
      </c>
      <c r="I306" s="9">
        <v>8</v>
      </c>
      <c r="J306" s="9">
        <v>8</v>
      </c>
      <c r="K306" s="9">
        <f t="shared" si="8"/>
        <v>5</v>
      </c>
      <c r="L306" s="9">
        <v>3</v>
      </c>
      <c r="M306" s="9">
        <f t="shared" si="9"/>
        <v>8</v>
      </c>
      <c r="N306" s="9">
        <v>5</v>
      </c>
    </row>
    <row r="307" spans="1:14" ht="15" customHeight="1" x14ac:dyDescent="0.35">
      <c r="A307" s="185"/>
      <c r="B307" s="12" t="s">
        <v>21</v>
      </c>
      <c r="C307" s="13" t="s">
        <v>20</v>
      </c>
      <c r="D307" s="13">
        <v>1</v>
      </c>
      <c r="E307" s="12" t="s">
        <v>109</v>
      </c>
      <c r="F307" s="186"/>
      <c r="G307" s="9">
        <v>5</v>
      </c>
      <c r="H307" s="9">
        <v>5</v>
      </c>
      <c r="I307" s="9">
        <v>8</v>
      </c>
      <c r="J307" s="9">
        <v>8</v>
      </c>
      <c r="K307" s="9">
        <f t="shared" si="8"/>
        <v>5</v>
      </c>
      <c r="L307" s="9">
        <v>3</v>
      </c>
      <c r="M307" s="9">
        <f t="shared" si="9"/>
        <v>8</v>
      </c>
      <c r="N307" s="9">
        <v>5</v>
      </c>
    </row>
    <row r="308" spans="1:14" ht="15" customHeight="1" x14ac:dyDescent="0.35">
      <c r="A308" s="185"/>
      <c r="B308" s="14" t="s">
        <v>21</v>
      </c>
      <c r="C308" s="15" t="s">
        <v>20</v>
      </c>
      <c r="D308" s="15">
        <v>2</v>
      </c>
      <c r="E308" s="14" t="s">
        <v>17</v>
      </c>
      <c r="F308" s="186"/>
      <c r="G308" s="9">
        <v>5</v>
      </c>
      <c r="H308" s="9">
        <v>3</v>
      </c>
      <c r="I308" s="9">
        <v>9</v>
      </c>
      <c r="J308" s="9">
        <v>9</v>
      </c>
      <c r="K308" s="9">
        <f t="shared" si="8"/>
        <v>5</v>
      </c>
      <c r="L308" s="9">
        <v>3</v>
      </c>
      <c r="M308" s="9">
        <f t="shared" si="9"/>
        <v>9</v>
      </c>
      <c r="N308" s="9">
        <v>5</v>
      </c>
    </row>
    <row r="309" spans="1:14" ht="15" customHeight="1" x14ac:dyDescent="0.35">
      <c r="A309" s="185"/>
      <c r="B309" s="14" t="s">
        <v>21</v>
      </c>
      <c r="C309" s="15" t="s">
        <v>20</v>
      </c>
      <c r="D309" s="15">
        <v>2</v>
      </c>
      <c r="E309" s="14" t="s">
        <v>109</v>
      </c>
      <c r="F309" s="186"/>
      <c r="G309" s="9">
        <v>5</v>
      </c>
      <c r="H309" s="9">
        <v>5</v>
      </c>
      <c r="I309" s="9">
        <v>8</v>
      </c>
      <c r="J309" s="9">
        <v>8</v>
      </c>
      <c r="K309" s="9">
        <f t="shared" si="8"/>
        <v>5</v>
      </c>
      <c r="L309" s="9">
        <v>3</v>
      </c>
      <c r="M309" s="9">
        <f t="shared" si="9"/>
        <v>8</v>
      </c>
      <c r="N309" s="9">
        <v>5</v>
      </c>
    </row>
    <row r="310" spans="1:14" ht="15" customHeight="1" x14ac:dyDescent="0.35">
      <c r="A310" s="185"/>
      <c r="B310" s="12" t="s">
        <v>21</v>
      </c>
      <c r="C310" s="13" t="s">
        <v>20</v>
      </c>
      <c r="D310" s="13">
        <v>3</v>
      </c>
      <c r="E310" s="12" t="s">
        <v>17</v>
      </c>
      <c r="F310" s="186"/>
      <c r="G310" s="9">
        <v>5</v>
      </c>
      <c r="H310" s="9">
        <v>3</v>
      </c>
      <c r="I310" s="9">
        <v>8</v>
      </c>
      <c r="J310" s="9">
        <v>8</v>
      </c>
      <c r="K310" s="9">
        <f t="shared" si="8"/>
        <v>5</v>
      </c>
      <c r="L310" s="9">
        <v>3</v>
      </c>
      <c r="M310" s="9">
        <f t="shared" si="9"/>
        <v>8</v>
      </c>
      <c r="N310" s="9">
        <v>5</v>
      </c>
    </row>
    <row r="311" spans="1:14" ht="15" customHeight="1" x14ac:dyDescent="0.35">
      <c r="A311" s="185"/>
      <c r="B311" s="12" t="s">
        <v>21</v>
      </c>
      <c r="C311" s="13" t="s">
        <v>20</v>
      </c>
      <c r="D311" s="13">
        <v>3</v>
      </c>
      <c r="E311" s="12" t="s">
        <v>109</v>
      </c>
      <c r="F311" s="186"/>
      <c r="G311" s="9">
        <v>5</v>
      </c>
      <c r="H311" s="9">
        <v>5</v>
      </c>
      <c r="I311" s="9">
        <v>8</v>
      </c>
      <c r="J311" s="9">
        <v>8</v>
      </c>
      <c r="K311" s="9">
        <f t="shared" si="8"/>
        <v>5</v>
      </c>
      <c r="L311" s="9">
        <v>3</v>
      </c>
      <c r="M311" s="9">
        <f t="shared" si="9"/>
        <v>8</v>
      </c>
      <c r="N311" s="9">
        <v>5</v>
      </c>
    </row>
    <row r="312" spans="1:14" ht="15" customHeight="1" x14ac:dyDescent="0.35">
      <c r="A312" s="185"/>
      <c r="B312" s="16" t="s">
        <v>22</v>
      </c>
      <c r="C312" s="17" t="s">
        <v>16</v>
      </c>
      <c r="D312" s="17">
        <v>1</v>
      </c>
      <c r="E312" s="16" t="s">
        <v>17</v>
      </c>
      <c r="F312" s="186"/>
      <c r="G312" s="9">
        <v>5</v>
      </c>
      <c r="H312" s="9">
        <v>5</v>
      </c>
      <c r="I312" s="9">
        <v>8</v>
      </c>
      <c r="J312" s="9">
        <v>8</v>
      </c>
      <c r="K312" s="9">
        <f t="shared" si="8"/>
        <v>5</v>
      </c>
      <c r="L312" s="9">
        <v>3</v>
      </c>
      <c r="M312" s="9">
        <f t="shared" si="9"/>
        <v>8</v>
      </c>
      <c r="N312" s="9">
        <v>5</v>
      </c>
    </row>
    <row r="313" spans="1:14" ht="15" customHeight="1" x14ac:dyDescent="0.35">
      <c r="A313" s="185"/>
      <c r="B313" s="16" t="s">
        <v>22</v>
      </c>
      <c r="C313" s="17" t="s">
        <v>16</v>
      </c>
      <c r="D313" s="17">
        <v>1</v>
      </c>
      <c r="E313" s="16" t="s">
        <v>109</v>
      </c>
      <c r="F313" s="186"/>
      <c r="G313" s="9">
        <v>5</v>
      </c>
      <c r="H313" s="9">
        <v>5</v>
      </c>
      <c r="I313" s="9">
        <v>8</v>
      </c>
      <c r="J313" s="9">
        <v>8</v>
      </c>
      <c r="K313" s="9">
        <f t="shared" si="8"/>
        <v>5</v>
      </c>
      <c r="L313" s="9">
        <v>3</v>
      </c>
      <c r="M313" s="9">
        <f>I313</f>
        <v>8</v>
      </c>
      <c r="N313" s="9">
        <v>5</v>
      </c>
    </row>
    <row r="314" spans="1:14" ht="15" customHeight="1" x14ac:dyDescent="0.35">
      <c r="A314" s="185"/>
      <c r="B314" s="18" t="s">
        <v>22</v>
      </c>
      <c r="C314" s="19" t="s">
        <v>16</v>
      </c>
      <c r="D314" s="19">
        <v>2</v>
      </c>
      <c r="E314" s="18" t="s">
        <v>17</v>
      </c>
      <c r="F314" s="186"/>
      <c r="G314" s="9">
        <v>5</v>
      </c>
      <c r="H314" s="9">
        <v>5</v>
      </c>
      <c r="I314" s="9">
        <v>8</v>
      </c>
      <c r="J314" s="9">
        <v>8</v>
      </c>
      <c r="K314" s="9">
        <f t="shared" si="8"/>
        <v>5</v>
      </c>
      <c r="L314" s="9">
        <v>3</v>
      </c>
      <c r="M314" s="9">
        <f t="shared" si="9"/>
        <v>8</v>
      </c>
      <c r="N314" s="9">
        <v>5</v>
      </c>
    </row>
    <row r="315" spans="1:14" ht="15" customHeight="1" x14ac:dyDescent="0.35">
      <c r="A315" s="185"/>
      <c r="B315" s="18" t="s">
        <v>22</v>
      </c>
      <c r="C315" s="19" t="s">
        <v>16</v>
      </c>
      <c r="D315" s="19">
        <v>2</v>
      </c>
      <c r="E315" s="18" t="s">
        <v>109</v>
      </c>
      <c r="F315" s="186"/>
      <c r="G315" s="9">
        <v>5</v>
      </c>
      <c r="H315" s="9">
        <v>5</v>
      </c>
      <c r="I315" s="9">
        <v>8</v>
      </c>
      <c r="J315" s="9">
        <v>8</v>
      </c>
      <c r="K315" s="9">
        <f t="shared" si="8"/>
        <v>5</v>
      </c>
      <c r="L315" s="9">
        <v>3</v>
      </c>
      <c r="M315" s="9">
        <f t="shared" si="9"/>
        <v>8</v>
      </c>
      <c r="N315" s="9">
        <v>5</v>
      </c>
    </row>
    <row r="316" spans="1:14" ht="15" customHeight="1" x14ac:dyDescent="0.35">
      <c r="A316" s="185"/>
      <c r="B316" s="16" t="s">
        <v>22</v>
      </c>
      <c r="C316" s="17" t="s">
        <v>16</v>
      </c>
      <c r="D316" s="17">
        <v>3</v>
      </c>
      <c r="E316" s="16" t="s">
        <v>17</v>
      </c>
      <c r="F316" s="186"/>
      <c r="G316" s="9">
        <v>5</v>
      </c>
      <c r="H316" s="9">
        <v>5</v>
      </c>
      <c r="I316" s="9">
        <v>8</v>
      </c>
      <c r="J316" s="9">
        <v>8</v>
      </c>
      <c r="K316" s="9">
        <f t="shared" si="8"/>
        <v>5</v>
      </c>
      <c r="L316" s="9">
        <v>3</v>
      </c>
      <c r="M316" s="9">
        <f t="shared" si="9"/>
        <v>8</v>
      </c>
      <c r="N316" s="9">
        <v>5</v>
      </c>
    </row>
    <row r="317" spans="1:14" ht="15" customHeight="1" x14ac:dyDescent="0.35">
      <c r="A317" s="185"/>
      <c r="B317" s="16" t="s">
        <v>22</v>
      </c>
      <c r="C317" s="17" t="s">
        <v>16</v>
      </c>
      <c r="D317" s="17">
        <v>3</v>
      </c>
      <c r="E317" s="16" t="s">
        <v>109</v>
      </c>
      <c r="F317" s="186"/>
      <c r="G317" s="9">
        <v>5</v>
      </c>
      <c r="H317" s="9">
        <v>5</v>
      </c>
      <c r="I317" s="9">
        <v>8</v>
      </c>
      <c r="J317" s="9">
        <v>8</v>
      </c>
      <c r="K317" s="9">
        <f t="shared" si="8"/>
        <v>5</v>
      </c>
      <c r="L317" s="9">
        <v>3</v>
      </c>
      <c r="M317" s="9">
        <f t="shared" si="9"/>
        <v>8</v>
      </c>
      <c r="N317" s="9">
        <v>5</v>
      </c>
    </row>
    <row r="318" spans="1:14" ht="15" customHeight="1" x14ac:dyDescent="0.35">
      <c r="A318" s="185"/>
      <c r="B318" s="18" t="s">
        <v>22</v>
      </c>
      <c r="C318" s="19" t="s">
        <v>19</v>
      </c>
      <c r="D318" s="19">
        <v>1</v>
      </c>
      <c r="E318" s="18" t="s">
        <v>17</v>
      </c>
      <c r="F318" s="186"/>
      <c r="G318" s="9">
        <v>5</v>
      </c>
      <c r="H318" s="9">
        <v>5</v>
      </c>
      <c r="I318" s="9">
        <v>8</v>
      </c>
      <c r="J318" s="9">
        <v>8</v>
      </c>
      <c r="K318" s="9">
        <f t="shared" si="8"/>
        <v>5</v>
      </c>
      <c r="L318" s="9">
        <v>3</v>
      </c>
      <c r="M318" s="9">
        <f t="shared" si="9"/>
        <v>8</v>
      </c>
      <c r="N318" s="9">
        <v>5</v>
      </c>
    </row>
    <row r="319" spans="1:14" ht="15" customHeight="1" x14ac:dyDescent="0.35">
      <c r="A319" s="185"/>
      <c r="B319" s="18" t="s">
        <v>22</v>
      </c>
      <c r="C319" s="19" t="s">
        <v>19</v>
      </c>
      <c r="D319" s="19">
        <v>1</v>
      </c>
      <c r="E319" s="18" t="s">
        <v>109</v>
      </c>
      <c r="F319" s="186"/>
      <c r="G319" s="9">
        <v>5</v>
      </c>
      <c r="H319" s="9">
        <v>5</v>
      </c>
      <c r="I319" s="9">
        <v>8</v>
      </c>
      <c r="J319" s="9">
        <v>8</v>
      </c>
      <c r="K319" s="9">
        <f t="shared" si="8"/>
        <v>5</v>
      </c>
      <c r="L319" s="9">
        <v>3</v>
      </c>
      <c r="M319" s="9">
        <f t="shared" si="9"/>
        <v>8</v>
      </c>
      <c r="N319" s="9">
        <v>5</v>
      </c>
    </row>
    <row r="320" spans="1:14" ht="15" customHeight="1" x14ac:dyDescent="0.35">
      <c r="A320" s="185"/>
      <c r="B320" s="16" t="s">
        <v>22</v>
      </c>
      <c r="C320" s="17" t="s">
        <v>19</v>
      </c>
      <c r="D320" s="17">
        <v>2</v>
      </c>
      <c r="E320" s="16" t="s">
        <v>17</v>
      </c>
      <c r="F320" s="186"/>
      <c r="G320" s="9">
        <v>5</v>
      </c>
      <c r="H320" s="9">
        <v>5</v>
      </c>
      <c r="I320" s="9">
        <v>8</v>
      </c>
      <c r="J320" s="9">
        <v>8</v>
      </c>
      <c r="K320" s="9">
        <f t="shared" si="8"/>
        <v>5</v>
      </c>
      <c r="L320" s="9">
        <v>3</v>
      </c>
      <c r="M320" s="9">
        <f t="shared" si="9"/>
        <v>8</v>
      </c>
      <c r="N320" s="9">
        <v>5</v>
      </c>
    </row>
    <row r="321" spans="1:14" ht="15" customHeight="1" x14ac:dyDescent="0.35">
      <c r="A321" s="185"/>
      <c r="B321" s="16" t="s">
        <v>22</v>
      </c>
      <c r="C321" s="17" t="s">
        <v>19</v>
      </c>
      <c r="D321" s="17">
        <v>2</v>
      </c>
      <c r="E321" s="16" t="s">
        <v>109</v>
      </c>
      <c r="F321" s="186"/>
      <c r="G321" s="9">
        <v>5</v>
      </c>
      <c r="H321" s="9">
        <v>5</v>
      </c>
      <c r="I321" s="9">
        <v>8</v>
      </c>
      <c r="J321" s="9">
        <v>8</v>
      </c>
      <c r="K321" s="9">
        <f t="shared" si="8"/>
        <v>5</v>
      </c>
      <c r="L321" s="9">
        <v>3</v>
      </c>
      <c r="M321" s="9">
        <f t="shared" si="9"/>
        <v>8</v>
      </c>
      <c r="N321" s="9">
        <v>5</v>
      </c>
    </row>
    <row r="322" spans="1:14" ht="15" customHeight="1" x14ac:dyDescent="0.35">
      <c r="A322" s="185"/>
      <c r="B322" s="18" t="s">
        <v>22</v>
      </c>
      <c r="C322" s="19" t="s">
        <v>19</v>
      </c>
      <c r="D322" s="19">
        <v>3</v>
      </c>
      <c r="E322" s="18" t="s">
        <v>17</v>
      </c>
      <c r="F322" s="186"/>
      <c r="G322" s="9">
        <v>5</v>
      </c>
      <c r="H322" s="9">
        <v>5</v>
      </c>
      <c r="I322" s="9">
        <v>8</v>
      </c>
      <c r="J322" s="9">
        <v>8</v>
      </c>
      <c r="K322" s="9">
        <f t="shared" si="8"/>
        <v>5</v>
      </c>
      <c r="L322" s="9">
        <v>3</v>
      </c>
      <c r="M322" s="9">
        <f t="shared" si="9"/>
        <v>8</v>
      </c>
      <c r="N322" s="9">
        <v>5</v>
      </c>
    </row>
    <row r="323" spans="1:14" ht="15" customHeight="1" x14ac:dyDescent="0.35">
      <c r="A323" s="185"/>
      <c r="B323" s="18" t="s">
        <v>22</v>
      </c>
      <c r="C323" s="19" t="s">
        <v>19</v>
      </c>
      <c r="D323" s="19">
        <v>3</v>
      </c>
      <c r="E323" s="18" t="s">
        <v>109</v>
      </c>
      <c r="F323" s="186"/>
      <c r="G323" s="9">
        <v>5</v>
      </c>
      <c r="H323" s="9">
        <v>5</v>
      </c>
      <c r="I323" s="9">
        <v>8</v>
      </c>
      <c r="J323" s="9">
        <v>8</v>
      </c>
      <c r="K323" s="9">
        <f t="shared" si="8"/>
        <v>5</v>
      </c>
      <c r="L323" s="9">
        <v>3</v>
      </c>
      <c r="M323" s="9">
        <f t="shared" si="9"/>
        <v>8</v>
      </c>
      <c r="N323" s="9">
        <v>5</v>
      </c>
    </row>
    <row r="324" spans="1:14" ht="15" customHeight="1" x14ac:dyDescent="0.35">
      <c r="A324" s="185"/>
      <c r="B324" s="16" t="s">
        <v>22</v>
      </c>
      <c r="C324" s="17" t="s">
        <v>20</v>
      </c>
      <c r="D324" s="17">
        <v>1</v>
      </c>
      <c r="E324" s="16" t="s">
        <v>17</v>
      </c>
      <c r="F324" s="186"/>
      <c r="G324" s="9">
        <v>5</v>
      </c>
      <c r="H324" s="9">
        <v>5</v>
      </c>
      <c r="I324" s="9">
        <v>8</v>
      </c>
      <c r="J324" s="9">
        <v>8</v>
      </c>
      <c r="K324" s="9">
        <f t="shared" si="8"/>
        <v>5</v>
      </c>
      <c r="L324" s="9">
        <v>3</v>
      </c>
      <c r="M324" s="9">
        <f t="shared" si="9"/>
        <v>8</v>
      </c>
      <c r="N324" s="9">
        <v>5</v>
      </c>
    </row>
    <row r="325" spans="1:14" ht="15" customHeight="1" x14ac:dyDescent="0.35">
      <c r="A325" s="185"/>
      <c r="B325" s="16" t="s">
        <v>22</v>
      </c>
      <c r="C325" s="17" t="s">
        <v>20</v>
      </c>
      <c r="D325" s="17">
        <v>1</v>
      </c>
      <c r="E325" s="16" t="s">
        <v>109</v>
      </c>
      <c r="F325" s="186"/>
      <c r="G325" s="9">
        <v>5</v>
      </c>
      <c r="H325" s="9">
        <v>5</v>
      </c>
      <c r="I325" s="9">
        <v>8</v>
      </c>
      <c r="J325" s="9">
        <v>8</v>
      </c>
      <c r="K325" s="9">
        <f t="shared" si="8"/>
        <v>5</v>
      </c>
      <c r="L325" s="9">
        <v>3</v>
      </c>
      <c r="M325" s="9">
        <f t="shared" si="9"/>
        <v>8</v>
      </c>
      <c r="N325" s="9">
        <v>5</v>
      </c>
    </row>
    <row r="326" spans="1:14" ht="15" customHeight="1" x14ac:dyDescent="0.35">
      <c r="A326" s="185"/>
      <c r="B326" s="18" t="s">
        <v>22</v>
      </c>
      <c r="C326" s="19" t="s">
        <v>20</v>
      </c>
      <c r="D326" s="19">
        <v>2</v>
      </c>
      <c r="E326" s="18" t="s">
        <v>17</v>
      </c>
      <c r="F326" s="186"/>
      <c r="G326" s="9">
        <v>5</v>
      </c>
      <c r="H326" s="9">
        <v>5</v>
      </c>
      <c r="I326" s="9">
        <v>8</v>
      </c>
      <c r="J326" s="9">
        <v>8</v>
      </c>
      <c r="K326" s="9">
        <f t="shared" si="8"/>
        <v>5</v>
      </c>
      <c r="L326" s="9">
        <v>3</v>
      </c>
      <c r="M326" s="9">
        <f t="shared" si="9"/>
        <v>8</v>
      </c>
      <c r="N326" s="9">
        <v>5</v>
      </c>
    </row>
    <row r="327" spans="1:14" ht="15" customHeight="1" x14ac:dyDescent="0.35">
      <c r="A327" s="185"/>
      <c r="B327" s="18" t="s">
        <v>22</v>
      </c>
      <c r="C327" s="19" t="s">
        <v>20</v>
      </c>
      <c r="D327" s="19">
        <v>2</v>
      </c>
      <c r="E327" s="18" t="s">
        <v>109</v>
      </c>
      <c r="F327" s="186"/>
      <c r="G327" s="9">
        <v>5</v>
      </c>
      <c r="H327" s="9">
        <v>5</v>
      </c>
      <c r="I327" s="9">
        <v>8</v>
      </c>
      <c r="J327" s="9">
        <v>8</v>
      </c>
      <c r="K327" s="9">
        <f t="shared" ref="K327:K390" si="10">G327</f>
        <v>5</v>
      </c>
      <c r="L327" s="9">
        <v>3</v>
      </c>
      <c r="M327" s="9">
        <f t="shared" ref="M327:M390" si="11">I327</f>
        <v>8</v>
      </c>
      <c r="N327" s="9">
        <v>5</v>
      </c>
    </row>
    <row r="328" spans="1:14" ht="15" customHeight="1" x14ac:dyDescent="0.35">
      <c r="A328" s="185"/>
      <c r="B328" s="16" t="s">
        <v>22</v>
      </c>
      <c r="C328" s="17" t="s">
        <v>20</v>
      </c>
      <c r="D328" s="17">
        <v>3</v>
      </c>
      <c r="E328" s="16" t="s">
        <v>17</v>
      </c>
      <c r="F328" s="186"/>
      <c r="G328" s="9">
        <v>5</v>
      </c>
      <c r="H328" s="9">
        <v>5</v>
      </c>
      <c r="I328" s="9">
        <v>8</v>
      </c>
      <c r="J328" s="9">
        <v>8</v>
      </c>
      <c r="K328" s="93">
        <f t="shared" si="10"/>
        <v>5</v>
      </c>
      <c r="L328" s="9">
        <v>3</v>
      </c>
      <c r="M328" s="93">
        <f t="shared" si="11"/>
        <v>8</v>
      </c>
      <c r="N328" s="9">
        <v>5</v>
      </c>
    </row>
    <row r="329" spans="1:14" ht="15" customHeight="1" x14ac:dyDescent="0.35">
      <c r="A329" s="185"/>
      <c r="B329" s="20" t="s">
        <v>22</v>
      </c>
      <c r="C329" s="21" t="s">
        <v>20</v>
      </c>
      <c r="D329" s="21">
        <v>3</v>
      </c>
      <c r="E329" s="20" t="s">
        <v>109</v>
      </c>
      <c r="F329" s="186"/>
      <c r="G329" s="22">
        <v>5</v>
      </c>
      <c r="H329" s="22">
        <v>5</v>
      </c>
      <c r="I329" s="22">
        <v>8</v>
      </c>
      <c r="J329" s="90">
        <v>8</v>
      </c>
      <c r="K329" s="95">
        <f t="shared" si="10"/>
        <v>5</v>
      </c>
      <c r="L329" s="91">
        <v>3</v>
      </c>
      <c r="M329" s="95">
        <f t="shared" si="11"/>
        <v>8</v>
      </c>
      <c r="N329" s="92">
        <v>5</v>
      </c>
    </row>
    <row r="330" spans="1:14" ht="15" customHeight="1" x14ac:dyDescent="0.35">
      <c r="A330" s="185" t="s">
        <v>28</v>
      </c>
      <c r="B330" s="7" t="s">
        <v>15</v>
      </c>
      <c r="C330" s="8" t="s">
        <v>16</v>
      </c>
      <c r="D330" s="8">
        <v>1</v>
      </c>
      <c r="E330" s="7" t="s">
        <v>17</v>
      </c>
      <c r="F330" s="186">
        <v>90</v>
      </c>
      <c r="G330" s="9">
        <v>7</v>
      </c>
      <c r="H330" s="9">
        <v>7</v>
      </c>
      <c r="I330" s="9">
        <v>13</v>
      </c>
      <c r="J330" s="9">
        <v>13</v>
      </c>
      <c r="K330" s="94">
        <f t="shared" si="10"/>
        <v>7</v>
      </c>
      <c r="L330" s="9">
        <v>7</v>
      </c>
      <c r="M330" s="94">
        <f t="shared" si="11"/>
        <v>13</v>
      </c>
      <c r="N330" s="9">
        <v>13</v>
      </c>
    </row>
    <row r="331" spans="1:14" ht="15" customHeight="1" x14ac:dyDescent="0.35">
      <c r="A331" s="185"/>
      <c r="B331" s="7" t="s">
        <v>15</v>
      </c>
      <c r="C331" s="8" t="s">
        <v>16</v>
      </c>
      <c r="D331" s="8">
        <v>1</v>
      </c>
      <c r="E331" s="7" t="s">
        <v>109</v>
      </c>
      <c r="F331" s="186"/>
      <c r="G331" s="9">
        <v>7</v>
      </c>
      <c r="H331" s="9">
        <v>7</v>
      </c>
      <c r="I331" s="9">
        <v>14</v>
      </c>
      <c r="J331" s="9">
        <v>14</v>
      </c>
      <c r="K331" s="9">
        <f t="shared" si="10"/>
        <v>7</v>
      </c>
      <c r="L331" s="9">
        <v>7</v>
      </c>
      <c r="M331" s="9">
        <f t="shared" si="11"/>
        <v>14</v>
      </c>
      <c r="N331" s="9">
        <v>14</v>
      </c>
    </row>
    <row r="332" spans="1:14" ht="15" customHeight="1" x14ac:dyDescent="0.35">
      <c r="A332" s="185"/>
      <c r="B332" s="10" t="s">
        <v>15</v>
      </c>
      <c r="C332" s="11" t="s">
        <v>16</v>
      </c>
      <c r="D332" s="11">
        <v>2</v>
      </c>
      <c r="E332" s="10" t="s">
        <v>17</v>
      </c>
      <c r="F332" s="186"/>
      <c r="G332" s="9">
        <v>7</v>
      </c>
      <c r="H332" s="9">
        <v>7</v>
      </c>
      <c r="I332" s="9">
        <v>13</v>
      </c>
      <c r="J332" s="9">
        <v>13</v>
      </c>
      <c r="K332" s="9">
        <f t="shared" si="10"/>
        <v>7</v>
      </c>
      <c r="L332" s="9">
        <v>7</v>
      </c>
      <c r="M332" s="9">
        <f t="shared" si="11"/>
        <v>13</v>
      </c>
      <c r="N332" s="9">
        <v>13</v>
      </c>
    </row>
    <row r="333" spans="1:14" ht="15" customHeight="1" x14ac:dyDescent="0.35">
      <c r="A333" s="185"/>
      <c r="B333" s="10" t="s">
        <v>15</v>
      </c>
      <c r="C333" s="11" t="s">
        <v>16</v>
      </c>
      <c r="D333" s="11">
        <v>2</v>
      </c>
      <c r="E333" s="10" t="s">
        <v>109</v>
      </c>
      <c r="F333" s="186"/>
      <c r="G333" s="9">
        <v>7</v>
      </c>
      <c r="H333" s="9">
        <v>7</v>
      </c>
      <c r="I333" s="9">
        <v>16</v>
      </c>
      <c r="J333" s="9">
        <v>16</v>
      </c>
      <c r="K333" s="9">
        <f t="shared" si="10"/>
        <v>7</v>
      </c>
      <c r="L333" s="9">
        <v>7</v>
      </c>
      <c r="M333" s="9">
        <f t="shared" si="11"/>
        <v>16</v>
      </c>
      <c r="N333" s="9">
        <v>16</v>
      </c>
    </row>
    <row r="334" spans="1:14" ht="15" customHeight="1" x14ac:dyDescent="0.35">
      <c r="A334" s="185"/>
      <c r="B334" s="7" t="s">
        <v>15</v>
      </c>
      <c r="C334" s="8" t="s">
        <v>16</v>
      </c>
      <c r="D334" s="8">
        <v>3</v>
      </c>
      <c r="E334" s="7" t="s">
        <v>17</v>
      </c>
      <c r="F334" s="186"/>
      <c r="G334" s="9">
        <v>7</v>
      </c>
      <c r="H334" s="9">
        <v>7</v>
      </c>
      <c r="I334" s="9">
        <v>13</v>
      </c>
      <c r="J334" s="9">
        <v>13</v>
      </c>
      <c r="K334" s="9">
        <f t="shared" si="10"/>
        <v>7</v>
      </c>
      <c r="L334" s="9">
        <v>7</v>
      </c>
      <c r="M334" s="9">
        <f t="shared" si="11"/>
        <v>13</v>
      </c>
      <c r="N334" s="9">
        <v>13</v>
      </c>
    </row>
    <row r="335" spans="1:14" ht="15" customHeight="1" x14ac:dyDescent="0.35">
      <c r="A335" s="185"/>
      <c r="B335" s="7" t="s">
        <v>15</v>
      </c>
      <c r="C335" s="8" t="s">
        <v>16</v>
      </c>
      <c r="D335" s="8">
        <v>3</v>
      </c>
      <c r="E335" s="7" t="s">
        <v>109</v>
      </c>
      <c r="F335" s="186"/>
      <c r="G335" s="9">
        <v>7</v>
      </c>
      <c r="H335" s="9">
        <v>7</v>
      </c>
      <c r="I335" s="9">
        <v>18</v>
      </c>
      <c r="J335" s="9">
        <v>18</v>
      </c>
      <c r="K335" s="9">
        <f t="shared" si="10"/>
        <v>7</v>
      </c>
      <c r="L335" s="9">
        <v>7</v>
      </c>
      <c r="M335" s="9">
        <f t="shared" si="11"/>
        <v>18</v>
      </c>
      <c r="N335" s="9">
        <v>18</v>
      </c>
    </row>
    <row r="336" spans="1:14" ht="15" customHeight="1" x14ac:dyDescent="0.35">
      <c r="A336" s="185"/>
      <c r="B336" s="10" t="s">
        <v>15</v>
      </c>
      <c r="C336" s="11" t="s">
        <v>19</v>
      </c>
      <c r="D336" s="11">
        <v>1</v>
      </c>
      <c r="E336" s="10" t="s">
        <v>17</v>
      </c>
      <c r="F336" s="186"/>
      <c r="G336" s="9">
        <v>7</v>
      </c>
      <c r="H336" s="9">
        <v>7</v>
      </c>
      <c r="I336" s="9">
        <v>13</v>
      </c>
      <c r="J336" s="9">
        <v>13</v>
      </c>
      <c r="K336" s="9">
        <f t="shared" si="10"/>
        <v>7</v>
      </c>
      <c r="L336" s="9">
        <v>7</v>
      </c>
      <c r="M336" s="9">
        <f t="shared" si="11"/>
        <v>13</v>
      </c>
      <c r="N336" s="9">
        <v>13</v>
      </c>
    </row>
    <row r="337" spans="1:14" ht="15" customHeight="1" x14ac:dyDescent="0.35">
      <c r="A337" s="185"/>
      <c r="B337" s="10" t="s">
        <v>15</v>
      </c>
      <c r="C337" s="11" t="s">
        <v>19</v>
      </c>
      <c r="D337" s="11">
        <v>1</v>
      </c>
      <c r="E337" s="10" t="s">
        <v>109</v>
      </c>
      <c r="F337" s="186"/>
      <c r="G337" s="9">
        <v>7</v>
      </c>
      <c r="H337" s="9">
        <v>7</v>
      </c>
      <c r="I337" s="9">
        <v>18</v>
      </c>
      <c r="J337" s="9">
        <v>18</v>
      </c>
      <c r="K337" s="9">
        <f t="shared" si="10"/>
        <v>7</v>
      </c>
      <c r="L337" s="9">
        <v>7</v>
      </c>
      <c r="M337" s="9">
        <f t="shared" si="11"/>
        <v>18</v>
      </c>
      <c r="N337" s="9">
        <v>18</v>
      </c>
    </row>
    <row r="338" spans="1:14" ht="15" customHeight="1" x14ac:dyDescent="0.35">
      <c r="A338" s="185"/>
      <c r="B338" s="7" t="s">
        <v>15</v>
      </c>
      <c r="C338" s="8" t="s">
        <v>19</v>
      </c>
      <c r="D338" s="8">
        <v>2</v>
      </c>
      <c r="E338" s="7" t="s">
        <v>17</v>
      </c>
      <c r="F338" s="186"/>
      <c r="G338" s="9">
        <v>7</v>
      </c>
      <c r="H338" s="9">
        <v>7</v>
      </c>
      <c r="I338" s="9">
        <v>13</v>
      </c>
      <c r="J338" s="9">
        <v>13</v>
      </c>
      <c r="K338" s="9">
        <f t="shared" si="10"/>
        <v>7</v>
      </c>
      <c r="L338" s="9">
        <v>7</v>
      </c>
      <c r="M338" s="9">
        <f t="shared" si="11"/>
        <v>13</v>
      </c>
      <c r="N338" s="9">
        <v>13</v>
      </c>
    </row>
    <row r="339" spans="1:14" ht="15" customHeight="1" x14ac:dyDescent="0.35">
      <c r="A339" s="185"/>
      <c r="B339" s="7" t="s">
        <v>15</v>
      </c>
      <c r="C339" s="8" t="s">
        <v>19</v>
      </c>
      <c r="D339" s="8">
        <v>2</v>
      </c>
      <c r="E339" s="7" t="s">
        <v>109</v>
      </c>
      <c r="F339" s="186"/>
      <c r="G339" s="9">
        <v>7</v>
      </c>
      <c r="H339" s="9">
        <v>7</v>
      </c>
      <c r="I339" s="9">
        <v>18</v>
      </c>
      <c r="J339" s="9">
        <v>18</v>
      </c>
      <c r="K339" s="9">
        <f t="shared" si="10"/>
        <v>7</v>
      </c>
      <c r="L339" s="9">
        <v>7</v>
      </c>
      <c r="M339" s="9">
        <f t="shared" si="11"/>
        <v>18</v>
      </c>
      <c r="N339" s="9">
        <v>18</v>
      </c>
    </row>
    <row r="340" spans="1:14" ht="15" customHeight="1" x14ac:dyDescent="0.35">
      <c r="A340" s="185"/>
      <c r="B340" s="10" t="s">
        <v>15</v>
      </c>
      <c r="C340" s="11" t="s">
        <v>19</v>
      </c>
      <c r="D340" s="11">
        <v>3</v>
      </c>
      <c r="E340" s="10" t="s">
        <v>17</v>
      </c>
      <c r="F340" s="186"/>
      <c r="G340" s="9">
        <v>7</v>
      </c>
      <c r="H340" s="9">
        <v>7</v>
      </c>
      <c r="I340" s="9">
        <v>13</v>
      </c>
      <c r="J340" s="9">
        <v>13</v>
      </c>
      <c r="K340" s="9">
        <f t="shared" si="10"/>
        <v>7</v>
      </c>
      <c r="L340" s="9">
        <v>7</v>
      </c>
      <c r="M340" s="9">
        <f t="shared" si="11"/>
        <v>13</v>
      </c>
      <c r="N340" s="9">
        <v>13</v>
      </c>
    </row>
    <row r="341" spans="1:14" ht="15" customHeight="1" x14ac:dyDescent="0.35">
      <c r="A341" s="185"/>
      <c r="B341" s="10" t="s">
        <v>15</v>
      </c>
      <c r="C341" s="11" t="s">
        <v>19</v>
      </c>
      <c r="D341" s="11">
        <v>3</v>
      </c>
      <c r="E341" s="10" t="s">
        <v>109</v>
      </c>
      <c r="F341" s="186"/>
      <c r="G341" s="9">
        <v>7</v>
      </c>
      <c r="H341" s="9">
        <v>7</v>
      </c>
      <c r="I341" s="9">
        <v>18</v>
      </c>
      <c r="J341" s="9">
        <v>18</v>
      </c>
      <c r="K341" s="9">
        <f t="shared" si="10"/>
        <v>7</v>
      </c>
      <c r="L341" s="9">
        <v>7</v>
      </c>
      <c r="M341" s="9">
        <f t="shared" si="11"/>
        <v>18</v>
      </c>
      <c r="N341" s="9">
        <v>18</v>
      </c>
    </row>
    <row r="342" spans="1:14" ht="15" customHeight="1" x14ac:dyDescent="0.35">
      <c r="A342" s="185"/>
      <c r="B342" s="7" t="s">
        <v>15</v>
      </c>
      <c r="C342" s="8" t="s">
        <v>20</v>
      </c>
      <c r="D342" s="8">
        <v>1</v>
      </c>
      <c r="E342" s="7" t="s">
        <v>17</v>
      </c>
      <c r="F342" s="186"/>
      <c r="G342" s="9">
        <v>7</v>
      </c>
      <c r="H342" s="9">
        <v>7</v>
      </c>
      <c r="I342" s="9">
        <v>13</v>
      </c>
      <c r="J342" s="9">
        <v>13</v>
      </c>
      <c r="K342" s="9">
        <f t="shared" si="10"/>
        <v>7</v>
      </c>
      <c r="L342" s="9">
        <v>7</v>
      </c>
      <c r="M342" s="9">
        <f t="shared" si="11"/>
        <v>13</v>
      </c>
      <c r="N342" s="9">
        <v>13</v>
      </c>
    </row>
    <row r="343" spans="1:14" ht="15" customHeight="1" x14ac:dyDescent="0.35">
      <c r="A343" s="185"/>
      <c r="B343" s="7" t="s">
        <v>15</v>
      </c>
      <c r="C343" s="8" t="s">
        <v>20</v>
      </c>
      <c r="D343" s="8">
        <v>1</v>
      </c>
      <c r="E343" s="7" t="s">
        <v>109</v>
      </c>
      <c r="F343" s="186"/>
      <c r="G343" s="9">
        <v>7</v>
      </c>
      <c r="H343" s="9">
        <v>7</v>
      </c>
      <c r="I343" s="9">
        <v>18</v>
      </c>
      <c r="J343" s="9">
        <v>18</v>
      </c>
      <c r="K343" s="9">
        <f t="shared" si="10"/>
        <v>7</v>
      </c>
      <c r="L343" s="9">
        <v>7</v>
      </c>
      <c r="M343" s="9">
        <f t="shared" si="11"/>
        <v>18</v>
      </c>
      <c r="N343" s="9">
        <v>18</v>
      </c>
    </row>
    <row r="344" spans="1:14" ht="15" customHeight="1" x14ac:dyDescent="0.35">
      <c r="A344" s="185"/>
      <c r="B344" s="10" t="s">
        <v>15</v>
      </c>
      <c r="C344" s="11" t="s">
        <v>20</v>
      </c>
      <c r="D344" s="11">
        <v>2</v>
      </c>
      <c r="E344" s="10" t="s">
        <v>17</v>
      </c>
      <c r="F344" s="186"/>
      <c r="G344" s="9">
        <v>7</v>
      </c>
      <c r="H344" s="9">
        <v>7</v>
      </c>
      <c r="I344" s="9">
        <v>14</v>
      </c>
      <c r="J344" s="9">
        <v>14</v>
      </c>
      <c r="K344" s="9">
        <f t="shared" si="10"/>
        <v>7</v>
      </c>
      <c r="L344" s="9">
        <v>7</v>
      </c>
      <c r="M344" s="9">
        <f t="shared" si="11"/>
        <v>14</v>
      </c>
      <c r="N344" s="9">
        <v>14</v>
      </c>
    </row>
    <row r="345" spans="1:14" ht="15" customHeight="1" x14ac:dyDescent="0.35">
      <c r="A345" s="185"/>
      <c r="B345" s="10" t="s">
        <v>15</v>
      </c>
      <c r="C345" s="11" t="s">
        <v>20</v>
      </c>
      <c r="D345" s="11">
        <v>2</v>
      </c>
      <c r="E345" s="10" t="s">
        <v>109</v>
      </c>
      <c r="F345" s="186"/>
      <c r="G345" s="9">
        <v>7</v>
      </c>
      <c r="H345" s="9">
        <v>7</v>
      </c>
      <c r="I345" s="9">
        <v>14</v>
      </c>
      <c r="J345" s="9">
        <v>14</v>
      </c>
      <c r="K345" s="9">
        <f t="shared" si="10"/>
        <v>7</v>
      </c>
      <c r="L345" s="9">
        <v>7</v>
      </c>
      <c r="M345" s="9">
        <f t="shared" si="11"/>
        <v>14</v>
      </c>
      <c r="N345" s="9">
        <v>14</v>
      </c>
    </row>
    <row r="346" spans="1:14" ht="15" customHeight="1" x14ac:dyDescent="0.35">
      <c r="A346" s="185"/>
      <c r="B346" s="7" t="s">
        <v>15</v>
      </c>
      <c r="C346" s="8" t="s">
        <v>20</v>
      </c>
      <c r="D346" s="8">
        <v>3</v>
      </c>
      <c r="E346" s="7" t="s">
        <v>17</v>
      </c>
      <c r="F346" s="186"/>
      <c r="G346" s="9">
        <v>7</v>
      </c>
      <c r="H346" s="9">
        <v>7</v>
      </c>
      <c r="I346" s="9">
        <v>13</v>
      </c>
      <c r="J346" s="9">
        <v>13</v>
      </c>
      <c r="K346" s="9">
        <f t="shared" si="10"/>
        <v>7</v>
      </c>
      <c r="L346" s="9">
        <v>7</v>
      </c>
      <c r="M346" s="9">
        <f t="shared" si="11"/>
        <v>13</v>
      </c>
      <c r="N346" s="9">
        <v>13</v>
      </c>
    </row>
    <row r="347" spans="1:14" ht="15" customHeight="1" x14ac:dyDescent="0.35">
      <c r="A347" s="185"/>
      <c r="B347" s="7" t="s">
        <v>15</v>
      </c>
      <c r="C347" s="8" t="s">
        <v>20</v>
      </c>
      <c r="D347" s="8">
        <v>3</v>
      </c>
      <c r="E347" s="7" t="s">
        <v>109</v>
      </c>
      <c r="F347" s="186"/>
      <c r="G347" s="9">
        <v>7</v>
      </c>
      <c r="H347" s="9">
        <v>7</v>
      </c>
      <c r="I347" s="9">
        <v>18</v>
      </c>
      <c r="J347" s="9">
        <v>18</v>
      </c>
      <c r="K347" s="9">
        <f t="shared" si="10"/>
        <v>7</v>
      </c>
      <c r="L347" s="9">
        <v>7</v>
      </c>
      <c r="M347" s="9">
        <f t="shared" si="11"/>
        <v>18</v>
      </c>
      <c r="N347" s="9">
        <v>18</v>
      </c>
    </row>
    <row r="348" spans="1:14" ht="15" customHeight="1" x14ac:dyDescent="0.35">
      <c r="A348" s="185"/>
      <c r="B348" s="12" t="s">
        <v>21</v>
      </c>
      <c r="C348" s="13" t="s">
        <v>16</v>
      </c>
      <c r="D348" s="13">
        <v>1</v>
      </c>
      <c r="E348" s="12" t="s">
        <v>17</v>
      </c>
      <c r="F348" s="186"/>
      <c r="G348" s="9">
        <v>7</v>
      </c>
      <c r="H348" s="9">
        <v>7</v>
      </c>
      <c r="I348" s="9">
        <v>11</v>
      </c>
      <c r="J348" s="9">
        <v>11</v>
      </c>
      <c r="K348" s="9">
        <f t="shared" si="10"/>
        <v>7</v>
      </c>
      <c r="L348" s="9">
        <v>7</v>
      </c>
      <c r="M348" s="9">
        <f t="shared" si="11"/>
        <v>11</v>
      </c>
      <c r="N348" s="9">
        <v>9</v>
      </c>
    </row>
    <row r="349" spans="1:14" ht="15" customHeight="1" x14ac:dyDescent="0.35">
      <c r="A349" s="185"/>
      <c r="B349" s="12" t="s">
        <v>21</v>
      </c>
      <c r="C349" s="13" t="s">
        <v>16</v>
      </c>
      <c r="D349" s="13">
        <v>1</v>
      </c>
      <c r="E349" s="12" t="s">
        <v>109</v>
      </c>
      <c r="F349" s="186"/>
      <c r="G349" s="9">
        <v>7</v>
      </c>
      <c r="H349" s="9">
        <v>7</v>
      </c>
      <c r="I349" s="9">
        <v>11</v>
      </c>
      <c r="J349" s="9">
        <v>11</v>
      </c>
      <c r="K349" s="9">
        <f t="shared" si="10"/>
        <v>7</v>
      </c>
      <c r="L349" s="9">
        <v>7</v>
      </c>
      <c r="M349" s="9">
        <f t="shared" si="11"/>
        <v>11</v>
      </c>
      <c r="N349" s="9">
        <v>9</v>
      </c>
    </row>
    <row r="350" spans="1:14" ht="15" customHeight="1" x14ac:dyDescent="0.35">
      <c r="A350" s="185"/>
      <c r="B350" s="14" t="s">
        <v>21</v>
      </c>
      <c r="C350" s="15" t="s">
        <v>16</v>
      </c>
      <c r="D350" s="15">
        <v>2</v>
      </c>
      <c r="E350" s="14" t="s">
        <v>17</v>
      </c>
      <c r="F350" s="186"/>
      <c r="G350" s="9">
        <v>7</v>
      </c>
      <c r="H350" s="9">
        <v>7</v>
      </c>
      <c r="I350" s="9">
        <v>11</v>
      </c>
      <c r="J350" s="9">
        <v>11</v>
      </c>
      <c r="K350" s="9">
        <f t="shared" si="10"/>
        <v>7</v>
      </c>
      <c r="L350" s="9">
        <v>7</v>
      </c>
      <c r="M350" s="9">
        <f t="shared" si="11"/>
        <v>11</v>
      </c>
      <c r="N350" s="9">
        <v>9</v>
      </c>
    </row>
    <row r="351" spans="1:14" ht="15" customHeight="1" x14ac:dyDescent="0.35">
      <c r="A351" s="185"/>
      <c r="B351" s="14" t="s">
        <v>21</v>
      </c>
      <c r="C351" s="15" t="s">
        <v>16</v>
      </c>
      <c r="D351" s="15">
        <v>2</v>
      </c>
      <c r="E351" s="14" t="s">
        <v>109</v>
      </c>
      <c r="F351" s="186"/>
      <c r="G351" s="9">
        <v>7</v>
      </c>
      <c r="H351" s="9">
        <v>7</v>
      </c>
      <c r="I351" s="9">
        <v>10</v>
      </c>
      <c r="J351" s="9">
        <v>10</v>
      </c>
      <c r="K351" s="9">
        <f t="shared" si="10"/>
        <v>7</v>
      </c>
      <c r="L351" s="9">
        <v>7</v>
      </c>
      <c r="M351" s="9">
        <f t="shared" si="11"/>
        <v>10</v>
      </c>
      <c r="N351" s="9">
        <v>9</v>
      </c>
    </row>
    <row r="352" spans="1:14" ht="15" customHeight="1" x14ac:dyDescent="0.35">
      <c r="A352" s="185"/>
      <c r="B352" s="12" t="s">
        <v>21</v>
      </c>
      <c r="C352" s="13" t="s">
        <v>16</v>
      </c>
      <c r="D352" s="13">
        <v>3</v>
      </c>
      <c r="E352" s="12" t="s">
        <v>17</v>
      </c>
      <c r="F352" s="186"/>
      <c r="G352" s="9">
        <v>7</v>
      </c>
      <c r="H352" s="9">
        <v>7</v>
      </c>
      <c r="I352" s="9">
        <v>11</v>
      </c>
      <c r="J352" s="9">
        <v>11</v>
      </c>
      <c r="K352" s="9">
        <f t="shared" si="10"/>
        <v>7</v>
      </c>
      <c r="L352" s="9">
        <v>7</v>
      </c>
      <c r="M352" s="9">
        <f t="shared" si="11"/>
        <v>11</v>
      </c>
      <c r="N352" s="9">
        <v>9</v>
      </c>
    </row>
    <row r="353" spans="1:14" ht="15" customHeight="1" x14ac:dyDescent="0.35">
      <c r="A353" s="185"/>
      <c r="B353" s="12" t="s">
        <v>21</v>
      </c>
      <c r="C353" s="13" t="s">
        <v>16</v>
      </c>
      <c r="D353" s="13">
        <v>3</v>
      </c>
      <c r="E353" s="12" t="s">
        <v>109</v>
      </c>
      <c r="F353" s="186"/>
      <c r="G353" s="9">
        <v>7</v>
      </c>
      <c r="H353" s="9">
        <v>7</v>
      </c>
      <c r="I353" s="9">
        <v>11</v>
      </c>
      <c r="J353" s="9">
        <v>11</v>
      </c>
      <c r="K353" s="9">
        <f t="shared" si="10"/>
        <v>7</v>
      </c>
      <c r="L353" s="9">
        <v>7</v>
      </c>
      <c r="M353" s="9">
        <f t="shared" si="11"/>
        <v>11</v>
      </c>
      <c r="N353" s="9">
        <v>9</v>
      </c>
    </row>
    <row r="354" spans="1:14" ht="15" customHeight="1" x14ac:dyDescent="0.35">
      <c r="A354" s="185"/>
      <c r="B354" s="14" t="s">
        <v>21</v>
      </c>
      <c r="C354" s="15" t="s">
        <v>19</v>
      </c>
      <c r="D354" s="15">
        <v>1</v>
      </c>
      <c r="E354" s="14" t="s">
        <v>17</v>
      </c>
      <c r="F354" s="186"/>
      <c r="G354" s="9">
        <v>7</v>
      </c>
      <c r="H354" s="9">
        <v>7</v>
      </c>
      <c r="I354" s="9">
        <v>11</v>
      </c>
      <c r="J354" s="9">
        <v>11</v>
      </c>
      <c r="K354" s="9">
        <f t="shared" si="10"/>
        <v>7</v>
      </c>
      <c r="L354" s="9">
        <v>7</v>
      </c>
      <c r="M354" s="9">
        <f t="shared" si="11"/>
        <v>11</v>
      </c>
      <c r="N354" s="9">
        <v>9</v>
      </c>
    </row>
    <row r="355" spans="1:14" ht="15" customHeight="1" x14ac:dyDescent="0.35">
      <c r="A355" s="185"/>
      <c r="B355" s="14" t="s">
        <v>21</v>
      </c>
      <c r="C355" s="15" t="s">
        <v>19</v>
      </c>
      <c r="D355" s="15">
        <v>1</v>
      </c>
      <c r="E355" s="14" t="s">
        <v>109</v>
      </c>
      <c r="F355" s="186"/>
      <c r="G355" s="9">
        <v>7</v>
      </c>
      <c r="H355" s="9">
        <v>7</v>
      </c>
      <c r="I355" s="9">
        <v>11</v>
      </c>
      <c r="J355" s="9">
        <v>11</v>
      </c>
      <c r="K355" s="9">
        <f t="shared" si="10"/>
        <v>7</v>
      </c>
      <c r="L355" s="9">
        <v>7</v>
      </c>
      <c r="M355" s="9">
        <f t="shared" si="11"/>
        <v>11</v>
      </c>
      <c r="N355" s="9">
        <v>9</v>
      </c>
    </row>
    <row r="356" spans="1:14" ht="15" customHeight="1" x14ac:dyDescent="0.35">
      <c r="A356" s="185"/>
      <c r="B356" s="12" t="s">
        <v>21</v>
      </c>
      <c r="C356" s="13" t="s">
        <v>19</v>
      </c>
      <c r="D356" s="13">
        <v>2</v>
      </c>
      <c r="E356" s="12" t="s">
        <v>17</v>
      </c>
      <c r="F356" s="186"/>
      <c r="G356" s="9">
        <v>7</v>
      </c>
      <c r="H356" s="9">
        <v>7</v>
      </c>
      <c r="I356" s="9">
        <v>11</v>
      </c>
      <c r="J356" s="9">
        <v>11</v>
      </c>
      <c r="K356" s="9">
        <f t="shared" si="10"/>
        <v>7</v>
      </c>
      <c r="L356" s="9">
        <v>7</v>
      </c>
      <c r="M356" s="9">
        <f t="shared" si="11"/>
        <v>11</v>
      </c>
      <c r="N356" s="9">
        <v>9</v>
      </c>
    </row>
    <row r="357" spans="1:14" ht="15" customHeight="1" x14ac:dyDescent="0.35">
      <c r="A357" s="185"/>
      <c r="B357" s="12" t="s">
        <v>21</v>
      </c>
      <c r="C357" s="13" t="s">
        <v>19</v>
      </c>
      <c r="D357" s="13">
        <v>2</v>
      </c>
      <c r="E357" s="12" t="s">
        <v>109</v>
      </c>
      <c r="F357" s="186"/>
      <c r="G357" s="9">
        <v>7</v>
      </c>
      <c r="H357" s="9">
        <v>7</v>
      </c>
      <c r="I357" s="9">
        <v>11</v>
      </c>
      <c r="J357" s="9">
        <v>11</v>
      </c>
      <c r="K357" s="9">
        <f t="shared" si="10"/>
        <v>7</v>
      </c>
      <c r="L357" s="9">
        <v>7</v>
      </c>
      <c r="M357" s="9">
        <f t="shared" si="11"/>
        <v>11</v>
      </c>
      <c r="N357" s="9">
        <v>9</v>
      </c>
    </row>
    <row r="358" spans="1:14" ht="15" customHeight="1" x14ac:dyDescent="0.35">
      <c r="A358" s="185"/>
      <c r="B358" s="14" t="s">
        <v>21</v>
      </c>
      <c r="C358" s="15" t="s">
        <v>19</v>
      </c>
      <c r="D358" s="15">
        <v>3</v>
      </c>
      <c r="E358" s="14" t="s">
        <v>17</v>
      </c>
      <c r="F358" s="186"/>
      <c r="G358" s="9">
        <v>7</v>
      </c>
      <c r="H358" s="9">
        <v>7</v>
      </c>
      <c r="I358" s="9">
        <v>11</v>
      </c>
      <c r="J358" s="9">
        <v>11</v>
      </c>
      <c r="K358" s="9">
        <f t="shared" si="10"/>
        <v>7</v>
      </c>
      <c r="L358" s="9">
        <v>7</v>
      </c>
      <c r="M358" s="9">
        <f t="shared" si="11"/>
        <v>11</v>
      </c>
      <c r="N358" s="9">
        <v>9</v>
      </c>
    </row>
    <row r="359" spans="1:14" ht="15" customHeight="1" x14ac:dyDescent="0.35">
      <c r="A359" s="185"/>
      <c r="B359" s="14" t="s">
        <v>21</v>
      </c>
      <c r="C359" s="15" t="s">
        <v>19</v>
      </c>
      <c r="D359" s="15">
        <v>3</v>
      </c>
      <c r="E359" s="14" t="s">
        <v>109</v>
      </c>
      <c r="F359" s="186"/>
      <c r="G359" s="9">
        <v>7</v>
      </c>
      <c r="H359" s="9">
        <v>7</v>
      </c>
      <c r="I359" s="9">
        <v>11</v>
      </c>
      <c r="J359" s="9">
        <v>11</v>
      </c>
      <c r="K359" s="9">
        <f t="shared" si="10"/>
        <v>7</v>
      </c>
      <c r="L359" s="9">
        <v>7</v>
      </c>
      <c r="M359" s="9">
        <f t="shared" si="11"/>
        <v>11</v>
      </c>
      <c r="N359" s="9">
        <v>9</v>
      </c>
    </row>
    <row r="360" spans="1:14" ht="15" customHeight="1" x14ac:dyDescent="0.35">
      <c r="A360" s="185"/>
      <c r="B360" s="12" t="s">
        <v>21</v>
      </c>
      <c r="C360" s="13" t="s">
        <v>20</v>
      </c>
      <c r="D360" s="13">
        <v>1</v>
      </c>
      <c r="E360" s="12" t="s">
        <v>17</v>
      </c>
      <c r="F360" s="186"/>
      <c r="G360" s="9">
        <v>7</v>
      </c>
      <c r="H360" s="9">
        <v>7</v>
      </c>
      <c r="I360" s="9">
        <v>11</v>
      </c>
      <c r="J360" s="9">
        <v>11</v>
      </c>
      <c r="K360" s="9">
        <f t="shared" si="10"/>
        <v>7</v>
      </c>
      <c r="L360" s="9">
        <v>7</v>
      </c>
      <c r="M360" s="9">
        <f t="shared" si="11"/>
        <v>11</v>
      </c>
      <c r="N360" s="9">
        <v>8</v>
      </c>
    </row>
    <row r="361" spans="1:14" ht="15" customHeight="1" x14ac:dyDescent="0.35">
      <c r="A361" s="185"/>
      <c r="B361" s="12" t="s">
        <v>21</v>
      </c>
      <c r="C361" s="13" t="s">
        <v>20</v>
      </c>
      <c r="D361" s="13">
        <v>1</v>
      </c>
      <c r="E361" s="12" t="s">
        <v>109</v>
      </c>
      <c r="F361" s="186"/>
      <c r="G361" s="9">
        <v>7</v>
      </c>
      <c r="H361" s="9">
        <v>7</v>
      </c>
      <c r="I361" s="9">
        <v>11</v>
      </c>
      <c r="J361" s="9">
        <v>11</v>
      </c>
      <c r="K361" s="9">
        <f t="shared" si="10"/>
        <v>7</v>
      </c>
      <c r="L361" s="9">
        <v>7</v>
      </c>
      <c r="M361" s="9">
        <f t="shared" si="11"/>
        <v>11</v>
      </c>
      <c r="N361" s="9">
        <v>9</v>
      </c>
    </row>
    <row r="362" spans="1:14" ht="15" customHeight="1" x14ac:dyDescent="0.35">
      <c r="A362" s="185"/>
      <c r="B362" s="14" t="s">
        <v>21</v>
      </c>
      <c r="C362" s="15" t="s">
        <v>20</v>
      </c>
      <c r="D362" s="15">
        <v>2</v>
      </c>
      <c r="E362" s="14" t="s">
        <v>17</v>
      </c>
      <c r="F362" s="186"/>
      <c r="G362" s="9">
        <v>7</v>
      </c>
      <c r="H362" s="9">
        <v>7</v>
      </c>
      <c r="I362" s="9">
        <v>11</v>
      </c>
      <c r="J362" s="9">
        <v>11</v>
      </c>
      <c r="K362" s="9">
        <f t="shared" si="10"/>
        <v>7</v>
      </c>
      <c r="L362" s="9">
        <v>7</v>
      </c>
      <c r="M362" s="9">
        <f t="shared" si="11"/>
        <v>11</v>
      </c>
      <c r="N362" s="9">
        <v>9</v>
      </c>
    </row>
    <row r="363" spans="1:14" ht="15" customHeight="1" x14ac:dyDescent="0.35">
      <c r="A363" s="185"/>
      <c r="B363" s="14" t="s">
        <v>21</v>
      </c>
      <c r="C363" s="15" t="s">
        <v>20</v>
      </c>
      <c r="D363" s="15">
        <v>2</v>
      </c>
      <c r="E363" s="14" t="s">
        <v>109</v>
      </c>
      <c r="F363" s="186"/>
      <c r="G363" s="9">
        <v>7</v>
      </c>
      <c r="H363" s="9">
        <v>7</v>
      </c>
      <c r="I363" s="9">
        <v>11</v>
      </c>
      <c r="J363" s="9">
        <v>11</v>
      </c>
      <c r="K363" s="9">
        <f t="shared" si="10"/>
        <v>7</v>
      </c>
      <c r="L363" s="9">
        <v>7</v>
      </c>
      <c r="M363" s="9">
        <f t="shared" si="11"/>
        <v>11</v>
      </c>
      <c r="N363" s="9">
        <v>9</v>
      </c>
    </row>
    <row r="364" spans="1:14" ht="15" customHeight="1" x14ac:dyDescent="0.35">
      <c r="A364" s="185"/>
      <c r="B364" s="12" t="s">
        <v>21</v>
      </c>
      <c r="C364" s="13" t="s">
        <v>20</v>
      </c>
      <c r="D364" s="13">
        <v>3</v>
      </c>
      <c r="E364" s="12" t="s">
        <v>17</v>
      </c>
      <c r="F364" s="186"/>
      <c r="G364" s="9">
        <v>7</v>
      </c>
      <c r="H364" s="9">
        <v>7</v>
      </c>
      <c r="I364" s="9">
        <v>11</v>
      </c>
      <c r="J364" s="9">
        <v>11</v>
      </c>
      <c r="K364" s="9">
        <f t="shared" si="10"/>
        <v>7</v>
      </c>
      <c r="L364" s="9">
        <v>7</v>
      </c>
      <c r="M364" s="9">
        <f t="shared" si="11"/>
        <v>11</v>
      </c>
      <c r="N364" s="9">
        <v>9</v>
      </c>
    </row>
    <row r="365" spans="1:14" ht="15" customHeight="1" x14ac:dyDescent="0.35">
      <c r="A365" s="185"/>
      <c r="B365" s="12" t="s">
        <v>21</v>
      </c>
      <c r="C365" s="13" t="s">
        <v>20</v>
      </c>
      <c r="D365" s="13">
        <v>3</v>
      </c>
      <c r="E365" s="12" t="s">
        <v>109</v>
      </c>
      <c r="F365" s="186"/>
      <c r="G365" s="9">
        <v>7</v>
      </c>
      <c r="H365" s="9">
        <v>7</v>
      </c>
      <c r="I365" s="9">
        <v>11</v>
      </c>
      <c r="J365" s="9">
        <v>11</v>
      </c>
      <c r="K365" s="9">
        <f t="shared" si="10"/>
        <v>7</v>
      </c>
      <c r="L365" s="9">
        <v>7</v>
      </c>
      <c r="M365" s="9">
        <f t="shared" si="11"/>
        <v>11</v>
      </c>
      <c r="N365" s="9">
        <v>9</v>
      </c>
    </row>
    <row r="366" spans="1:14" ht="15" customHeight="1" x14ac:dyDescent="0.35">
      <c r="A366" s="185"/>
      <c r="B366" s="16" t="s">
        <v>22</v>
      </c>
      <c r="C366" s="17" t="s">
        <v>16</v>
      </c>
      <c r="D366" s="17">
        <v>1</v>
      </c>
      <c r="E366" s="16" t="s">
        <v>17</v>
      </c>
      <c r="F366" s="186"/>
      <c r="G366" s="9">
        <v>7</v>
      </c>
      <c r="H366" s="9">
        <v>7</v>
      </c>
      <c r="I366" s="9">
        <v>11</v>
      </c>
      <c r="J366" s="9">
        <v>11</v>
      </c>
      <c r="K366" s="9">
        <f t="shared" si="10"/>
        <v>7</v>
      </c>
      <c r="L366" s="9">
        <v>7</v>
      </c>
      <c r="M366" s="9">
        <f t="shared" si="11"/>
        <v>11</v>
      </c>
      <c r="N366" s="9">
        <v>9</v>
      </c>
    </row>
    <row r="367" spans="1:14" ht="15" customHeight="1" x14ac:dyDescent="0.35">
      <c r="A367" s="185"/>
      <c r="B367" s="16" t="s">
        <v>22</v>
      </c>
      <c r="C367" s="17" t="s">
        <v>16</v>
      </c>
      <c r="D367" s="17">
        <v>1</v>
      </c>
      <c r="E367" s="16" t="s">
        <v>109</v>
      </c>
      <c r="F367" s="186"/>
      <c r="G367" s="9">
        <v>7</v>
      </c>
      <c r="H367" s="9">
        <v>7</v>
      </c>
      <c r="I367" s="9">
        <v>11</v>
      </c>
      <c r="J367" s="9">
        <v>11</v>
      </c>
      <c r="K367" s="9">
        <f>G367</f>
        <v>7</v>
      </c>
      <c r="L367" s="9">
        <v>7</v>
      </c>
      <c r="M367" s="9">
        <f t="shared" si="11"/>
        <v>11</v>
      </c>
      <c r="N367" s="9">
        <v>8</v>
      </c>
    </row>
    <row r="368" spans="1:14" ht="15" customHeight="1" x14ac:dyDescent="0.35">
      <c r="A368" s="185"/>
      <c r="B368" s="18" t="s">
        <v>22</v>
      </c>
      <c r="C368" s="19" t="s">
        <v>16</v>
      </c>
      <c r="D368" s="19">
        <v>2</v>
      </c>
      <c r="E368" s="18" t="s">
        <v>17</v>
      </c>
      <c r="F368" s="186"/>
      <c r="G368" s="9">
        <v>7</v>
      </c>
      <c r="H368" s="9">
        <v>7</v>
      </c>
      <c r="I368" s="9">
        <v>11</v>
      </c>
      <c r="J368" s="9">
        <v>11</v>
      </c>
      <c r="K368" s="9">
        <f t="shared" si="10"/>
        <v>7</v>
      </c>
      <c r="L368" s="9">
        <v>7</v>
      </c>
      <c r="M368" s="9">
        <f t="shared" si="11"/>
        <v>11</v>
      </c>
      <c r="N368" s="9">
        <v>9</v>
      </c>
    </row>
    <row r="369" spans="1:14" ht="15" customHeight="1" x14ac:dyDescent="0.35">
      <c r="A369" s="185"/>
      <c r="B369" s="18" t="s">
        <v>22</v>
      </c>
      <c r="C369" s="19" t="s">
        <v>16</v>
      </c>
      <c r="D369" s="19">
        <v>2</v>
      </c>
      <c r="E369" s="18" t="s">
        <v>109</v>
      </c>
      <c r="F369" s="186"/>
      <c r="G369" s="9">
        <v>7</v>
      </c>
      <c r="H369" s="9">
        <v>7</v>
      </c>
      <c r="I369" s="9">
        <v>12</v>
      </c>
      <c r="J369" s="9">
        <v>12</v>
      </c>
      <c r="K369" s="9">
        <f t="shared" si="10"/>
        <v>7</v>
      </c>
      <c r="L369" s="9">
        <v>7</v>
      </c>
      <c r="M369" s="9">
        <f t="shared" si="11"/>
        <v>12</v>
      </c>
      <c r="N369" s="9">
        <v>11</v>
      </c>
    </row>
    <row r="370" spans="1:14" ht="15" customHeight="1" x14ac:dyDescent="0.35">
      <c r="A370" s="185"/>
      <c r="B370" s="16" t="s">
        <v>22</v>
      </c>
      <c r="C370" s="17" t="s">
        <v>16</v>
      </c>
      <c r="D370" s="17">
        <v>3</v>
      </c>
      <c r="E370" s="16" t="s">
        <v>17</v>
      </c>
      <c r="F370" s="186"/>
      <c r="G370" s="9">
        <v>7</v>
      </c>
      <c r="H370" s="9">
        <v>7</v>
      </c>
      <c r="I370" s="9">
        <v>11</v>
      </c>
      <c r="J370" s="9">
        <v>11</v>
      </c>
      <c r="K370" s="9">
        <f t="shared" si="10"/>
        <v>7</v>
      </c>
      <c r="L370" s="9">
        <v>7</v>
      </c>
      <c r="M370" s="9">
        <f t="shared" si="11"/>
        <v>11</v>
      </c>
      <c r="N370" s="9">
        <v>9</v>
      </c>
    </row>
    <row r="371" spans="1:14" ht="15" customHeight="1" x14ac:dyDescent="0.35">
      <c r="A371" s="185"/>
      <c r="B371" s="16" t="s">
        <v>22</v>
      </c>
      <c r="C371" s="17" t="s">
        <v>16</v>
      </c>
      <c r="D371" s="17">
        <v>3</v>
      </c>
      <c r="E371" s="16" t="s">
        <v>109</v>
      </c>
      <c r="F371" s="186"/>
      <c r="G371" s="9">
        <v>7</v>
      </c>
      <c r="H371" s="9">
        <v>7</v>
      </c>
      <c r="I371" s="9">
        <v>11</v>
      </c>
      <c r="J371" s="9">
        <v>11</v>
      </c>
      <c r="K371" s="9">
        <f t="shared" si="10"/>
        <v>7</v>
      </c>
      <c r="L371" s="9">
        <v>7</v>
      </c>
      <c r="M371" s="9">
        <f t="shared" si="11"/>
        <v>11</v>
      </c>
      <c r="N371" s="9">
        <v>9</v>
      </c>
    </row>
    <row r="372" spans="1:14" ht="15" customHeight="1" x14ac:dyDescent="0.35">
      <c r="A372" s="185"/>
      <c r="B372" s="18" t="s">
        <v>22</v>
      </c>
      <c r="C372" s="19" t="s">
        <v>19</v>
      </c>
      <c r="D372" s="19">
        <v>1</v>
      </c>
      <c r="E372" s="18" t="s">
        <v>17</v>
      </c>
      <c r="F372" s="186"/>
      <c r="G372" s="9">
        <v>7</v>
      </c>
      <c r="H372" s="9">
        <v>7</v>
      </c>
      <c r="I372" s="9">
        <v>11</v>
      </c>
      <c r="J372" s="9">
        <v>11</v>
      </c>
      <c r="K372" s="9">
        <f t="shared" si="10"/>
        <v>7</v>
      </c>
      <c r="L372" s="9">
        <v>7</v>
      </c>
      <c r="M372" s="9">
        <f t="shared" si="11"/>
        <v>11</v>
      </c>
      <c r="N372" s="9">
        <v>9</v>
      </c>
    </row>
    <row r="373" spans="1:14" ht="15" customHeight="1" x14ac:dyDescent="0.35">
      <c r="A373" s="185"/>
      <c r="B373" s="18" t="s">
        <v>22</v>
      </c>
      <c r="C373" s="19" t="s">
        <v>19</v>
      </c>
      <c r="D373" s="19">
        <v>1</v>
      </c>
      <c r="E373" s="18" t="s">
        <v>109</v>
      </c>
      <c r="F373" s="186"/>
      <c r="G373" s="9">
        <v>7</v>
      </c>
      <c r="H373" s="9">
        <v>7</v>
      </c>
      <c r="I373" s="9">
        <v>11</v>
      </c>
      <c r="J373" s="9">
        <v>11</v>
      </c>
      <c r="K373" s="9">
        <f t="shared" si="10"/>
        <v>7</v>
      </c>
      <c r="L373" s="9">
        <v>7</v>
      </c>
      <c r="M373" s="9">
        <f t="shared" si="11"/>
        <v>11</v>
      </c>
      <c r="N373" s="9">
        <v>10</v>
      </c>
    </row>
    <row r="374" spans="1:14" ht="15" customHeight="1" x14ac:dyDescent="0.35">
      <c r="A374" s="185"/>
      <c r="B374" s="16" t="s">
        <v>22</v>
      </c>
      <c r="C374" s="17" t="s">
        <v>19</v>
      </c>
      <c r="D374" s="17">
        <v>2</v>
      </c>
      <c r="E374" s="16" t="s">
        <v>17</v>
      </c>
      <c r="F374" s="186"/>
      <c r="G374" s="9">
        <v>7</v>
      </c>
      <c r="H374" s="9">
        <v>7</v>
      </c>
      <c r="I374" s="9">
        <v>11</v>
      </c>
      <c r="J374" s="9">
        <v>11</v>
      </c>
      <c r="K374" s="9">
        <f t="shared" si="10"/>
        <v>7</v>
      </c>
      <c r="L374" s="9">
        <v>7</v>
      </c>
      <c r="M374" s="9">
        <f t="shared" si="11"/>
        <v>11</v>
      </c>
      <c r="N374" s="9">
        <v>9</v>
      </c>
    </row>
    <row r="375" spans="1:14" ht="15" customHeight="1" x14ac:dyDescent="0.35">
      <c r="A375" s="185"/>
      <c r="B375" s="16" t="s">
        <v>22</v>
      </c>
      <c r="C375" s="17" t="s">
        <v>19</v>
      </c>
      <c r="D375" s="17">
        <v>2</v>
      </c>
      <c r="E375" s="16" t="s">
        <v>109</v>
      </c>
      <c r="F375" s="186"/>
      <c r="G375" s="9">
        <v>7</v>
      </c>
      <c r="H375" s="9">
        <v>7</v>
      </c>
      <c r="I375" s="9">
        <v>15</v>
      </c>
      <c r="J375" s="9">
        <v>15</v>
      </c>
      <c r="K375" s="9">
        <f t="shared" si="10"/>
        <v>7</v>
      </c>
      <c r="L375" s="9">
        <v>7</v>
      </c>
      <c r="M375" s="9">
        <f t="shared" si="11"/>
        <v>15</v>
      </c>
      <c r="N375" s="9">
        <v>15</v>
      </c>
    </row>
    <row r="376" spans="1:14" ht="15" customHeight="1" x14ac:dyDescent="0.35">
      <c r="A376" s="185"/>
      <c r="B376" s="18" t="s">
        <v>22</v>
      </c>
      <c r="C376" s="19" t="s">
        <v>19</v>
      </c>
      <c r="D376" s="19">
        <v>3</v>
      </c>
      <c r="E376" s="18" t="s">
        <v>17</v>
      </c>
      <c r="F376" s="186"/>
      <c r="G376" s="9">
        <v>7</v>
      </c>
      <c r="H376" s="9">
        <v>7</v>
      </c>
      <c r="I376" s="9">
        <v>11</v>
      </c>
      <c r="J376" s="9">
        <v>11</v>
      </c>
      <c r="K376" s="9">
        <f t="shared" si="10"/>
        <v>7</v>
      </c>
      <c r="L376" s="9">
        <v>7</v>
      </c>
      <c r="M376" s="9">
        <f t="shared" si="11"/>
        <v>11</v>
      </c>
      <c r="N376" s="9">
        <v>9</v>
      </c>
    </row>
    <row r="377" spans="1:14" ht="15" customHeight="1" x14ac:dyDescent="0.35">
      <c r="A377" s="185"/>
      <c r="B377" s="18" t="s">
        <v>22</v>
      </c>
      <c r="C377" s="19" t="s">
        <v>19</v>
      </c>
      <c r="D377" s="19">
        <v>3</v>
      </c>
      <c r="E377" s="18" t="s">
        <v>109</v>
      </c>
      <c r="F377" s="186"/>
      <c r="G377" s="9">
        <v>7</v>
      </c>
      <c r="H377" s="9">
        <v>7</v>
      </c>
      <c r="I377" s="9">
        <v>11</v>
      </c>
      <c r="J377" s="9">
        <v>11</v>
      </c>
      <c r="K377" s="9">
        <f t="shared" si="10"/>
        <v>7</v>
      </c>
      <c r="L377" s="9">
        <v>7</v>
      </c>
      <c r="M377" s="9">
        <f t="shared" si="11"/>
        <v>11</v>
      </c>
      <c r="N377" s="9">
        <v>9</v>
      </c>
    </row>
    <row r="378" spans="1:14" ht="15" customHeight="1" x14ac:dyDescent="0.35">
      <c r="A378" s="185"/>
      <c r="B378" s="16" t="s">
        <v>22</v>
      </c>
      <c r="C378" s="17" t="s">
        <v>20</v>
      </c>
      <c r="D378" s="17">
        <v>1</v>
      </c>
      <c r="E378" s="16" t="s">
        <v>17</v>
      </c>
      <c r="F378" s="186"/>
      <c r="G378" s="9">
        <v>7</v>
      </c>
      <c r="H378" s="9">
        <v>7</v>
      </c>
      <c r="I378" s="9">
        <v>11</v>
      </c>
      <c r="J378" s="9">
        <v>11</v>
      </c>
      <c r="K378" s="9">
        <f t="shared" si="10"/>
        <v>7</v>
      </c>
      <c r="L378" s="9">
        <v>7</v>
      </c>
      <c r="M378" s="9">
        <f t="shared" si="11"/>
        <v>11</v>
      </c>
      <c r="N378" s="9">
        <v>9</v>
      </c>
    </row>
    <row r="379" spans="1:14" ht="15" customHeight="1" x14ac:dyDescent="0.35">
      <c r="A379" s="185"/>
      <c r="B379" s="16" t="s">
        <v>22</v>
      </c>
      <c r="C379" s="17" t="s">
        <v>20</v>
      </c>
      <c r="D379" s="17">
        <v>1</v>
      </c>
      <c r="E379" s="16" t="s">
        <v>109</v>
      </c>
      <c r="F379" s="186"/>
      <c r="G379" s="9">
        <v>7</v>
      </c>
      <c r="H379" s="9">
        <v>7</v>
      </c>
      <c r="I379" s="9">
        <v>10</v>
      </c>
      <c r="J379" s="9">
        <v>10</v>
      </c>
      <c r="K379" s="9">
        <f t="shared" si="10"/>
        <v>7</v>
      </c>
      <c r="L379" s="9">
        <v>7</v>
      </c>
      <c r="M379" s="9">
        <f t="shared" si="11"/>
        <v>10</v>
      </c>
      <c r="N379" s="9">
        <v>8</v>
      </c>
    </row>
    <row r="380" spans="1:14" ht="15" customHeight="1" x14ac:dyDescent="0.35">
      <c r="A380" s="185"/>
      <c r="B380" s="18" t="s">
        <v>22</v>
      </c>
      <c r="C380" s="19" t="s">
        <v>20</v>
      </c>
      <c r="D380" s="19">
        <v>2</v>
      </c>
      <c r="E380" s="18" t="s">
        <v>17</v>
      </c>
      <c r="F380" s="186"/>
      <c r="G380" s="9">
        <v>7</v>
      </c>
      <c r="H380" s="9">
        <v>7</v>
      </c>
      <c r="I380" s="9">
        <v>12</v>
      </c>
      <c r="J380" s="9">
        <v>12</v>
      </c>
      <c r="K380" s="9">
        <f t="shared" si="10"/>
        <v>7</v>
      </c>
      <c r="L380" s="9">
        <v>7</v>
      </c>
      <c r="M380" s="9">
        <f t="shared" si="11"/>
        <v>12</v>
      </c>
      <c r="N380" s="9">
        <v>11</v>
      </c>
    </row>
    <row r="381" spans="1:14" ht="15" customHeight="1" x14ac:dyDescent="0.35">
      <c r="A381" s="185"/>
      <c r="B381" s="18" t="s">
        <v>22</v>
      </c>
      <c r="C381" s="19" t="s">
        <v>20</v>
      </c>
      <c r="D381" s="19">
        <v>2</v>
      </c>
      <c r="E381" s="18" t="s">
        <v>109</v>
      </c>
      <c r="F381" s="186"/>
      <c r="G381" s="9">
        <v>7</v>
      </c>
      <c r="H381" s="9">
        <v>7</v>
      </c>
      <c r="I381" s="9">
        <v>11</v>
      </c>
      <c r="J381" s="9">
        <v>11</v>
      </c>
      <c r="K381" s="9">
        <f t="shared" si="10"/>
        <v>7</v>
      </c>
      <c r="L381" s="9">
        <v>7</v>
      </c>
      <c r="M381" s="9">
        <f t="shared" si="11"/>
        <v>11</v>
      </c>
      <c r="N381" s="9">
        <v>9</v>
      </c>
    </row>
    <row r="382" spans="1:14" ht="15" customHeight="1" x14ac:dyDescent="0.35">
      <c r="A382" s="185"/>
      <c r="B382" s="16" t="s">
        <v>22</v>
      </c>
      <c r="C382" s="17" t="s">
        <v>20</v>
      </c>
      <c r="D382" s="17">
        <v>3</v>
      </c>
      <c r="E382" s="16" t="s">
        <v>17</v>
      </c>
      <c r="F382" s="186"/>
      <c r="G382" s="9">
        <v>7</v>
      </c>
      <c r="H382" s="9">
        <v>7</v>
      </c>
      <c r="I382" s="9">
        <v>11</v>
      </c>
      <c r="J382" s="9">
        <v>11</v>
      </c>
      <c r="K382" s="9">
        <f t="shared" si="10"/>
        <v>7</v>
      </c>
      <c r="L382" s="9">
        <v>7</v>
      </c>
      <c r="M382" s="9">
        <f t="shared" si="11"/>
        <v>11</v>
      </c>
      <c r="N382" s="9">
        <v>9</v>
      </c>
    </row>
    <row r="383" spans="1:14" ht="15" customHeight="1" x14ac:dyDescent="0.35">
      <c r="A383" s="185"/>
      <c r="B383" s="20" t="s">
        <v>22</v>
      </c>
      <c r="C383" s="21" t="s">
        <v>20</v>
      </c>
      <c r="D383" s="21">
        <v>3</v>
      </c>
      <c r="E383" s="20" t="s">
        <v>109</v>
      </c>
      <c r="F383" s="186"/>
      <c r="G383" s="22">
        <v>7</v>
      </c>
      <c r="H383" s="22">
        <v>7</v>
      </c>
      <c r="I383" s="22">
        <v>11</v>
      </c>
      <c r="J383" s="22">
        <v>11</v>
      </c>
      <c r="K383" s="95">
        <f t="shared" si="10"/>
        <v>7</v>
      </c>
      <c r="L383" s="22">
        <v>7</v>
      </c>
      <c r="M383" s="95">
        <f t="shared" si="11"/>
        <v>11</v>
      </c>
      <c r="N383" s="22">
        <v>9</v>
      </c>
    </row>
    <row r="384" spans="1:14" ht="15" customHeight="1" x14ac:dyDescent="0.35">
      <c r="A384" s="185" t="s">
        <v>29</v>
      </c>
      <c r="B384" s="7" t="s">
        <v>15</v>
      </c>
      <c r="C384" s="8" t="s">
        <v>16</v>
      </c>
      <c r="D384" s="8">
        <v>1</v>
      </c>
      <c r="E384" s="7" t="s">
        <v>17</v>
      </c>
      <c r="F384" s="186">
        <v>72</v>
      </c>
      <c r="G384" s="9">
        <v>7</v>
      </c>
      <c r="H384" s="9">
        <v>7</v>
      </c>
      <c r="I384" s="9">
        <v>10</v>
      </c>
      <c r="J384" s="9">
        <v>10</v>
      </c>
      <c r="K384" s="94">
        <f t="shared" si="10"/>
        <v>7</v>
      </c>
      <c r="L384" s="9">
        <v>6</v>
      </c>
      <c r="M384" s="9">
        <f t="shared" si="11"/>
        <v>10</v>
      </c>
      <c r="N384" s="9">
        <v>5</v>
      </c>
    </row>
    <row r="385" spans="1:14" ht="15" customHeight="1" x14ac:dyDescent="0.35">
      <c r="A385" s="185"/>
      <c r="B385" s="7" t="s">
        <v>15</v>
      </c>
      <c r="C385" s="8" t="s">
        <v>16</v>
      </c>
      <c r="D385" s="8">
        <v>1</v>
      </c>
      <c r="E385" s="7" t="s">
        <v>109</v>
      </c>
      <c r="F385" s="186"/>
      <c r="G385" s="9">
        <v>7</v>
      </c>
      <c r="H385" s="9">
        <v>7</v>
      </c>
      <c r="I385" s="9">
        <v>11</v>
      </c>
      <c r="J385" s="9">
        <v>11</v>
      </c>
      <c r="K385" s="9">
        <f t="shared" si="10"/>
        <v>7</v>
      </c>
      <c r="L385" s="9">
        <v>7</v>
      </c>
      <c r="M385" s="9">
        <f t="shared" si="11"/>
        <v>11</v>
      </c>
      <c r="N385" s="9">
        <v>11</v>
      </c>
    </row>
    <row r="386" spans="1:14" ht="15" customHeight="1" x14ac:dyDescent="0.35">
      <c r="A386" s="185"/>
      <c r="B386" s="10" t="s">
        <v>15</v>
      </c>
      <c r="C386" s="11" t="s">
        <v>16</v>
      </c>
      <c r="D386" s="11">
        <v>2</v>
      </c>
      <c r="E386" s="10" t="s">
        <v>17</v>
      </c>
      <c r="F386" s="186"/>
      <c r="G386" s="9">
        <v>7</v>
      </c>
      <c r="H386" s="9">
        <v>7</v>
      </c>
      <c r="I386" s="9">
        <v>10</v>
      </c>
      <c r="J386" s="9">
        <v>10</v>
      </c>
      <c r="K386" s="9">
        <f t="shared" si="10"/>
        <v>7</v>
      </c>
      <c r="L386" s="9">
        <v>7</v>
      </c>
      <c r="M386" s="9">
        <f t="shared" si="11"/>
        <v>10</v>
      </c>
      <c r="N386" s="9">
        <v>10</v>
      </c>
    </row>
    <row r="387" spans="1:14" ht="15" customHeight="1" x14ac:dyDescent="0.35">
      <c r="A387" s="185"/>
      <c r="B387" s="10" t="s">
        <v>15</v>
      </c>
      <c r="C387" s="11" t="s">
        <v>16</v>
      </c>
      <c r="D387" s="11">
        <v>2</v>
      </c>
      <c r="E387" s="10" t="s">
        <v>109</v>
      </c>
      <c r="F387" s="186"/>
      <c r="G387" s="9">
        <v>7</v>
      </c>
      <c r="H387" s="9">
        <v>7</v>
      </c>
      <c r="I387" s="9">
        <v>11</v>
      </c>
      <c r="J387" s="9">
        <v>11</v>
      </c>
      <c r="K387" s="9">
        <f t="shared" si="10"/>
        <v>7</v>
      </c>
      <c r="L387" s="9">
        <v>7</v>
      </c>
      <c r="M387" s="9">
        <f t="shared" si="11"/>
        <v>11</v>
      </c>
      <c r="N387" s="9">
        <v>11</v>
      </c>
    </row>
    <row r="388" spans="1:14" ht="15" customHeight="1" x14ac:dyDescent="0.35">
      <c r="A388" s="185"/>
      <c r="B388" s="7" t="s">
        <v>15</v>
      </c>
      <c r="C388" s="8" t="s">
        <v>16</v>
      </c>
      <c r="D388" s="8">
        <v>3</v>
      </c>
      <c r="E388" s="7" t="s">
        <v>17</v>
      </c>
      <c r="F388" s="186"/>
      <c r="G388" s="9">
        <v>7</v>
      </c>
      <c r="H388" s="9">
        <v>7</v>
      </c>
      <c r="I388" s="9">
        <v>10</v>
      </c>
      <c r="J388" s="9">
        <v>10</v>
      </c>
      <c r="K388" s="9">
        <f t="shared" si="10"/>
        <v>7</v>
      </c>
      <c r="L388" s="9">
        <v>6</v>
      </c>
      <c r="M388" s="9">
        <f t="shared" si="11"/>
        <v>10</v>
      </c>
      <c r="N388" s="9">
        <v>5</v>
      </c>
    </row>
    <row r="389" spans="1:14" ht="15" customHeight="1" x14ac:dyDescent="0.35">
      <c r="A389" s="185"/>
      <c r="B389" s="7" t="s">
        <v>15</v>
      </c>
      <c r="C389" s="8" t="s">
        <v>16</v>
      </c>
      <c r="D389" s="8">
        <v>3</v>
      </c>
      <c r="E389" s="7" t="s">
        <v>109</v>
      </c>
      <c r="F389" s="186"/>
      <c r="G389" s="9">
        <v>7</v>
      </c>
      <c r="H389" s="9">
        <v>7</v>
      </c>
      <c r="I389" s="9">
        <v>11</v>
      </c>
      <c r="J389" s="9">
        <v>11</v>
      </c>
      <c r="K389" s="9">
        <f t="shared" si="10"/>
        <v>7</v>
      </c>
      <c r="L389" s="9">
        <v>7</v>
      </c>
      <c r="M389" s="9">
        <f t="shared" si="11"/>
        <v>11</v>
      </c>
      <c r="N389" s="9">
        <v>11</v>
      </c>
    </row>
    <row r="390" spans="1:14" ht="15" customHeight="1" x14ac:dyDescent="0.35">
      <c r="A390" s="185"/>
      <c r="B390" s="10" t="s">
        <v>15</v>
      </c>
      <c r="C390" s="11" t="s">
        <v>19</v>
      </c>
      <c r="D390" s="11">
        <v>1</v>
      </c>
      <c r="E390" s="10" t="s">
        <v>17</v>
      </c>
      <c r="F390" s="186"/>
      <c r="G390" s="9">
        <v>7</v>
      </c>
      <c r="H390" s="9">
        <v>7</v>
      </c>
      <c r="I390" s="9">
        <v>10</v>
      </c>
      <c r="J390" s="9">
        <v>10</v>
      </c>
      <c r="K390" s="9">
        <f t="shared" si="10"/>
        <v>7</v>
      </c>
      <c r="L390" s="9">
        <v>6</v>
      </c>
      <c r="M390" s="9">
        <f t="shared" si="11"/>
        <v>10</v>
      </c>
      <c r="N390" s="9">
        <v>5</v>
      </c>
    </row>
    <row r="391" spans="1:14" ht="15" customHeight="1" x14ac:dyDescent="0.35">
      <c r="A391" s="185"/>
      <c r="B391" s="10" t="s">
        <v>15</v>
      </c>
      <c r="C391" s="11" t="s">
        <v>19</v>
      </c>
      <c r="D391" s="11">
        <v>1</v>
      </c>
      <c r="E391" s="10" t="s">
        <v>109</v>
      </c>
      <c r="F391" s="186"/>
      <c r="G391" s="9">
        <v>7</v>
      </c>
      <c r="H391" s="9">
        <v>7</v>
      </c>
      <c r="I391" s="9">
        <v>10</v>
      </c>
      <c r="J391" s="9">
        <v>10</v>
      </c>
      <c r="K391" s="9">
        <f t="shared" ref="K391:K454" si="12">G391</f>
        <v>7</v>
      </c>
      <c r="L391" s="9">
        <v>7</v>
      </c>
      <c r="M391" s="9">
        <f t="shared" ref="M391:M454" si="13">I391</f>
        <v>10</v>
      </c>
      <c r="N391" s="9">
        <v>10</v>
      </c>
    </row>
    <row r="392" spans="1:14" ht="15" customHeight="1" x14ac:dyDescent="0.35">
      <c r="A392" s="185"/>
      <c r="B392" s="7" t="s">
        <v>15</v>
      </c>
      <c r="C392" s="8" t="s">
        <v>19</v>
      </c>
      <c r="D392" s="8">
        <v>2</v>
      </c>
      <c r="E392" s="7" t="s">
        <v>17</v>
      </c>
      <c r="F392" s="186"/>
      <c r="G392" s="9">
        <v>7</v>
      </c>
      <c r="H392" s="9">
        <v>7</v>
      </c>
      <c r="I392" s="9">
        <v>11</v>
      </c>
      <c r="J392" s="9">
        <v>11</v>
      </c>
      <c r="K392" s="9">
        <f t="shared" si="12"/>
        <v>7</v>
      </c>
      <c r="L392" s="9">
        <v>7</v>
      </c>
      <c r="M392" s="9">
        <f t="shared" si="13"/>
        <v>11</v>
      </c>
      <c r="N392" s="9">
        <v>11</v>
      </c>
    </row>
    <row r="393" spans="1:14" ht="15" customHeight="1" x14ac:dyDescent="0.35">
      <c r="A393" s="185"/>
      <c r="B393" s="7" t="s">
        <v>15</v>
      </c>
      <c r="C393" s="8" t="s">
        <v>19</v>
      </c>
      <c r="D393" s="8">
        <v>2</v>
      </c>
      <c r="E393" s="7" t="s">
        <v>109</v>
      </c>
      <c r="F393" s="186"/>
      <c r="G393" s="9">
        <v>7</v>
      </c>
      <c r="H393" s="9">
        <v>7</v>
      </c>
      <c r="I393" s="9">
        <v>10</v>
      </c>
      <c r="J393" s="9">
        <v>10</v>
      </c>
      <c r="K393" s="9">
        <f t="shared" si="12"/>
        <v>7</v>
      </c>
      <c r="L393" s="9">
        <v>7</v>
      </c>
      <c r="M393" s="9">
        <f t="shared" si="13"/>
        <v>10</v>
      </c>
      <c r="N393" s="9">
        <v>10</v>
      </c>
    </row>
    <row r="394" spans="1:14" ht="15" customHeight="1" x14ac:dyDescent="0.35">
      <c r="A394" s="185"/>
      <c r="B394" s="10" t="s">
        <v>15</v>
      </c>
      <c r="C394" s="11" t="s">
        <v>19</v>
      </c>
      <c r="D394" s="11">
        <v>3</v>
      </c>
      <c r="E394" s="10" t="s">
        <v>17</v>
      </c>
      <c r="F394" s="186"/>
      <c r="G394" s="9">
        <v>7</v>
      </c>
      <c r="H394" s="9">
        <v>7</v>
      </c>
      <c r="I394" s="9">
        <v>10</v>
      </c>
      <c r="J394" s="9">
        <v>10</v>
      </c>
      <c r="K394" s="9">
        <f t="shared" si="12"/>
        <v>7</v>
      </c>
      <c r="L394" s="9">
        <v>6</v>
      </c>
      <c r="M394" s="9">
        <f t="shared" si="13"/>
        <v>10</v>
      </c>
      <c r="N394" s="9">
        <v>5</v>
      </c>
    </row>
    <row r="395" spans="1:14" ht="15" customHeight="1" x14ac:dyDescent="0.35">
      <c r="A395" s="185"/>
      <c r="B395" s="10" t="s">
        <v>15</v>
      </c>
      <c r="C395" s="11" t="s">
        <v>19</v>
      </c>
      <c r="D395" s="11">
        <v>3</v>
      </c>
      <c r="E395" s="10" t="s">
        <v>109</v>
      </c>
      <c r="F395" s="186"/>
      <c r="G395" s="9">
        <v>7</v>
      </c>
      <c r="H395" s="9">
        <v>7</v>
      </c>
      <c r="I395" s="9">
        <v>10</v>
      </c>
      <c r="J395" s="9">
        <v>10</v>
      </c>
      <c r="K395" s="9">
        <f t="shared" si="12"/>
        <v>7</v>
      </c>
      <c r="L395" s="9">
        <v>7</v>
      </c>
      <c r="M395" s="9">
        <f t="shared" si="13"/>
        <v>10</v>
      </c>
      <c r="N395" s="9">
        <v>10</v>
      </c>
    </row>
    <row r="396" spans="1:14" ht="15" customHeight="1" x14ac:dyDescent="0.35">
      <c r="A396" s="185"/>
      <c r="B396" s="7" t="s">
        <v>15</v>
      </c>
      <c r="C396" s="8" t="s">
        <v>20</v>
      </c>
      <c r="D396" s="8">
        <v>1</v>
      </c>
      <c r="E396" s="7" t="s">
        <v>17</v>
      </c>
      <c r="F396" s="186"/>
      <c r="G396" s="9">
        <v>7</v>
      </c>
      <c r="H396" s="9">
        <v>7</v>
      </c>
      <c r="I396" s="9">
        <v>10</v>
      </c>
      <c r="J396" s="9">
        <v>10</v>
      </c>
      <c r="K396" s="9">
        <f t="shared" si="12"/>
        <v>7</v>
      </c>
      <c r="L396" s="9">
        <v>7</v>
      </c>
      <c r="M396" s="9">
        <f t="shared" si="13"/>
        <v>10</v>
      </c>
      <c r="N396" s="9">
        <v>10</v>
      </c>
    </row>
    <row r="397" spans="1:14" ht="15" customHeight="1" x14ac:dyDescent="0.35">
      <c r="A397" s="185"/>
      <c r="B397" s="7" t="s">
        <v>15</v>
      </c>
      <c r="C397" s="8" t="s">
        <v>20</v>
      </c>
      <c r="D397" s="8">
        <v>1</v>
      </c>
      <c r="E397" s="7" t="s">
        <v>109</v>
      </c>
      <c r="F397" s="186"/>
      <c r="G397" s="9">
        <v>9</v>
      </c>
      <c r="H397" s="9">
        <v>9</v>
      </c>
      <c r="I397" s="9">
        <v>14</v>
      </c>
      <c r="J397" s="9">
        <v>14</v>
      </c>
      <c r="K397" s="9">
        <f t="shared" si="12"/>
        <v>9</v>
      </c>
      <c r="L397" s="9">
        <v>7</v>
      </c>
      <c r="M397" s="9">
        <f t="shared" si="13"/>
        <v>14</v>
      </c>
      <c r="N397" s="9">
        <v>6</v>
      </c>
    </row>
    <row r="398" spans="1:14" ht="15" customHeight="1" x14ac:dyDescent="0.35">
      <c r="A398" s="185"/>
      <c r="B398" s="10" t="s">
        <v>15</v>
      </c>
      <c r="C398" s="11" t="s">
        <v>20</v>
      </c>
      <c r="D398" s="11">
        <v>2</v>
      </c>
      <c r="E398" s="10" t="s">
        <v>17</v>
      </c>
      <c r="F398" s="186"/>
      <c r="G398" s="9">
        <v>7</v>
      </c>
      <c r="H398" s="9">
        <v>7</v>
      </c>
      <c r="I398" s="9">
        <v>10</v>
      </c>
      <c r="J398" s="9">
        <v>10</v>
      </c>
      <c r="K398" s="9">
        <f t="shared" si="12"/>
        <v>7</v>
      </c>
      <c r="L398" s="9">
        <v>6</v>
      </c>
      <c r="M398" s="9">
        <f t="shared" si="13"/>
        <v>10</v>
      </c>
      <c r="N398" s="9">
        <v>5</v>
      </c>
    </row>
    <row r="399" spans="1:14" ht="15" customHeight="1" x14ac:dyDescent="0.35">
      <c r="A399" s="185"/>
      <c r="B399" s="10" t="s">
        <v>15</v>
      </c>
      <c r="C399" s="11" t="s">
        <v>20</v>
      </c>
      <c r="D399" s="11">
        <v>2</v>
      </c>
      <c r="E399" s="10" t="s">
        <v>109</v>
      </c>
      <c r="F399" s="186"/>
      <c r="G399" s="9">
        <v>7</v>
      </c>
      <c r="H399" s="9">
        <v>7</v>
      </c>
      <c r="I399" s="9">
        <v>11</v>
      </c>
      <c r="J399" s="9">
        <v>11</v>
      </c>
      <c r="K399" s="9">
        <f t="shared" si="12"/>
        <v>7</v>
      </c>
      <c r="L399" s="9">
        <v>7</v>
      </c>
      <c r="M399" s="9">
        <f t="shared" si="13"/>
        <v>11</v>
      </c>
      <c r="N399" s="9">
        <v>11</v>
      </c>
    </row>
    <row r="400" spans="1:14" ht="15" customHeight="1" x14ac:dyDescent="0.35">
      <c r="A400" s="185"/>
      <c r="B400" s="7" t="s">
        <v>15</v>
      </c>
      <c r="C400" s="8" t="s">
        <v>20</v>
      </c>
      <c r="D400" s="8">
        <v>3</v>
      </c>
      <c r="E400" s="7" t="s">
        <v>17</v>
      </c>
      <c r="F400" s="186"/>
      <c r="G400" s="9">
        <v>7</v>
      </c>
      <c r="H400" s="9">
        <v>7</v>
      </c>
      <c r="I400" s="9">
        <v>10</v>
      </c>
      <c r="J400" s="9">
        <v>10</v>
      </c>
      <c r="K400" s="9">
        <f t="shared" si="12"/>
        <v>7</v>
      </c>
      <c r="L400" s="9">
        <v>7</v>
      </c>
      <c r="M400" s="9">
        <f t="shared" si="13"/>
        <v>10</v>
      </c>
      <c r="N400" s="9">
        <v>10</v>
      </c>
    </row>
    <row r="401" spans="1:14" ht="15" customHeight="1" x14ac:dyDescent="0.35">
      <c r="A401" s="185"/>
      <c r="B401" s="7" t="s">
        <v>15</v>
      </c>
      <c r="C401" s="8" t="s">
        <v>20</v>
      </c>
      <c r="D401" s="8">
        <v>3</v>
      </c>
      <c r="E401" s="7" t="s">
        <v>109</v>
      </c>
      <c r="F401" s="186"/>
      <c r="G401" s="9">
        <v>7</v>
      </c>
      <c r="H401" s="9">
        <v>7</v>
      </c>
      <c r="I401" s="9">
        <v>10</v>
      </c>
      <c r="J401" s="9">
        <v>10</v>
      </c>
      <c r="K401" s="9">
        <f t="shared" si="12"/>
        <v>7</v>
      </c>
      <c r="L401" s="9">
        <v>7</v>
      </c>
      <c r="M401" s="9">
        <f t="shared" si="13"/>
        <v>10</v>
      </c>
      <c r="N401" s="9">
        <v>10</v>
      </c>
    </row>
    <row r="402" spans="1:14" ht="15" customHeight="1" x14ac:dyDescent="0.35">
      <c r="A402" s="185"/>
      <c r="B402" s="12" t="s">
        <v>21</v>
      </c>
      <c r="C402" s="13" t="s">
        <v>16</v>
      </c>
      <c r="D402" s="13">
        <v>1</v>
      </c>
      <c r="E402" s="12" t="s">
        <v>17</v>
      </c>
      <c r="F402" s="186"/>
      <c r="G402" s="9">
        <v>7</v>
      </c>
      <c r="H402" s="9">
        <v>7</v>
      </c>
      <c r="I402" s="9">
        <v>10</v>
      </c>
      <c r="J402" s="9">
        <v>10</v>
      </c>
      <c r="K402" s="9">
        <f t="shared" si="12"/>
        <v>7</v>
      </c>
      <c r="L402" s="9">
        <v>6</v>
      </c>
      <c r="M402" s="9">
        <f t="shared" si="13"/>
        <v>10</v>
      </c>
      <c r="N402" s="9">
        <v>9</v>
      </c>
    </row>
    <row r="403" spans="1:14" ht="15" customHeight="1" x14ac:dyDescent="0.35">
      <c r="A403" s="185"/>
      <c r="B403" s="12" t="s">
        <v>21</v>
      </c>
      <c r="C403" s="13" t="s">
        <v>16</v>
      </c>
      <c r="D403" s="13">
        <v>1</v>
      </c>
      <c r="E403" s="12" t="s">
        <v>109</v>
      </c>
      <c r="F403" s="186"/>
      <c r="G403" s="9">
        <v>7</v>
      </c>
      <c r="H403" s="9">
        <v>7</v>
      </c>
      <c r="I403" s="9">
        <v>10</v>
      </c>
      <c r="J403" s="9">
        <v>10</v>
      </c>
      <c r="K403" s="9">
        <f t="shared" si="12"/>
        <v>7</v>
      </c>
      <c r="L403" s="9">
        <v>7</v>
      </c>
      <c r="M403" s="9">
        <f t="shared" si="13"/>
        <v>10</v>
      </c>
      <c r="N403" s="9">
        <v>10</v>
      </c>
    </row>
    <row r="404" spans="1:14" ht="15" customHeight="1" x14ac:dyDescent="0.35">
      <c r="A404" s="185"/>
      <c r="B404" s="14" t="s">
        <v>21</v>
      </c>
      <c r="C404" s="15" t="s">
        <v>16</v>
      </c>
      <c r="D404" s="15">
        <v>2</v>
      </c>
      <c r="E404" s="14" t="s">
        <v>17</v>
      </c>
      <c r="F404" s="186"/>
      <c r="G404" s="9">
        <v>7</v>
      </c>
      <c r="H404" s="9">
        <v>7</v>
      </c>
      <c r="I404" s="9">
        <v>10</v>
      </c>
      <c r="J404" s="9">
        <v>10</v>
      </c>
      <c r="K404" s="9">
        <f t="shared" si="12"/>
        <v>7</v>
      </c>
      <c r="L404" s="9">
        <v>6</v>
      </c>
      <c r="M404" s="9">
        <f t="shared" si="13"/>
        <v>10</v>
      </c>
      <c r="N404" s="9">
        <v>9</v>
      </c>
    </row>
    <row r="405" spans="1:14" ht="15" customHeight="1" x14ac:dyDescent="0.35">
      <c r="A405" s="185"/>
      <c r="B405" s="14" t="s">
        <v>21</v>
      </c>
      <c r="C405" s="15" t="s">
        <v>16</v>
      </c>
      <c r="D405" s="15">
        <v>2</v>
      </c>
      <c r="E405" s="14" t="s">
        <v>109</v>
      </c>
      <c r="F405" s="186"/>
      <c r="G405" s="9">
        <v>7</v>
      </c>
      <c r="H405" s="9">
        <v>7</v>
      </c>
      <c r="I405" s="9">
        <v>10</v>
      </c>
      <c r="J405" s="9">
        <v>10</v>
      </c>
      <c r="K405" s="9">
        <f t="shared" si="12"/>
        <v>7</v>
      </c>
      <c r="L405" s="9">
        <v>7</v>
      </c>
      <c r="M405" s="9">
        <f t="shared" si="13"/>
        <v>10</v>
      </c>
      <c r="N405" s="9">
        <v>10</v>
      </c>
    </row>
    <row r="406" spans="1:14" ht="15" customHeight="1" x14ac:dyDescent="0.35">
      <c r="A406" s="185"/>
      <c r="B406" s="12" t="s">
        <v>21</v>
      </c>
      <c r="C406" s="13" t="s">
        <v>16</v>
      </c>
      <c r="D406" s="13">
        <v>3</v>
      </c>
      <c r="E406" s="12" t="s">
        <v>17</v>
      </c>
      <c r="F406" s="186"/>
      <c r="G406" s="9">
        <v>7</v>
      </c>
      <c r="H406" s="9">
        <v>7</v>
      </c>
      <c r="I406" s="9">
        <v>10</v>
      </c>
      <c r="J406" s="9">
        <v>10</v>
      </c>
      <c r="K406" s="9">
        <f t="shared" si="12"/>
        <v>7</v>
      </c>
      <c r="L406" s="9">
        <v>6</v>
      </c>
      <c r="M406" s="9">
        <f t="shared" si="13"/>
        <v>10</v>
      </c>
      <c r="N406" s="9">
        <v>9</v>
      </c>
    </row>
    <row r="407" spans="1:14" ht="15" customHeight="1" x14ac:dyDescent="0.35">
      <c r="A407" s="185"/>
      <c r="B407" s="12" t="s">
        <v>21</v>
      </c>
      <c r="C407" s="13" t="s">
        <v>16</v>
      </c>
      <c r="D407" s="13">
        <v>3</v>
      </c>
      <c r="E407" s="12" t="s">
        <v>109</v>
      </c>
      <c r="F407" s="186"/>
      <c r="G407" s="9">
        <v>7</v>
      </c>
      <c r="H407" s="9">
        <v>7</v>
      </c>
      <c r="I407" s="9">
        <v>10</v>
      </c>
      <c r="J407" s="9">
        <v>10</v>
      </c>
      <c r="K407" s="9">
        <f t="shared" si="12"/>
        <v>7</v>
      </c>
      <c r="L407" s="9">
        <v>7</v>
      </c>
      <c r="M407" s="9">
        <f t="shared" si="13"/>
        <v>10</v>
      </c>
      <c r="N407" s="9">
        <v>10</v>
      </c>
    </row>
    <row r="408" spans="1:14" ht="15" customHeight="1" x14ac:dyDescent="0.35">
      <c r="A408" s="185"/>
      <c r="B408" s="14" t="s">
        <v>21</v>
      </c>
      <c r="C408" s="15" t="s">
        <v>19</v>
      </c>
      <c r="D408" s="15">
        <v>1</v>
      </c>
      <c r="E408" s="14" t="s">
        <v>17</v>
      </c>
      <c r="F408" s="186"/>
      <c r="G408" s="9">
        <v>7</v>
      </c>
      <c r="H408" s="9">
        <v>4</v>
      </c>
      <c r="I408" s="9">
        <v>10</v>
      </c>
      <c r="J408" s="9">
        <v>10</v>
      </c>
      <c r="K408" s="9">
        <f t="shared" si="12"/>
        <v>7</v>
      </c>
      <c r="L408" s="9">
        <v>3</v>
      </c>
      <c r="M408" s="9">
        <f t="shared" si="13"/>
        <v>10</v>
      </c>
      <c r="N408" s="9">
        <v>9</v>
      </c>
    </row>
    <row r="409" spans="1:14" ht="15" customHeight="1" x14ac:dyDescent="0.35">
      <c r="A409" s="185"/>
      <c r="B409" s="14" t="s">
        <v>21</v>
      </c>
      <c r="C409" s="15" t="s">
        <v>19</v>
      </c>
      <c r="D409" s="15">
        <v>1</v>
      </c>
      <c r="E409" s="14" t="s">
        <v>109</v>
      </c>
      <c r="F409" s="186"/>
      <c r="G409" s="9">
        <v>8</v>
      </c>
      <c r="H409" s="97">
        <v>8</v>
      </c>
      <c r="I409" s="9">
        <v>11</v>
      </c>
      <c r="J409" s="9">
        <v>11</v>
      </c>
      <c r="K409" s="9">
        <f t="shared" si="12"/>
        <v>8</v>
      </c>
      <c r="L409" s="9">
        <v>5</v>
      </c>
      <c r="M409" s="9">
        <f t="shared" si="13"/>
        <v>11</v>
      </c>
      <c r="N409" s="9">
        <v>6</v>
      </c>
    </row>
    <row r="410" spans="1:14" ht="15" customHeight="1" x14ac:dyDescent="0.35">
      <c r="A410" s="185"/>
      <c r="B410" s="12" t="s">
        <v>21</v>
      </c>
      <c r="C410" s="13" t="s">
        <v>19</v>
      </c>
      <c r="D410" s="13">
        <v>2</v>
      </c>
      <c r="E410" s="12" t="s">
        <v>17</v>
      </c>
      <c r="F410" s="186"/>
      <c r="G410" s="9">
        <v>7</v>
      </c>
      <c r="H410" s="9">
        <v>4</v>
      </c>
      <c r="I410" s="9">
        <v>10</v>
      </c>
      <c r="J410" s="9">
        <v>10</v>
      </c>
      <c r="K410" s="9">
        <f t="shared" si="12"/>
        <v>7</v>
      </c>
      <c r="L410" s="9">
        <v>3</v>
      </c>
      <c r="M410" s="9">
        <f t="shared" si="13"/>
        <v>10</v>
      </c>
      <c r="N410" s="9">
        <v>9</v>
      </c>
    </row>
    <row r="411" spans="1:14" ht="15" customHeight="1" x14ac:dyDescent="0.35">
      <c r="A411" s="185"/>
      <c r="B411" s="12" t="s">
        <v>21</v>
      </c>
      <c r="C411" s="13" t="s">
        <v>19</v>
      </c>
      <c r="D411" s="13">
        <v>2</v>
      </c>
      <c r="E411" s="12" t="s">
        <v>109</v>
      </c>
      <c r="F411" s="186"/>
      <c r="G411" s="9">
        <v>9</v>
      </c>
      <c r="H411" s="97">
        <v>8</v>
      </c>
      <c r="I411" s="9">
        <v>11</v>
      </c>
      <c r="J411" s="9">
        <v>11</v>
      </c>
      <c r="K411" s="9">
        <f t="shared" si="12"/>
        <v>9</v>
      </c>
      <c r="L411" s="9">
        <v>5</v>
      </c>
      <c r="M411" s="9">
        <f t="shared" si="13"/>
        <v>11</v>
      </c>
      <c r="N411" s="9">
        <v>6</v>
      </c>
    </row>
    <row r="412" spans="1:14" ht="15" customHeight="1" x14ac:dyDescent="0.35">
      <c r="A412" s="185"/>
      <c r="B412" s="14" t="s">
        <v>21</v>
      </c>
      <c r="C412" s="15" t="s">
        <v>19</v>
      </c>
      <c r="D412" s="15">
        <v>3</v>
      </c>
      <c r="E412" s="14" t="s">
        <v>17</v>
      </c>
      <c r="F412" s="186"/>
      <c r="G412" s="9">
        <v>7</v>
      </c>
      <c r="H412" s="9">
        <v>7</v>
      </c>
      <c r="I412" s="9">
        <v>10</v>
      </c>
      <c r="J412" s="9">
        <v>10</v>
      </c>
      <c r="K412" s="9">
        <f t="shared" si="12"/>
        <v>7</v>
      </c>
      <c r="L412" s="9">
        <v>6</v>
      </c>
      <c r="M412" s="9">
        <f t="shared" si="13"/>
        <v>10</v>
      </c>
      <c r="N412" s="9">
        <v>9</v>
      </c>
    </row>
    <row r="413" spans="1:14" ht="15" customHeight="1" x14ac:dyDescent="0.35">
      <c r="A413" s="185"/>
      <c r="B413" s="14" t="s">
        <v>21</v>
      </c>
      <c r="C413" s="15" t="s">
        <v>19</v>
      </c>
      <c r="D413" s="15">
        <v>3</v>
      </c>
      <c r="E413" s="14" t="s">
        <v>109</v>
      </c>
      <c r="F413" s="186"/>
      <c r="G413" s="9">
        <v>9</v>
      </c>
      <c r="H413" s="97">
        <v>8</v>
      </c>
      <c r="I413" s="9">
        <v>11</v>
      </c>
      <c r="J413" s="9">
        <v>11</v>
      </c>
      <c r="K413" s="9">
        <f t="shared" si="12"/>
        <v>9</v>
      </c>
      <c r="L413" s="9">
        <v>5</v>
      </c>
      <c r="M413" s="9">
        <f t="shared" si="13"/>
        <v>11</v>
      </c>
      <c r="N413" s="9">
        <v>6</v>
      </c>
    </row>
    <row r="414" spans="1:14" ht="15" customHeight="1" x14ac:dyDescent="0.35">
      <c r="A414" s="185"/>
      <c r="B414" s="12" t="s">
        <v>21</v>
      </c>
      <c r="C414" s="13" t="s">
        <v>20</v>
      </c>
      <c r="D414" s="13">
        <v>1</v>
      </c>
      <c r="E414" s="12" t="s">
        <v>17</v>
      </c>
      <c r="F414" s="186"/>
      <c r="G414" s="9">
        <v>11</v>
      </c>
      <c r="H414" s="9">
        <v>4</v>
      </c>
      <c r="I414" s="9">
        <v>12</v>
      </c>
      <c r="J414" s="9">
        <v>12</v>
      </c>
      <c r="K414" s="9">
        <f t="shared" si="12"/>
        <v>11</v>
      </c>
      <c r="L414" s="9">
        <v>4</v>
      </c>
      <c r="M414" s="9">
        <f t="shared" si="13"/>
        <v>12</v>
      </c>
      <c r="N414" s="9">
        <v>6</v>
      </c>
    </row>
    <row r="415" spans="1:14" ht="15" customHeight="1" x14ac:dyDescent="0.35">
      <c r="A415" s="185"/>
      <c r="B415" s="12" t="s">
        <v>21</v>
      </c>
      <c r="C415" s="13" t="s">
        <v>20</v>
      </c>
      <c r="D415" s="13">
        <v>1</v>
      </c>
      <c r="E415" s="12" t="s">
        <v>109</v>
      </c>
      <c r="F415" s="186"/>
      <c r="G415" s="9">
        <v>7</v>
      </c>
      <c r="H415" s="9">
        <v>7</v>
      </c>
      <c r="I415" s="9">
        <v>10</v>
      </c>
      <c r="J415" s="9">
        <v>10</v>
      </c>
      <c r="K415" s="9">
        <f t="shared" si="12"/>
        <v>7</v>
      </c>
      <c r="L415" s="9">
        <v>7</v>
      </c>
      <c r="M415" s="9">
        <f t="shared" si="13"/>
        <v>10</v>
      </c>
      <c r="N415" s="9">
        <v>10</v>
      </c>
    </row>
    <row r="416" spans="1:14" ht="15" customHeight="1" x14ac:dyDescent="0.35">
      <c r="A416" s="185"/>
      <c r="B416" s="14" t="s">
        <v>21</v>
      </c>
      <c r="C416" s="15" t="s">
        <v>20</v>
      </c>
      <c r="D416" s="15">
        <v>2</v>
      </c>
      <c r="E416" s="14" t="s">
        <v>17</v>
      </c>
      <c r="F416" s="186"/>
      <c r="G416" s="9">
        <v>7</v>
      </c>
      <c r="H416" s="9">
        <v>4</v>
      </c>
      <c r="I416" s="9">
        <v>3</v>
      </c>
      <c r="J416" s="9">
        <v>3</v>
      </c>
      <c r="K416" s="9">
        <f t="shared" si="12"/>
        <v>7</v>
      </c>
      <c r="L416" s="9">
        <v>3</v>
      </c>
      <c r="M416" s="9">
        <f t="shared" si="13"/>
        <v>3</v>
      </c>
      <c r="N416" s="9">
        <v>3</v>
      </c>
    </row>
    <row r="417" spans="1:14" ht="15" customHeight="1" x14ac:dyDescent="0.35">
      <c r="A417" s="185"/>
      <c r="B417" s="14" t="s">
        <v>21</v>
      </c>
      <c r="C417" s="15" t="s">
        <v>20</v>
      </c>
      <c r="D417" s="15">
        <v>2</v>
      </c>
      <c r="E417" s="14" t="s">
        <v>109</v>
      </c>
      <c r="F417" s="186"/>
      <c r="G417" s="9">
        <v>7</v>
      </c>
      <c r="H417" s="9">
        <v>7</v>
      </c>
      <c r="I417" s="9">
        <v>10</v>
      </c>
      <c r="J417" s="9">
        <v>10</v>
      </c>
      <c r="K417" s="9">
        <f t="shared" si="12"/>
        <v>7</v>
      </c>
      <c r="L417" s="9">
        <v>7</v>
      </c>
      <c r="M417" s="9">
        <f t="shared" si="13"/>
        <v>10</v>
      </c>
      <c r="N417" s="9">
        <v>10</v>
      </c>
    </row>
    <row r="418" spans="1:14" ht="15" customHeight="1" x14ac:dyDescent="0.35">
      <c r="A418" s="185"/>
      <c r="B418" s="12" t="s">
        <v>21</v>
      </c>
      <c r="C418" s="13" t="s">
        <v>20</v>
      </c>
      <c r="D418" s="13">
        <v>3</v>
      </c>
      <c r="E418" s="12" t="s">
        <v>17</v>
      </c>
      <c r="F418" s="186"/>
      <c r="G418" s="9">
        <v>7</v>
      </c>
      <c r="H418" s="9">
        <v>7</v>
      </c>
      <c r="I418" s="9">
        <v>10</v>
      </c>
      <c r="J418" s="9">
        <v>10</v>
      </c>
      <c r="K418" s="9">
        <f t="shared" si="12"/>
        <v>7</v>
      </c>
      <c r="L418" s="9">
        <v>6</v>
      </c>
      <c r="M418" s="9">
        <f t="shared" si="13"/>
        <v>10</v>
      </c>
      <c r="N418" s="9">
        <v>9</v>
      </c>
    </row>
    <row r="419" spans="1:14" ht="15" customHeight="1" x14ac:dyDescent="0.35">
      <c r="A419" s="185"/>
      <c r="B419" s="12" t="s">
        <v>21</v>
      </c>
      <c r="C419" s="13" t="s">
        <v>20</v>
      </c>
      <c r="D419" s="13">
        <v>3</v>
      </c>
      <c r="E419" s="12" t="s">
        <v>109</v>
      </c>
      <c r="F419" s="186"/>
      <c r="G419" s="9">
        <v>9</v>
      </c>
      <c r="H419" s="97">
        <v>8</v>
      </c>
      <c r="I419" s="9">
        <v>11</v>
      </c>
      <c r="J419" s="9">
        <v>10</v>
      </c>
      <c r="K419" s="9">
        <f t="shared" si="12"/>
        <v>9</v>
      </c>
      <c r="L419" s="9">
        <v>5</v>
      </c>
      <c r="M419" s="9">
        <f t="shared" si="13"/>
        <v>11</v>
      </c>
      <c r="N419" s="9">
        <v>6</v>
      </c>
    </row>
    <row r="420" spans="1:14" ht="15" customHeight="1" x14ac:dyDescent="0.35">
      <c r="A420" s="185"/>
      <c r="B420" s="16" t="s">
        <v>22</v>
      </c>
      <c r="C420" s="17" t="s">
        <v>16</v>
      </c>
      <c r="D420" s="17">
        <v>1</v>
      </c>
      <c r="E420" s="16" t="s">
        <v>17</v>
      </c>
      <c r="F420" s="186"/>
      <c r="G420" s="9">
        <v>7</v>
      </c>
      <c r="H420" s="9">
        <v>7</v>
      </c>
      <c r="I420" s="9">
        <v>10</v>
      </c>
      <c r="J420" s="9">
        <v>10</v>
      </c>
      <c r="K420" s="9">
        <f t="shared" si="12"/>
        <v>7</v>
      </c>
      <c r="L420" s="9">
        <v>7</v>
      </c>
      <c r="M420" s="9">
        <f t="shared" si="13"/>
        <v>10</v>
      </c>
      <c r="N420" s="9">
        <v>10</v>
      </c>
    </row>
    <row r="421" spans="1:14" ht="15" customHeight="1" x14ac:dyDescent="0.35">
      <c r="A421" s="185"/>
      <c r="B421" s="16" t="s">
        <v>22</v>
      </c>
      <c r="C421" s="17" t="s">
        <v>16</v>
      </c>
      <c r="D421" s="17">
        <v>1</v>
      </c>
      <c r="E421" s="16" t="s">
        <v>109</v>
      </c>
      <c r="F421" s="186"/>
      <c r="G421" s="9">
        <v>7</v>
      </c>
      <c r="H421" s="9">
        <v>7</v>
      </c>
      <c r="I421" s="9">
        <v>11</v>
      </c>
      <c r="J421" s="9">
        <v>11</v>
      </c>
      <c r="K421" s="9">
        <f t="shared" si="12"/>
        <v>7</v>
      </c>
      <c r="L421" s="9">
        <v>7</v>
      </c>
      <c r="M421" s="9">
        <f t="shared" si="13"/>
        <v>11</v>
      </c>
      <c r="N421" s="9">
        <v>11</v>
      </c>
    </row>
    <row r="422" spans="1:14" ht="15" customHeight="1" x14ac:dyDescent="0.35">
      <c r="A422" s="185"/>
      <c r="B422" s="18" t="s">
        <v>22</v>
      </c>
      <c r="C422" s="19" t="s">
        <v>16</v>
      </c>
      <c r="D422" s="19">
        <v>2</v>
      </c>
      <c r="E422" s="18" t="s">
        <v>17</v>
      </c>
      <c r="F422" s="186"/>
      <c r="G422" s="9">
        <v>8</v>
      </c>
      <c r="H422" s="9">
        <v>8</v>
      </c>
      <c r="I422" s="9">
        <v>11</v>
      </c>
      <c r="J422" s="9">
        <v>11</v>
      </c>
      <c r="K422" s="9">
        <f t="shared" si="12"/>
        <v>8</v>
      </c>
      <c r="L422" s="9">
        <v>7</v>
      </c>
      <c r="M422" s="9">
        <f t="shared" si="13"/>
        <v>11</v>
      </c>
      <c r="N422" s="9">
        <v>6</v>
      </c>
    </row>
    <row r="423" spans="1:14" ht="15" customHeight="1" x14ac:dyDescent="0.35">
      <c r="A423" s="185"/>
      <c r="B423" s="18" t="s">
        <v>22</v>
      </c>
      <c r="C423" s="19" t="s">
        <v>16</v>
      </c>
      <c r="D423" s="19">
        <v>2</v>
      </c>
      <c r="E423" s="18" t="s">
        <v>109</v>
      </c>
      <c r="F423" s="186"/>
      <c r="G423" s="9">
        <v>7</v>
      </c>
      <c r="H423" s="9">
        <v>7</v>
      </c>
      <c r="I423" s="9">
        <v>10</v>
      </c>
      <c r="J423" s="9">
        <v>10</v>
      </c>
      <c r="K423" s="9">
        <f t="shared" si="12"/>
        <v>7</v>
      </c>
      <c r="L423" s="9">
        <v>7</v>
      </c>
      <c r="M423" s="9">
        <f t="shared" si="13"/>
        <v>10</v>
      </c>
      <c r="N423" s="9">
        <v>10</v>
      </c>
    </row>
    <row r="424" spans="1:14" ht="15" customHeight="1" x14ac:dyDescent="0.35">
      <c r="A424" s="185"/>
      <c r="B424" s="16" t="s">
        <v>22</v>
      </c>
      <c r="C424" s="17" t="s">
        <v>16</v>
      </c>
      <c r="D424" s="17">
        <v>3</v>
      </c>
      <c r="E424" s="16" t="s">
        <v>17</v>
      </c>
      <c r="F424" s="186"/>
      <c r="G424" s="9">
        <v>7</v>
      </c>
      <c r="H424" s="9">
        <v>7</v>
      </c>
      <c r="I424" s="9">
        <v>10</v>
      </c>
      <c r="J424" s="9">
        <v>10</v>
      </c>
      <c r="K424" s="9">
        <f t="shared" si="12"/>
        <v>7</v>
      </c>
      <c r="L424" s="9">
        <v>7</v>
      </c>
      <c r="M424" s="9">
        <f t="shared" si="13"/>
        <v>10</v>
      </c>
      <c r="N424" s="9">
        <v>10</v>
      </c>
    </row>
    <row r="425" spans="1:14" ht="15" customHeight="1" x14ac:dyDescent="0.35">
      <c r="A425" s="185"/>
      <c r="B425" s="16" t="s">
        <v>22</v>
      </c>
      <c r="C425" s="17" t="s">
        <v>16</v>
      </c>
      <c r="D425" s="17">
        <v>3</v>
      </c>
      <c r="E425" s="16" t="s">
        <v>109</v>
      </c>
      <c r="F425" s="186"/>
      <c r="G425" s="9">
        <v>7</v>
      </c>
      <c r="H425" s="9">
        <v>7</v>
      </c>
      <c r="I425" s="9">
        <v>11</v>
      </c>
      <c r="J425" s="9">
        <v>11</v>
      </c>
      <c r="K425" s="9">
        <f t="shared" si="12"/>
        <v>7</v>
      </c>
      <c r="L425" s="9">
        <v>7</v>
      </c>
      <c r="M425" s="9">
        <f t="shared" si="13"/>
        <v>11</v>
      </c>
      <c r="N425" s="9">
        <v>11</v>
      </c>
    </row>
    <row r="426" spans="1:14" ht="15" customHeight="1" x14ac:dyDescent="0.35">
      <c r="A426" s="185"/>
      <c r="B426" s="18" t="s">
        <v>22</v>
      </c>
      <c r="C426" s="19" t="s">
        <v>19</v>
      </c>
      <c r="D426" s="19">
        <v>1</v>
      </c>
      <c r="E426" s="18" t="s">
        <v>17</v>
      </c>
      <c r="F426" s="186"/>
      <c r="G426" s="9">
        <v>8</v>
      </c>
      <c r="H426" s="9">
        <v>8</v>
      </c>
      <c r="I426" s="9">
        <v>10</v>
      </c>
      <c r="J426" s="9">
        <v>10</v>
      </c>
      <c r="K426" s="9">
        <f t="shared" si="12"/>
        <v>8</v>
      </c>
      <c r="L426" s="9">
        <v>7</v>
      </c>
      <c r="M426" s="9">
        <f t="shared" si="13"/>
        <v>10</v>
      </c>
      <c r="N426" s="9">
        <v>10</v>
      </c>
    </row>
    <row r="427" spans="1:14" ht="15" customHeight="1" x14ac:dyDescent="0.35">
      <c r="A427" s="185"/>
      <c r="B427" s="18" t="s">
        <v>22</v>
      </c>
      <c r="C427" s="19" t="s">
        <v>19</v>
      </c>
      <c r="D427" s="19">
        <v>1</v>
      </c>
      <c r="E427" s="18" t="s">
        <v>109</v>
      </c>
      <c r="F427" s="186"/>
      <c r="G427" s="9">
        <v>7</v>
      </c>
      <c r="H427" s="9">
        <v>7</v>
      </c>
      <c r="I427" s="9">
        <v>11</v>
      </c>
      <c r="J427" s="9">
        <v>11</v>
      </c>
      <c r="K427" s="9">
        <f t="shared" si="12"/>
        <v>7</v>
      </c>
      <c r="L427" s="9">
        <v>7</v>
      </c>
      <c r="M427" s="9">
        <f t="shared" si="13"/>
        <v>11</v>
      </c>
      <c r="N427" s="9">
        <v>11</v>
      </c>
    </row>
    <row r="428" spans="1:14" ht="15" customHeight="1" x14ac:dyDescent="0.35">
      <c r="A428" s="185"/>
      <c r="B428" s="16" t="s">
        <v>22</v>
      </c>
      <c r="C428" s="17" t="s">
        <v>19</v>
      </c>
      <c r="D428" s="17">
        <v>2</v>
      </c>
      <c r="E428" s="16" t="s">
        <v>17</v>
      </c>
      <c r="F428" s="186"/>
      <c r="G428" s="9">
        <v>7</v>
      </c>
      <c r="H428" s="9">
        <v>7</v>
      </c>
      <c r="I428" s="9">
        <v>10</v>
      </c>
      <c r="J428" s="9">
        <v>10</v>
      </c>
      <c r="K428" s="9">
        <f t="shared" si="12"/>
        <v>7</v>
      </c>
      <c r="L428" s="9">
        <v>7</v>
      </c>
      <c r="M428" s="9">
        <f t="shared" si="13"/>
        <v>10</v>
      </c>
      <c r="N428" s="9">
        <v>10</v>
      </c>
    </row>
    <row r="429" spans="1:14" ht="15" customHeight="1" x14ac:dyDescent="0.35">
      <c r="A429" s="185"/>
      <c r="B429" s="16" t="s">
        <v>22</v>
      </c>
      <c r="C429" s="17" t="s">
        <v>19</v>
      </c>
      <c r="D429" s="17">
        <v>2</v>
      </c>
      <c r="E429" s="16" t="s">
        <v>109</v>
      </c>
      <c r="F429" s="186"/>
      <c r="G429" s="9">
        <v>7</v>
      </c>
      <c r="H429" s="9">
        <v>7</v>
      </c>
      <c r="I429" s="9">
        <v>10</v>
      </c>
      <c r="J429" s="9">
        <v>10</v>
      </c>
      <c r="K429" s="9">
        <f t="shared" si="12"/>
        <v>7</v>
      </c>
      <c r="L429" s="9">
        <v>7</v>
      </c>
      <c r="M429" s="9">
        <f t="shared" si="13"/>
        <v>10</v>
      </c>
      <c r="N429" s="9">
        <v>10</v>
      </c>
    </row>
    <row r="430" spans="1:14" ht="15" customHeight="1" x14ac:dyDescent="0.35">
      <c r="A430" s="185"/>
      <c r="B430" s="18" t="s">
        <v>22</v>
      </c>
      <c r="C430" s="19" t="s">
        <v>19</v>
      </c>
      <c r="D430" s="19">
        <v>3</v>
      </c>
      <c r="E430" s="18" t="s">
        <v>17</v>
      </c>
      <c r="F430" s="186"/>
      <c r="G430" s="9">
        <v>8</v>
      </c>
      <c r="H430" s="9">
        <v>8</v>
      </c>
      <c r="I430" s="9">
        <v>11</v>
      </c>
      <c r="J430" s="9">
        <v>11</v>
      </c>
      <c r="K430" s="9">
        <f t="shared" si="12"/>
        <v>8</v>
      </c>
      <c r="L430" s="9">
        <v>7</v>
      </c>
      <c r="M430" s="9">
        <f t="shared" si="13"/>
        <v>11</v>
      </c>
      <c r="N430" s="9">
        <v>6</v>
      </c>
    </row>
    <row r="431" spans="1:14" ht="15" customHeight="1" x14ac:dyDescent="0.35">
      <c r="A431" s="185"/>
      <c r="B431" s="18" t="s">
        <v>22</v>
      </c>
      <c r="C431" s="19" t="s">
        <v>19</v>
      </c>
      <c r="D431" s="19">
        <v>3</v>
      </c>
      <c r="E431" s="18" t="s">
        <v>109</v>
      </c>
      <c r="F431" s="186"/>
      <c r="G431" s="9">
        <v>7</v>
      </c>
      <c r="H431" s="9">
        <v>7</v>
      </c>
      <c r="I431" s="9">
        <v>8</v>
      </c>
      <c r="J431" s="9">
        <v>8</v>
      </c>
      <c r="K431" s="9">
        <f t="shared" si="12"/>
        <v>7</v>
      </c>
      <c r="L431" s="9">
        <v>7</v>
      </c>
      <c r="M431" s="9">
        <f t="shared" si="13"/>
        <v>8</v>
      </c>
      <c r="N431" s="9">
        <v>8</v>
      </c>
    </row>
    <row r="432" spans="1:14" ht="15" customHeight="1" x14ac:dyDescent="0.35">
      <c r="A432" s="185"/>
      <c r="B432" s="16" t="s">
        <v>22</v>
      </c>
      <c r="C432" s="17" t="s">
        <v>20</v>
      </c>
      <c r="D432" s="17">
        <v>1</v>
      </c>
      <c r="E432" s="16" t="s">
        <v>17</v>
      </c>
      <c r="F432" s="186"/>
      <c r="G432" s="9">
        <v>8</v>
      </c>
      <c r="H432" s="9">
        <v>8</v>
      </c>
      <c r="I432" s="9">
        <v>10</v>
      </c>
      <c r="J432" s="9">
        <v>10</v>
      </c>
      <c r="K432" s="9">
        <f t="shared" si="12"/>
        <v>8</v>
      </c>
      <c r="L432" s="9">
        <v>7</v>
      </c>
      <c r="M432" s="9">
        <f t="shared" si="13"/>
        <v>10</v>
      </c>
      <c r="N432" s="9">
        <v>10</v>
      </c>
    </row>
    <row r="433" spans="1:14" ht="15" customHeight="1" x14ac:dyDescent="0.35">
      <c r="A433" s="185"/>
      <c r="B433" s="16" t="s">
        <v>22</v>
      </c>
      <c r="C433" s="17" t="s">
        <v>20</v>
      </c>
      <c r="D433" s="17">
        <v>1</v>
      </c>
      <c r="E433" s="16" t="s">
        <v>109</v>
      </c>
      <c r="F433" s="186"/>
      <c r="G433" s="9">
        <v>7</v>
      </c>
      <c r="H433" s="9">
        <v>7</v>
      </c>
      <c r="I433" s="9">
        <v>10</v>
      </c>
      <c r="J433" s="9">
        <v>10</v>
      </c>
      <c r="K433" s="9">
        <f t="shared" si="12"/>
        <v>7</v>
      </c>
      <c r="L433" s="9">
        <v>7</v>
      </c>
      <c r="M433" s="9">
        <f t="shared" si="13"/>
        <v>10</v>
      </c>
      <c r="N433" s="9">
        <v>10</v>
      </c>
    </row>
    <row r="434" spans="1:14" ht="15" customHeight="1" x14ac:dyDescent="0.35">
      <c r="A434" s="185"/>
      <c r="B434" s="18" t="s">
        <v>22</v>
      </c>
      <c r="C434" s="19" t="s">
        <v>20</v>
      </c>
      <c r="D434" s="19">
        <v>2</v>
      </c>
      <c r="E434" s="18" t="s">
        <v>17</v>
      </c>
      <c r="F434" s="186"/>
      <c r="G434" s="9">
        <v>7</v>
      </c>
      <c r="H434" s="9">
        <v>7</v>
      </c>
      <c r="I434" s="9">
        <v>10</v>
      </c>
      <c r="J434" s="9">
        <v>10</v>
      </c>
      <c r="K434" s="9">
        <f t="shared" si="12"/>
        <v>7</v>
      </c>
      <c r="L434" s="9">
        <v>7</v>
      </c>
      <c r="M434" s="9">
        <f t="shared" si="13"/>
        <v>10</v>
      </c>
      <c r="N434" s="9">
        <v>10</v>
      </c>
    </row>
    <row r="435" spans="1:14" ht="15" customHeight="1" thickBot="1" x14ac:dyDescent="0.4">
      <c r="A435" s="185"/>
      <c r="B435" s="18" t="s">
        <v>22</v>
      </c>
      <c r="C435" s="19" t="s">
        <v>20</v>
      </c>
      <c r="D435" s="19">
        <v>2</v>
      </c>
      <c r="E435" s="18" t="s">
        <v>109</v>
      </c>
      <c r="F435" s="186"/>
      <c r="G435" s="9">
        <v>7</v>
      </c>
      <c r="H435" s="9">
        <v>7</v>
      </c>
      <c r="I435" s="9">
        <v>11</v>
      </c>
      <c r="J435" s="9">
        <v>11</v>
      </c>
      <c r="K435" s="9">
        <f t="shared" si="12"/>
        <v>7</v>
      </c>
      <c r="L435" s="9">
        <v>7</v>
      </c>
      <c r="M435" s="9">
        <f t="shared" si="13"/>
        <v>11</v>
      </c>
      <c r="N435" s="9">
        <v>11</v>
      </c>
    </row>
    <row r="436" spans="1:14" ht="15" customHeight="1" thickBot="1" x14ac:dyDescent="0.4">
      <c r="A436" s="185"/>
      <c r="B436" s="16" t="s">
        <v>22</v>
      </c>
      <c r="C436" s="17" t="s">
        <v>20</v>
      </c>
      <c r="D436" s="17">
        <v>3</v>
      </c>
      <c r="E436" s="16" t="s">
        <v>17</v>
      </c>
      <c r="F436" s="186"/>
      <c r="G436" s="9">
        <v>7</v>
      </c>
      <c r="H436" s="9">
        <v>7</v>
      </c>
      <c r="I436" s="9">
        <v>10</v>
      </c>
      <c r="J436" s="9">
        <v>10</v>
      </c>
      <c r="K436" s="93">
        <f t="shared" si="12"/>
        <v>7</v>
      </c>
      <c r="L436" s="93">
        <v>7</v>
      </c>
      <c r="M436" s="93">
        <f t="shared" si="13"/>
        <v>10</v>
      </c>
      <c r="N436" s="9">
        <v>10</v>
      </c>
    </row>
    <row r="437" spans="1:14" ht="15" customHeight="1" thickBot="1" x14ac:dyDescent="0.4">
      <c r="A437" s="185"/>
      <c r="B437" s="20" t="s">
        <v>22</v>
      </c>
      <c r="C437" s="21" t="s">
        <v>20</v>
      </c>
      <c r="D437" s="21">
        <v>3</v>
      </c>
      <c r="E437" s="20" t="s">
        <v>109</v>
      </c>
      <c r="F437" s="186"/>
      <c r="G437" s="22">
        <v>7</v>
      </c>
      <c r="H437" s="22">
        <v>7</v>
      </c>
      <c r="I437" s="22">
        <v>10</v>
      </c>
      <c r="J437" s="90">
        <v>10</v>
      </c>
      <c r="K437" s="98">
        <f t="shared" si="12"/>
        <v>7</v>
      </c>
      <c r="L437" s="98">
        <v>7</v>
      </c>
      <c r="M437" s="98">
        <f t="shared" si="13"/>
        <v>10</v>
      </c>
      <c r="N437" s="92">
        <v>10</v>
      </c>
    </row>
    <row r="438" spans="1:14" ht="15" customHeight="1" thickBot="1" x14ac:dyDescent="0.4">
      <c r="A438" s="185" t="s">
        <v>30</v>
      </c>
      <c r="B438" s="7" t="s">
        <v>15</v>
      </c>
      <c r="C438" s="8" t="s">
        <v>16</v>
      </c>
      <c r="D438" s="8">
        <v>1</v>
      </c>
      <c r="E438" s="7" t="s">
        <v>17</v>
      </c>
      <c r="F438" s="186">
        <v>65</v>
      </c>
      <c r="G438" s="9">
        <v>9</v>
      </c>
      <c r="H438" s="9">
        <v>9</v>
      </c>
      <c r="I438" s="9">
        <v>12</v>
      </c>
      <c r="J438" s="9">
        <v>12</v>
      </c>
      <c r="K438" s="94">
        <f t="shared" si="12"/>
        <v>9</v>
      </c>
      <c r="L438" s="94">
        <v>9</v>
      </c>
      <c r="M438" s="94">
        <f t="shared" si="13"/>
        <v>12</v>
      </c>
      <c r="N438" s="9">
        <v>9</v>
      </c>
    </row>
    <row r="439" spans="1:14" ht="15" customHeight="1" x14ac:dyDescent="0.35">
      <c r="A439" s="185"/>
      <c r="B439" s="7" t="s">
        <v>15</v>
      </c>
      <c r="C439" s="8" t="s">
        <v>16</v>
      </c>
      <c r="D439" s="8">
        <v>1</v>
      </c>
      <c r="E439" s="7" t="s">
        <v>109</v>
      </c>
      <c r="F439" s="186"/>
      <c r="G439" s="9">
        <v>9</v>
      </c>
      <c r="H439" s="9">
        <v>9</v>
      </c>
      <c r="I439" s="9">
        <v>12</v>
      </c>
      <c r="J439" s="9">
        <v>12</v>
      </c>
      <c r="K439" s="9">
        <f t="shared" si="12"/>
        <v>9</v>
      </c>
      <c r="L439" s="9">
        <v>9</v>
      </c>
      <c r="M439" s="9">
        <f t="shared" si="13"/>
        <v>12</v>
      </c>
      <c r="N439" s="9">
        <v>9</v>
      </c>
    </row>
    <row r="440" spans="1:14" ht="15" customHeight="1" x14ac:dyDescent="0.35">
      <c r="A440" s="185"/>
      <c r="B440" s="10" t="s">
        <v>15</v>
      </c>
      <c r="C440" s="11" t="s">
        <v>16</v>
      </c>
      <c r="D440" s="11">
        <v>2</v>
      </c>
      <c r="E440" s="10" t="s">
        <v>17</v>
      </c>
      <c r="F440" s="186"/>
      <c r="G440" s="9">
        <v>9</v>
      </c>
      <c r="H440" s="9">
        <v>9</v>
      </c>
      <c r="I440" s="9">
        <v>12</v>
      </c>
      <c r="J440" s="9">
        <v>12</v>
      </c>
      <c r="K440" s="9">
        <f t="shared" si="12"/>
        <v>9</v>
      </c>
      <c r="L440" s="9">
        <v>9</v>
      </c>
      <c r="M440" s="9">
        <f t="shared" si="13"/>
        <v>12</v>
      </c>
      <c r="N440" s="9">
        <v>9</v>
      </c>
    </row>
    <row r="441" spans="1:14" ht="15" customHeight="1" x14ac:dyDescent="0.35">
      <c r="A441" s="185"/>
      <c r="B441" s="10" t="s">
        <v>15</v>
      </c>
      <c r="C441" s="11" t="s">
        <v>16</v>
      </c>
      <c r="D441" s="11">
        <v>2</v>
      </c>
      <c r="E441" s="10" t="s">
        <v>109</v>
      </c>
      <c r="F441" s="186"/>
      <c r="G441" s="9">
        <v>9</v>
      </c>
      <c r="H441" s="9">
        <v>9</v>
      </c>
      <c r="I441" s="9">
        <v>12</v>
      </c>
      <c r="J441" s="9">
        <v>12</v>
      </c>
      <c r="K441" s="9">
        <f t="shared" si="12"/>
        <v>9</v>
      </c>
      <c r="L441" s="9">
        <v>9</v>
      </c>
      <c r="M441" s="9">
        <f t="shared" si="13"/>
        <v>12</v>
      </c>
      <c r="N441" s="9">
        <v>9</v>
      </c>
    </row>
    <row r="442" spans="1:14" ht="15" customHeight="1" x14ac:dyDescent="0.35">
      <c r="A442" s="185"/>
      <c r="B442" s="7" t="s">
        <v>15</v>
      </c>
      <c r="C442" s="8" t="s">
        <v>16</v>
      </c>
      <c r="D442" s="8">
        <v>3</v>
      </c>
      <c r="E442" s="7" t="s">
        <v>17</v>
      </c>
      <c r="F442" s="186"/>
      <c r="G442" s="9">
        <v>9</v>
      </c>
      <c r="H442" s="9">
        <v>9</v>
      </c>
      <c r="I442" s="9">
        <v>12</v>
      </c>
      <c r="J442" s="9">
        <v>12</v>
      </c>
      <c r="K442" s="9">
        <f t="shared" si="12"/>
        <v>9</v>
      </c>
      <c r="L442" s="9">
        <v>9</v>
      </c>
      <c r="M442" s="9">
        <f t="shared" si="13"/>
        <v>12</v>
      </c>
      <c r="N442" s="9">
        <v>9</v>
      </c>
    </row>
    <row r="443" spans="1:14" ht="15" customHeight="1" x14ac:dyDescent="0.35">
      <c r="A443" s="185"/>
      <c r="B443" s="7" t="s">
        <v>15</v>
      </c>
      <c r="C443" s="8" t="s">
        <v>16</v>
      </c>
      <c r="D443" s="8">
        <v>3</v>
      </c>
      <c r="E443" s="7" t="s">
        <v>109</v>
      </c>
      <c r="F443" s="186"/>
      <c r="G443" s="9">
        <v>9</v>
      </c>
      <c r="H443" s="9">
        <v>9</v>
      </c>
      <c r="I443" s="9">
        <v>12</v>
      </c>
      <c r="J443" s="9">
        <v>12</v>
      </c>
      <c r="K443" s="9">
        <f t="shared" si="12"/>
        <v>9</v>
      </c>
      <c r="L443" s="9">
        <v>9</v>
      </c>
      <c r="M443" s="9">
        <f t="shared" si="13"/>
        <v>12</v>
      </c>
      <c r="N443" s="9">
        <v>9</v>
      </c>
    </row>
    <row r="444" spans="1:14" ht="15" customHeight="1" x14ac:dyDescent="0.35">
      <c r="A444" s="185"/>
      <c r="B444" s="10" t="s">
        <v>15</v>
      </c>
      <c r="C444" s="11" t="s">
        <v>19</v>
      </c>
      <c r="D444" s="11">
        <v>1</v>
      </c>
      <c r="E444" s="10" t="s">
        <v>17</v>
      </c>
      <c r="F444" s="186"/>
      <c r="G444" s="9">
        <v>9</v>
      </c>
      <c r="H444" s="9">
        <v>9</v>
      </c>
      <c r="I444" s="9">
        <v>12</v>
      </c>
      <c r="J444" s="9">
        <v>12</v>
      </c>
      <c r="K444" s="9">
        <f>G444</f>
        <v>9</v>
      </c>
      <c r="L444" s="9">
        <v>9</v>
      </c>
      <c r="M444" s="9">
        <f t="shared" si="13"/>
        <v>12</v>
      </c>
      <c r="N444" s="9">
        <v>9</v>
      </c>
    </row>
    <row r="445" spans="1:14" ht="15" customHeight="1" x14ac:dyDescent="0.35">
      <c r="A445" s="185"/>
      <c r="B445" s="10" t="s">
        <v>15</v>
      </c>
      <c r="C445" s="11" t="s">
        <v>19</v>
      </c>
      <c r="D445" s="11">
        <v>1</v>
      </c>
      <c r="E445" s="10" t="s">
        <v>109</v>
      </c>
      <c r="F445" s="186"/>
      <c r="G445" s="9">
        <v>9</v>
      </c>
      <c r="H445" s="9">
        <v>9</v>
      </c>
      <c r="I445" s="9">
        <v>12</v>
      </c>
      <c r="J445" s="9">
        <v>12</v>
      </c>
      <c r="K445" s="9">
        <f t="shared" si="12"/>
        <v>9</v>
      </c>
      <c r="L445" s="9">
        <v>9</v>
      </c>
      <c r="M445" s="9">
        <f t="shared" si="13"/>
        <v>12</v>
      </c>
      <c r="N445" s="9">
        <v>9</v>
      </c>
    </row>
    <row r="446" spans="1:14" ht="15" customHeight="1" x14ac:dyDescent="0.35">
      <c r="A446" s="185"/>
      <c r="B446" s="7" t="s">
        <v>15</v>
      </c>
      <c r="C446" s="8" t="s">
        <v>19</v>
      </c>
      <c r="D446" s="8">
        <v>2</v>
      </c>
      <c r="E446" s="7" t="s">
        <v>17</v>
      </c>
      <c r="F446" s="186"/>
      <c r="G446" s="9">
        <v>9</v>
      </c>
      <c r="H446" s="9">
        <v>9</v>
      </c>
      <c r="I446" s="9">
        <v>16</v>
      </c>
      <c r="J446" s="9">
        <v>16</v>
      </c>
      <c r="K446" s="9">
        <f t="shared" si="12"/>
        <v>9</v>
      </c>
      <c r="L446" s="9">
        <v>9</v>
      </c>
      <c r="M446" s="9">
        <f t="shared" si="13"/>
        <v>16</v>
      </c>
      <c r="N446" s="9">
        <v>10</v>
      </c>
    </row>
    <row r="447" spans="1:14" ht="15" customHeight="1" x14ac:dyDescent="0.35">
      <c r="A447" s="185"/>
      <c r="B447" s="7" t="s">
        <v>15</v>
      </c>
      <c r="C447" s="8" t="s">
        <v>19</v>
      </c>
      <c r="D447" s="8">
        <v>2</v>
      </c>
      <c r="E447" s="7" t="s">
        <v>109</v>
      </c>
      <c r="F447" s="186"/>
      <c r="G447" s="9">
        <v>9</v>
      </c>
      <c r="H447" s="9">
        <v>9</v>
      </c>
      <c r="I447" s="9">
        <v>12</v>
      </c>
      <c r="J447" s="9">
        <v>12</v>
      </c>
      <c r="K447" s="9">
        <f t="shared" si="12"/>
        <v>9</v>
      </c>
      <c r="L447" s="9">
        <v>9</v>
      </c>
      <c r="M447" s="9">
        <f t="shared" si="13"/>
        <v>12</v>
      </c>
      <c r="N447" s="9">
        <v>9</v>
      </c>
    </row>
    <row r="448" spans="1:14" ht="15" customHeight="1" x14ac:dyDescent="0.35">
      <c r="A448" s="185"/>
      <c r="B448" s="10" t="s">
        <v>15</v>
      </c>
      <c r="C448" s="11" t="s">
        <v>19</v>
      </c>
      <c r="D448" s="11">
        <v>3</v>
      </c>
      <c r="E448" s="10" t="s">
        <v>17</v>
      </c>
      <c r="F448" s="186"/>
      <c r="G448" s="9">
        <v>9</v>
      </c>
      <c r="H448" s="9">
        <v>9</v>
      </c>
      <c r="I448" s="9">
        <v>12</v>
      </c>
      <c r="J448" s="9">
        <v>12</v>
      </c>
      <c r="K448" s="9">
        <f t="shared" si="12"/>
        <v>9</v>
      </c>
      <c r="L448" s="9">
        <v>9</v>
      </c>
      <c r="M448" s="9">
        <f t="shared" si="13"/>
        <v>12</v>
      </c>
      <c r="N448" s="9">
        <v>9</v>
      </c>
    </row>
    <row r="449" spans="1:14" ht="15" customHeight="1" x14ac:dyDescent="0.35">
      <c r="A449" s="185"/>
      <c r="B449" s="10" t="s">
        <v>15</v>
      </c>
      <c r="C449" s="11" t="s">
        <v>19</v>
      </c>
      <c r="D449" s="11">
        <v>3</v>
      </c>
      <c r="E449" s="10" t="s">
        <v>109</v>
      </c>
      <c r="F449" s="186"/>
      <c r="G449" s="9">
        <v>9</v>
      </c>
      <c r="H449" s="9">
        <v>9</v>
      </c>
      <c r="I449" s="9">
        <v>12</v>
      </c>
      <c r="J449" s="9">
        <v>12</v>
      </c>
      <c r="K449" s="9">
        <f t="shared" si="12"/>
        <v>9</v>
      </c>
      <c r="L449" s="9">
        <v>9</v>
      </c>
      <c r="M449" s="9">
        <f t="shared" si="13"/>
        <v>12</v>
      </c>
      <c r="N449" s="9">
        <v>9</v>
      </c>
    </row>
    <row r="450" spans="1:14" ht="15" customHeight="1" x14ac:dyDescent="0.35">
      <c r="A450" s="185"/>
      <c r="B450" s="7" t="s">
        <v>15</v>
      </c>
      <c r="C450" s="8" t="s">
        <v>20</v>
      </c>
      <c r="D450" s="8">
        <v>1</v>
      </c>
      <c r="E450" s="7" t="s">
        <v>17</v>
      </c>
      <c r="F450" s="186"/>
      <c r="G450" s="9">
        <v>9</v>
      </c>
      <c r="H450" s="9">
        <v>9</v>
      </c>
      <c r="I450" s="9">
        <v>12</v>
      </c>
      <c r="J450" s="9">
        <v>12</v>
      </c>
      <c r="K450" s="9">
        <f t="shared" si="12"/>
        <v>9</v>
      </c>
      <c r="L450" s="9">
        <v>9</v>
      </c>
      <c r="M450" s="9">
        <f t="shared" si="13"/>
        <v>12</v>
      </c>
      <c r="N450" s="9">
        <v>9</v>
      </c>
    </row>
    <row r="451" spans="1:14" ht="15" customHeight="1" x14ac:dyDescent="0.35">
      <c r="A451" s="185"/>
      <c r="B451" s="7" t="s">
        <v>15</v>
      </c>
      <c r="C451" s="8" t="s">
        <v>20</v>
      </c>
      <c r="D451" s="8">
        <v>1</v>
      </c>
      <c r="E451" s="7" t="s">
        <v>109</v>
      </c>
      <c r="F451" s="186"/>
      <c r="G451" s="9">
        <v>9</v>
      </c>
      <c r="H451" s="9">
        <v>9</v>
      </c>
      <c r="I451" s="9">
        <v>12</v>
      </c>
      <c r="J451" s="9">
        <v>12</v>
      </c>
      <c r="K451" s="9">
        <f t="shared" si="12"/>
        <v>9</v>
      </c>
      <c r="L451" s="9">
        <v>9</v>
      </c>
      <c r="M451" s="9">
        <f t="shared" si="13"/>
        <v>12</v>
      </c>
      <c r="N451" s="9">
        <v>9</v>
      </c>
    </row>
    <row r="452" spans="1:14" ht="15" customHeight="1" x14ac:dyDescent="0.35">
      <c r="A452" s="185"/>
      <c r="B452" s="10" t="s">
        <v>15</v>
      </c>
      <c r="C452" s="11" t="s">
        <v>20</v>
      </c>
      <c r="D452" s="11">
        <v>2</v>
      </c>
      <c r="E452" s="10" t="s">
        <v>17</v>
      </c>
      <c r="F452" s="186"/>
      <c r="G452" s="9">
        <v>9</v>
      </c>
      <c r="H452" s="9">
        <v>9</v>
      </c>
      <c r="I452" s="9">
        <v>12</v>
      </c>
      <c r="J452" s="9">
        <v>12</v>
      </c>
      <c r="K452" s="9">
        <f t="shared" si="12"/>
        <v>9</v>
      </c>
      <c r="L452" s="9">
        <v>9</v>
      </c>
      <c r="M452" s="9">
        <f t="shared" si="13"/>
        <v>12</v>
      </c>
      <c r="N452" s="9">
        <v>10</v>
      </c>
    </row>
    <row r="453" spans="1:14" ht="15" customHeight="1" x14ac:dyDescent="0.35">
      <c r="A453" s="185"/>
      <c r="B453" s="10" t="s">
        <v>15</v>
      </c>
      <c r="C453" s="11" t="s">
        <v>20</v>
      </c>
      <c r="D453" s="11">
        <v>2</v>
      </c>
      <c r="E453" s="10" t="s">
        <v>109</v>
      </c>
      <c r="F453" s="186"/>
      <c r="G453" s="9">
        <v>9</v>
      </c>
      <c r="H453" s="9">
        <v>9</v>
      </c>
      <c r="I453" s="9">
        <v>16</v>
      </c>
      <c r="J453" s="9">
        <v>16</v>
      </c>
      <c r="K453" s="9">
        <f>G453</f>
        <v>9</v>
      </c>
      <c r="L453" s="9">
        <v>9</v>
      </c>
      <c r="M453" s="9">
        <f t="shared" si="13"/>
        <v>16</v>
      </c>
      <c r="N453" s="9">
        <v>9</v>
      </c>
    </row>
    <row r="454" spans="1:14" ht="15" customHeight="1" x14ac:dyDescent="0.35">
      <c r="A454" s="185"/>
      <c r="B454" s="7" t="s">
        <v>15</v>
      </c>
      <c r="C454" s="8" t="s">
        <v>20</v>
      </c>
      <c r="D454" s="8">
        <v>3</v>
      </c>
      <c r="E454" s="7" t="s">
        <v>17</v>
      </c>
      <c r="F454" s="186"/>
      <c r="G454" s="9">
        <v>9</v>
      </c>
      <c r="H454" s="9">
        <v>9</v>
      </c>
      <c r="I454" s="9">
        <v>12</v>
      </c>
      <c r="J454" s="9">
        <v>12</v>
      </c>
      <c r="K454" s="9">
        <f t="shared" si="12"/>
        <v>9</v>
      </c>
      <c r="L454" s="9">
        <v>9</v>
      </c>
      <c r="M454" s="9">
        <f t="shared" si="13"/>
        <v>12</v>
      </c>
      <c r="N454" s="9">
        <v>9</v>
      </c>
    </row>
    <row r="455" spans="1:14" ht="15" customHeight="1" x14ac:dyDescent="0.35">
      <c r="A455" s="185"/>
      <c r="B455" s="7" t="s">
        <v>15</v>
      </c>
      <c r="C455" s="8" t="s">
        <v>20</v>
      </c>
      <c r="D455" s="8">
        <v>3</v>
      </c>
      <c r="E455" s="7" t="s">
        <v>109</v>
      </c>
      <c r="F455" s="186"/>
      <c r="G455" s="9">
        <v>9</v>
      </c>
      <c r="H455" s="9">
        <v>9</v>
      </c>
      <c r="I455" s="9">
        <v>12</v>
      </c>
      <c r="J455" s="9">
        <v>12</v>
      </c>
      <c r="K455" s="9">
        <f t="shared" ref="K455:K518" si="14">G455</f>
        <v>9</v>
      </c>
      <c r="L455" s="9">
        <v>9</v>
      </c>
      <c r="M455" s="9">
        <f t="shared" ref="M455:M518" si="15">I455</f>
        <v>12</v>
      </c>
      <c r="N455" s="9">
        <v>9</v>
      </c>
    </row>
    <row r="456" spans="1:14" ht="15" customHeight="1" x14ac:dyDescent="0.35">
      <c r="A456" s="185"/>
      <c r="B456" s="12" t="s">
        <v>21</v>
      </c>
      <c r="C456" s="13" t="s">
        <v>16</v>
      </c>
      <c r="D456" s="13">
        <v>1</v>
      </c>
      <c r="E456" s="12" t="s">
        <v>17</v>
      </c>
      <c r="F456" s="186"/>
      <c r="G456" s="9">
        <v>9</v>
      </c>
      <c r="H456" s="9">
        <v>9</v>
      </c>
      <c r="I456" s="9">
        <v>16</v>
      </c>
      <c r="J456" s="9">
        <v>16</v>
      </c>
      <c r="K456" s="9">
        <f t="shared" si="14"/>
        <v>9</v>
      </c>
      <c r="L456" s="9">
        <v>9</v>
      </c>
      <c r="M456" s="9">
        <f t="shared" si="15"/>
        <v>16</v>
      </c>
      <c r="N456" s="9">
        <v>10</v>
      </c>
    </row>
    <row r="457" spans="1:14" ht="15" customHeight="1" x14ac:dyDescent="0.35">
      <c r="A457" s="185"/>
      <c r="B457" s="12" t="s">
        <v>21</v>
      </c>
      <c r="C457" s="13" t="s">
        <v>16</v>
      </c>
      <c r="D457" s="13">
        <v>1</v>
      </c>
      <c r="E457" s="12" t="s">
        <v>109</v>
      </c>
      <c r="F457" s="186"/>
      <c r="G457" s="9">
        <v>9</v>
      </c>
      <c r="H457" s="9">
        <v>8</v>
      </c>
      <c r="I457" s="9">
        <v>16</v>
      </c>
      <c r="J457" s="9">
        <v>16</v>
      </c>
      <c r="K457" s="9">
        <f t="shared" si="14"/>
        <v>9</v>
      </c>
      <c r="L457" s="9">
        <v>8</v>
      </c>
      <c r="M457" s="9">
        <f t="shared" si="15"/>
        <v>16</v>
      </c>
      <c r="N457" s="9">
        <v>8</v>
      </c>
    </row>
    <row r="458" spans="1:14" ht="15" customHeight="1" x14ac:dyDescent="0.35">
      <c r="A458" s="185"/>
      <c r="B458" s="14" t="s">
        <v>21</v>
      </c>
      <c r="C458" s="15" t="s">
        <v>16</v>
      </c>
      <c r="D458" s="15">
        <v>2</v>
      </c>
      <c r="E458" s="14" t="s">
        <v>17</v>
      </c>
      <c r="F458" s="186"/>
      <c r="G458" s="9">
        <v>9</v>
      </c>
      <c r="H458" s="9">
        <v>9</v>
      </c>
      <c r="I458" s="9">
        <v>12</v>
      </c>
      <c r="J458" s="9">
        <v>12</v>
      </c>
      <c r="K458" s="9">
        <f t="shared" si="14"/>
        <v>9</v>
      </c>
      <c r="L458" s="9">
        <v>9</v>
      </c>
      <c r="M458" s="9">
        <f t="shared" si="15"/>
        <v>12</v>
      </c>
      <c r="N458" s="9">
        <v>8</v>
      </c>
    </row>
    <row r="459" spans="1:14" ht="15" customHeight="1" x14ac:dyDescent="0.35">
      <c r="A459" s="185"/>
      <c r="B459" s="14" t="s">
        <v>21</v>
      </c>
      <c r="C459" s="15" t="s">
        <v>16</v>
      </c>
      <c r="D459" s="15">
        <v>2</v>
      </c>
      <c r="E459" s="14" t="s">
        <v>109</v>
      </c>
      <c r="F459" s="186"/>
      <c r="G459" s="9">
        <v>9</v>
      </c>
      <c r="H459" s="9">
        <v>8</v>
      </c>
      <c r="I459" s="9">
        <v>7</v>
      </c>
      <c r="J459" s="9">
        <v>7</v>
      </c>
      <c r="K459" s="9">
        <f t="shared" si="14"/>
        <v>9</v>
      </c>
      <c r="L459" s="9">
        <v>8</v>
      </c>
      <c r="M459" s="9">
        <f t="shared" si="15"/>
        <v>7</v>
      </c>
      <c r="N459" s="9">
        <v>7</v>
      </c>
    </row>
    <row r="460" spans="1:14" ht="15" customHeight="1" x14ac:dyDescent="0.35">
      <c r="A460" s="185"/>
      <c r="B460" s="12" t="s">
        <v>21</v>
      </c>
      <c r="C460" s="13" t="s">
        <v>16</v>
      </c>
      <c r="D460" s="13">
        <v>3</v>
      </c>
      <c r="E460" s="12" t="s">
        <v>17</v>
      </c>
      <c r="F460" s="186"/>
      <c r="G460" s="9">
        <v>9</v>
      </c>
      <c r="H460" s="9">
        <v>9</v>
      </c>
      <c r="I460" s="9">
        <v>12</v>
      </c>
      <c r="J460" s="9">
        <v>12</v>
      </c>
      <c r="K460" s="9">
        <f t="shared" si="14"/>
        <v>9</v>
      </c>
      <c r="L460" s="9">
        <v>9</v>
      </c>
      <c r="M460" s="9">
        <f t="shared" si="15"/>
        <v>12</v>
      </c>
      <c r="N460" s="9">
        <v>8</v>
      </c>
    </row>
    <row r="461" spans="1:14" ht="15" customHeight="1" x14ac:dyDescent="0.35">
      <c r="A461" s="185"/>
      <c r="B461" s="12" t="s">
        <v>21</v>
      </c>
      <c r="C461" s="13" t="s">
        <v>16</v>
      </c>
      <c r="D461" s="13">
        <v>3</v>
      </c>
      <c r="E461" s="12" t="s">
        <v>109</v>
      </c>
      <c r="F461" s="186"/>
      <c r="G461" s="9">
        <v>9</v>
      </c>
      <c r="H461" s="9">
        <v>8</v>
      </c>
      <c r="I461" s="9">
        <v>16</v>
      </c>
      <c r="J461" s="9">
        <v>16</v>
      </c>
      <c r="K461" s="9">
        <f t="shared" si="14"/>
        <v>9</v>
      </c>
      <c r="L461" s="9">
        <v>8</v>
      </c>
      <c r="M461" s="9">
        <f t="shared" si="15"/>
        <v>16</v>
      </c>
      <c r="N461" s="9">
        <v>8</v>
      </c>
    </row>
    <row r="462" spans="1:14" ht="15" customHeight="1" x14ac:dyDescent="0.35">
      <c r="A462" s="185"/>
      <c r="B462" s="14" t="s">
        <v>21</v>
      </c>
      <c r="C462" s="15" t="s">
        <v>19</v>
      </c>
      <c r="D462" s="15">
        <v>1</v>
      </c>
      <c r="E462" s="14" t="s">
        <v>17</v>
      </c>
      <c r="F462" s="186"/>
      <c r="G462" s="9">
        <v>9</v>
      </c>
      <c r="H462" s="9">
        <v>9</v>
      </c>
      <c r="I462" s="9">
        <v>12</v>
      </c>
      <c r="J462" s="9">
        <v>12</v>
      </c>
      <c r="K462" s="9">
        <f t="shared" si="14"/>
        <v>9</v>
      </c>
      <c r="L462" s="9">
        <v>9</v>
      </c>
      <c r="M462" s="9">
        <f t="shared" si="15"/>
        <v>12</v>
      </c>
      <c r="N462" s="9">
        <v>8</v>
      </c>
    </row>
    <row r="463" spans="1:14" ht="15" customHeight="1" x14ac:dyDescent="0.35">
      <c r="A463" s="185"/>
      <c r="B463" s="14" t="s">
        <v>21</v>
      </c>
      <c r="C463" s="15" t="s">
        <v>19</v>
      </c>
      <c r="D463" s="15">
        <v>1</v>
      </c>
      <c r="E463" s="14" t="s">
        <v>109</v>
      </c>
      <c r="F463" s="186"/>
      <c r="G463" s="9">
        <v>9</v>
      </c>
      <c r="H463" s="9">
        <v>8</v>
      </c>
      <c r="I463" s="9">
        <v>7</v>
      </c>
      <c r="J463" s="9">
        <v>7</v>
      </c>
      <c r="K463" s="9">
        <f t="shared" si="14"/>
        <v>9</v>
      </c>
      <c r="L463" s="9">
        <v>8</v>
      </c>
      <c r="M463" s="9">
        <f t="shared" si="15"/>
        <v>7</v>
      </c>
      <c r="N463" s="9">
        <v>7</v>
      </c>
    </row>
    <row r="464" spans="1:14" ht="15" customHeight="1" x14ac:dyDescent="0.35">
      <c r="A464" s="185"/>
      <c r="B464" s="12" t="s">
        <v>21</v>
      </c>
      <c r="C464" s="13" t="s">
        <v>19</v>
      </c>
      <c r="D464" s="13">
        <v>2</v>
      </c>
      <c r="E464" s="12" t="s">
        <v>17</v>
      </c>
      <c r="F464" s="186"/>
      <c r="G464" s="9">
        <v>9</v>
      </c>
      <c r="H464" s="9">
        <v>9</v>
      </c>
      <c r="I464" s="9">
        <v>12</v>
      </c>
      <c r="J464" s="9">
        <v>12</v>
      </c>
      <c r="K464" s="9">
        <f t="shared" si="14"/>
        <v>9</v>
      </c>
      <c r="L464" s="9">
        <v>9</v>
      </c>
      <c r="M464" s="9">
        <f t="shared" si="15"/>
        <v>12</v>
      </c>
      <c r="N464" s="9">
        <v>8</v>
      </c>
    </row>
    <row r="465" spans="1:14" ht="15" customHeight="1" x14ac:dyDescent="0.35">
      <c r="A465" s="185"/>
      <c r="B465" s="12" t="s">
        <v>21</v>
      </c>
      <c r="C465" s="13" t="s">
        <v>19</v>
      </c>
      <c r="D465" s="13">
        <v>2</v>
      </c>
      <c r="E465" s="12" t="s">
        <v>109</v>
      </c>
      <c r="F465" s="186"/>
      <c r="G465" s="9">
        <v>9</v>
      </c>
      <c r="H465" s="9">
        <v>8</v>
      </c>
      <c r="I465" s="9">
        <v>7</v>
      </c>
      <c r="J465" s="9">
        <v>7</v>
      </c>
      <c r="K465" s="9">
        <f t="shared" si="14"/>
        <v>9</v>
      </c>
      <c r="L465" s="9">
        <v>8</v>
      </c>
      <c r="M465" s="9">
        <f t="shared" si="15"/>
        <v>7</v>
      </c>
      <c r="N465" s="9">
        <v>7</v>
      </c>
    </row>
    <row r="466" spans="1:14" ht="15" customHeight="1" x14ac:dyDescent="0.35">
      <c r="A466" s="185"/>
      <c r="B466" s="14" t="s">
        <v>21</v>
      </c>
      <c r="C466" s="15" t="s">
        <v>19</v>
      </c>
      <c r="D466" s="15">
        <v>3</v>
      </c>
      <c r="E466" s="14" t="s">
        <v>17</v>
      </c>
      <c r="F466" s="186"/>
      <c r="G466" s="9">
        <v>9</v>
      </c>
      <c r="H466" s="9">
        <v>9</v>
      </c>
      <c r="I466" s="9">
        <v>12</v>
      </c>
      <c r="J466" s="9">
        <v>12</v>
      </c>
      <c r="K466" s="9">
        <f t="shared" si="14"/>
        <v>9</v>
      </c>
      <c r="L466" s="9">
        <v>9</v>
      </c>
      <c r="M466" s="9">
        <f t="shared" si="15"/>
        <v>12</v>
      </c>
      <c r="N466" s="9">
        <v>8</v>
      </c>
    </row>
    <row r="467" spans="1:14" ht="15" customHeight="1" x14ac:dyDescent="0.35">
      <c r="A467" s="185"/>
      <c r="B467" s="14" t="s">
        <v>21</v>
      </c>
      <c r="C467" s="15" t="s">
        <v>19</v>
      </c>
      <c r="D467" s="15">
        <v>3</v>
      </c>
      <c r="E467" s="14" t="s">
        <v>109</v>
      </c>
      <c r="F467" s="186"/>
      <c r="G467" s="9">
        <v>9</v>
      </c>
      <c r="H467" s="9">
        <v>8</v>
      </c>
      <c r="I467" s="9">
        <v>7</v>
      </c>
      <c r="J467" s="9">
        <v>7</v>
      </c>
      <c r="K467" s="9">
        <f t="shared" si="14"/>
        <v>9</v>
      </c>
      <c r="L467" s="9">
        <v>8</v>
      </c>
      <c r="M467" s="9">
        <f t="shared" si="15"/>
        <v>7</v>
      </c>
      <c r="N467" s="9">
        <v>7</v>
      </c>
    </row>
    <row r="468" spans="1:14" ht="15" customHeight="1" x14ac:dyDescent="0.35">
      <c r="A468" s="185"/>
      <c r="B468" s="12" t="s">
        <v>21</v>
      </c>
      <c r="C468" s="13" t="s">
        <v>20</v>
      </c>
      <c r="D468" s="13">
        <v>1</v>
      </c>
      <c r="E468" s="12" t="s">
        <v>17</v>
      </c>
      <c r="F468" s="186"/>
      <c r="G468" s="9">
        <v>9</v>
      </c>
      <c r="H468" s="9">
        <v>9</v>
      </c>
      <c r="I468" s="9">
        <v>12</v>
      </c>
      <c r="J468" s="9">
        <v>12</v>
      </c>
      <c r="K468" s="9">
        <f t="shared" si="14"/>
        <v>9</v>
      </c>
      <c r="L468" s="9">
        <v>9</v>
      </c>
      <c r="M468" s="9">
        <f t="shared" si="15"/>
        <v>12</v>
      </c>
      <c r="N468" s="9">
        <v>8</v>
      </c>
    </row>
    <row r="469" spans="1:14" ht="15" customHeight="1" x14ac:dyDescent="0.35">
      <c r="A469" s="185"/>
      <c r="B469" s="12" t="s">
        <v>21</v>
      </c>
      <c r="C469" s="13" t="s">
        <v>20</v>
      </c>
      <c r="D469" s="13">
        <v>1</v>
      </c>
      <c r="E469" s="12" t="s">
        <v>109</v>
      </c>
      <c r="F469" s="186"/>
      <c r="G469" s="9">
        <v>9</v>
      </c>
      <c r="H469" s="9">
        <v>9</v>
      </c>
      <c r="I469" s="9">
        <v>16</v>
      </c>
      <c r="J469" s="9">
        <v>16</v>
      </c>
      <c r="K469" s="9">
        <f t="shared" si="14"/>
        <v>9</v>
      </c>
      <c r="L469" s="9">
        <v>9</v>
      </c>
      <c r="M469" s="9">
        <f t="shared" si="15"/>
        <v>16</v>
      </c>
      <c r="N469" s="9">
        <v>8</v>
      </c>
    </row>
    <row r="470" spans="1:14" ht="15" customHeight="1" x14ac:dyDescent="0.35">
      <c r="A470" s="185"/>
      <c r="B470" s="14" t="s">
        <v>21</v>
      </c>
      <c r="C470" s="15" t="s">
        <v>20</v>
      </c>
      <c r="D470" s="15">
        <v>2</v>
      </c>
      <c r="E470" s="14" t="s">
        <v>17</v>
      </c>
      <c r="F470" s="186"/>
      <c r="G470" s="9">
        <v>9</v>
      </c>
      <c r="H470" s="9">
        <v>9</v>
      </c>
      <c r="I470" s="9">
        <v>12</v>
      </c>
      <c r="J470" s="9">
        <v>12</v>
      </c>
      <c r="K470" s="9">
        <f t="shared" si="14"/>
        <v>9</v>
      </c>
      <c r="L470" s="9">
        <v>9</v>
      </c>
      <c r="M470" s="9">
        <f t="shared" si="15"/>
        <v>12</v>
      </c>
      <c r="N470" s="9">
        <v>8</v>
      </c>
    </row>
    <row r="471" spans="1:14" ht="15" customHeight="1" x14ac:dyDescent="0.35">
      <c r="A471" s="185"/>
      <c r="B471" s="14" t="s">
        <v>21</v>
      </c>
      <c r="C471" s="15" t="s">
        <v>20</v>
      </c>
      <c r="D471" s="15">
        <v>2</v>
      </c>
      <c r="E471" s="14" t="s">
        <v>109</v>
      </c>
      <c r="F471" s="186"/>
      <c r="G471" s="9">
        <v>9</v>
      </c>
      <c r="H471" s="9">
        <v>8</v>
      </c>
      <c r="I471" s="9">
        <v>16</v>
      </c>
      <c r="J471" s="9">
        <v>16</v>
      </c>
      <c r="K471" s="9">
        <f t="shared" si="14"/>
        <v>9</v>
      </c>
      <c r="L471" s="9">
        <v>8</v>
      </c>
      <c r="M471" s="9">
        <f t="shared" si="15"/>
        <v>16</v>
      </c>
      <c r="N471" s="9">
        <v>8</v>
      </c>
    </row>
    <row r="472" spans="1:14" ht="15" customHeight="1" x14ac:dyDescent="0.35">
      <c r="A472" s="185"/>
      <c r="B472" s="12" t="s">
        <v>21</v>
      </c>
      <c r="C472" s="13" t="s">
        <v>20</v>
      </c>
      <c r="D472" s="13">
        <v>3</v>
      </c>
      <c r="E472" s="12" t="s">
        <v>17</v>
      </c>
      <c r="F472" s="186"/>
      <c r="G472" s="9">
        <v>9</v>
      </c>
      <c r="H472" s="9">
        <v>9</v>
      </c>
      <c r="I472" s="9">
        <v>12</v>
      </c>
      <c r="J472" s="9">
        <v>12</v>
      </c>
      <c r="K472" s="9">
        <f t="shared" si="14"/>
        <v>9</v>
      </c>
      <c r="L472" s="9">
        <v>9</v>
      </c>
      <c r="M472" s="9">
        <f t="shared" si="15"/>
        <v>12</v>
      </c>
      <c r="N472" s="9">
        <v>8</v>
      </c>
    </row>
    <row r="473" spans="1:14" ht="15" customHeight="1" x14ac:dyDescent="0.35">
      <c r="A473" s="185"/>
      <c r="B473" s="12" t="s">
        <v>21</v>
      </c>
      <c r="C473" s="13" t="s">
        <v>20</v>
      </c>
      <c r="D473" s="13">
        <v>3</v>
      </c>
      <c r="E473" s="12" t="s">
        <v>109</v>
      </c>
      <c r="F473" s="186"/>
      <c r="G473" s="9">
        <v>9</v>
      </c>
      <c r="H473" s="9">
        <v>8</v>
      </c>
      <c r="I473" s="9">
        <v>7</v>
      </c>
      <c r="J473" s="9">
        <v>7</v>
      </c>
      <c r="K473" s="9">
        <f t="shared" si="14"/>
        <v>9</v>
      </c>
      <c r="L473" s="9">
        <v>8</v>
      </c>
      <c r="M473" s="9">
        <f t="shared" si="15"/>
        <v>7</v>
      </c>
      <c r="N473" s="9">
        <v>7</v>
      </c>
    </row>
    <row r="474" spans="1:14" ht="15" customHeight="1" x14ac:dyDescent="0.35">
      <c r="A474" s="185"/>
      <c r="B474" s="16" t="s">
        <v>22</v>
      </c>
      <c r="C474" s="17" t="s">
        <v>16</v>
      </c>
      <c r="D474" s="17">
        <v>1</v>
      </c>
      <c r="E474" s="16" t="s">
        <v>17</v>
      </c>
      <c r="F474" s="186"/>
      <c r="G474" s="9">
        <v>9</v>
      </c>
      <c r="H474" s="9">
        <v>9</v>
      </c>
      <c r="I474" s="9">
        <v>12</v>
      </c>
      <c r="J474" s="9">
        <v>12</v>
      </c>
      <c r="K474" s="9">
        <f t="shared" si="14"/>
        <v>9</v>
      </c>
      <c r="L474" s="9">
        <v>9</v>
      </c>
      <c r="M474" s="9">
        <f t="shared" si="15"/>
        <v>12</v>
      </c>
      <c r="N474" s="9">
        <v>8</v>
      </c>
    </row>
    <row r="475" spans="1:14" ht="15" customHeight="1" x14ac:dyDescent="0.35">
      <c r="A475" s="185"/>
      <c r="B475" s="16" t="s">
        <v>22</v>
      </c>
      <c r="C475" s="17" t="s">
        <v>16</v>
      </c>
      <c r="D475" s="17">
        <v>1</v>
      </c>
      <c r="E475" s="16" t="s">
        <v>109</v>
      </c>
      <c r="F475" s="186"/>
      <c r="G475" s="9">
        <v>9</v>
      </c>
      <c r="H475" s="9">
        <v>9</v>
      </c>
      <c r="I475" s="9">
        <v>16</v>
      </c>
      <c r="J475" s="9">
        <v>16</v>
      </c>
      <c r="K475" s="9">
        <f t="shared" si="14"/>
        <v>9</v>
      </c>
      <c r="L475" s="9">
        <v>9</v>
      </c>
      <c r="M475" s="9">
        <f t="shared" si="15"/>
        <v>16</v>
      </c>
      <c r="N475" s="9">
        <v>8</v>
      </c>
    </row>
    <row r="476" spans="1:14" ht="15" customHeight="1" x14ac:dyDescent="0.35">
      <c r="A476" s="185"/>
      <c r="B476" s="18" t="s">
        <v>22</v>
      </c>
      <c r="C476" s="19" t="s">
        <v>16</v>
      </c>
      <c r="D476" s="19">
        <v>2</v>
      </c>
      <c r="E476" s="18" t="s">
        <v>17</v>
      </c>
      <c r="F476" s="186"/>
      <c r="G476" s="9">
        <v>9</v>
      </c>
      <c r="H476" s="9">
        <v>9</v>
      </c>
      <c r="I476" s="9">
        <v>12</v>
      </c>
      <c r="J476" s="9">
        <v>12</v>
      </c>
      <c r="K476" s="9">
        <f t="shared" si="14"/>
        <v>9</v>
      </c>
      <c r="L476" s="9">
        <v>9</v>
      </c>
      <c r="M476" s="9">
        <f t="shared" si="15"/>
        <v>12</v>
      </c>
      <c r="N476" s="9">
        <v>8</v>
      </c>
    </row>
    <row r="477" spans="1:14" ht="15" customHeight="1" x14ac:dyDescent="0.35">
      <c r="A477" s="185"/>
      <c r="B477" s="18" t="s">
        <v>22</v>
      </c>
      <c r="C477" s="19" t="s">
        <v>16</v>
      </c>
      <c r="D477" s="19">
        <v>2</v>
      </c>
      <c r="E477" s="18" t="s">
        <v>109</v>
      </c>
      <c r="F477" s="186"/>
      <c r="G477" s="9">
        <v>9</v>
      </c>
      <c r="H477" s="9">
        <v>9</v>
      </c>
      <c r="I477" s="9">
        <v>16</v>
      </c>
      <c r="J477" s="9">
        <v>16</v>
      </c>
      <c r="K477" s="9">
        <f t="shared" si="14"/>
        <v>9</v>
      </c>
      <c r="L477" s="9">
        <v>9</v>
      </c>
      <c r="M477" s="9">
        <f t="shared" si="15"/>
        <v>16</v>
      </c>
      <c r="N477" s="9">
        <v>10</v>
      </c>
    </row>
    <row r="478" spans="1:14" ht="15" customHeight="1" x14ac:dyDescent="0.35">
      <c r="A478" s="185"/>
      <c r="B478" s="16" t="s">
        <v>22</v>
      </c>
      <c r="C478" s="17" t="s">
        <v>16</v>
      </c>
      <c r="D478" s="17">
        <v>3</v>
      </c>
      <c r="E478" s="16" t="s">
        <v>17</v>
      </c>
      <c r="F478" s="186"/>
      <c r="G478" s="9">
        <v>9</v>
      </c>
      <c r="H478" s="9">
        <v>9</v>
      </c>
      <c r="I478" s="9">
        <v>12</v>
      </c>
      <c r="J478" s="9">
        <v>12</v>
      </c>
      <c r="K478" s="9">
        <f t="shared" si="14"/>
        <v>9</v>
      </c>
      <c r="L478" s="9">
        <v>9</v>
      </c>
      <c r="M478" s="9">
        <f t="shared" si="15"/>
        <v>12</v>
      </c>
      <c r="N478" s="9">
        <v>8</v>
      </c>
    </row>
    <row r="479" spans="1:14" ht="15" customHeight="1" x14ac:dyDescent="0.35">
      <c r="A479" s="185"/>
      <c r="B479" s="16" t="s">
        <v>22</v>
      </c>
      <c r="C479" s="17" t="s">
        <v>16</v>
      </c>
      <c r="D479" s="17">
        <v>3</v>
      </c>
      <c r="E479" s="16" t="s">
        <v>109</v>
      </c>
      <c r="F479" s="186"/>
      <c r="G479" s="9">
        <v>9</v>
      </c>
      <c r="H479" s="9">
        <v>9</v>
      </c>
      <c r="I479" s="9">
        <v>16</v>
      </c>
      <c r="J479" s="9">
        <v>16</v>
      </c>
      <c r="K479" s="9">
        <f t="shared" si="14"/>
        <v>9</v>
      </c>
      <c r="L479" s="9">
        <v>9</v>
      </c>
      <c r="M479" s="9">
        <f t="shared" si="15"/>
        <v>16</v>
      </c>
      <c r="N479" s="9">
        <v>10</v>
      </c>
    </row>
    <row r="480" spans="1:14" ht="15" customHeight="1" x14ac:dyDescent="0.35">
      <c r="A480" s="185"/>
      <c r="B480" s="18" t="s">
        <v>22</v>
      </c>
      <c r="C480" s="19" t="s">
        <v>19</v>
      </c>
      <c r="D480" s="19">
        <v>1</v>
      </c>
      <c r="E480" s="18" t="s">
        <v>17</v>
      </c>
      <c r="F480" s="186"/>
      <c r="G480" s="9">
        <v>9</v>
      </c>
      <c r="H480" s="9">
        <v>9</v>
      </c>
      <c r="I480" s="9">
        <v>12</v>
      </c>
      <c r="J480" s="9">
        <v>12</v>
      </c>
      <c r="K480" s="9">
        <f t="shared" si="14"/>
        <v>9</v>
      </c>
      <c r="L480" s="9">
        <v>9</v>
      </c>
      <c r="M480" s="9">
        <f t="shared" si="15"/>
        <v>12</v>
      </c>
      <c r="N480" s="9">
        <v>8</v>
      </c>
    </row>
    <row r="481" spans="1:14" ht="15" customHeight="1" x14ac:dyDescent="0.35">
      <c r="A481" s="185"/>
      <c r="B481" s="18" t="s">
        <v>22</v>
      </c>
      <c r="C481" s="19" t="s">
        <v>19</v>
      </c>
      <c r="D481" s="19">
        <v>1</v>
      </c>
      <c r="E481" s="18" t="s">
        <v>109</v>
      </c>
      <c r="F481" s="186"/>
      <c r="G481" s="9">
        <v>9</v>
      </c>
      <c r="H481" s="9">
        <v>9</v>
      </c>
      <c r="I481" s="9">
        <v>16</v>
      </c>
      <c r="J481" s="9">
        <v>16</v>
      </c>
      <c r="K481" s="9">
        <f t="shared" si="14"/>
        <v>9</v>
      </c>
      <c r="L481" s="9">
        <v>9</v>
      </c>
      <c r="M481" s="9">
        <f t="shared" si="15"/>
        <v>16</v>
      </c>
      <c r="N481" s="9">
        <v>10</v>
      </c>
    </row>
    <row r="482" spans="1:14" ht="15" customHeight="1" x14ac:dyDescent="0.35">
      <c r="A482" s="185"/>
      <c r="B482" s="16" t="s">
        <v>22</v>
      </c>
      <c r="C482" s="17" t="s">
        <v>19</v>
      </c>
      <c r="D482" s="17">
        <v>2</v>
      </c>
      <c r="E482" s="16" t="s">
        <v>17</v>
      </c>
      <c r="F482" s="186"/>
      <c r="G482" s="9">
        <v>9</v>
      </c>
      <c r="H482" s="9">
        <v>9</v>
      </c>
      <c r="I482" s="9">
        <v>12</v>
      </c>
      <c r="J482" s="9">
        <v>12</v>
      </c>
      <c r="K482" s="9">
        <f t="shared" si="14"/>
        <v>9</v>
      </c>
      <c r="L482" s="9">
        <v>9</v>
      </c>
      <c r="M482" s="9">
        <f t="shared" si="15"/>
        <v>12</v>
      </c>
      <c r="N482" s="9">
        <v>8</v>
      </c>
    </row>
    <row r="483" spans="1:14" ht="15" customHeight="1" x14ac:dyDescent="0.35">
      <c r="A483" s="185"/>
      <c r="B483" s="16" t="s">
        <v>22</v>
      </c>
      <c r="C483" s="17" t="s">
        <v>19</v>
      </c>
      <c r="D483" s="17">
        <v>2</v>
      </c>
      <c r="E483" s="16" t="s">
        <v>109</v>
      </c>
      <c r="F483" s="186"/>
      <c r="G483" s="9">
        <v>9</v>
      </c>
      <c r="H483" s="9">
        <v>9</v>
      </c>
      <c r="I483" s="9">
        <v>8</v>
      </c>
      <c r="J483" s="9">
        <v>8</v>
      </c>
      <c r="K483" s="9">
        <f t="shared" si="14"/>
        <v>9</v>
      </c>
      <c r="L483" s="9">
        <v>9</v>
      </c>
      <c r="M483" s="9">
        <f t="shared" si="15"/>
        <v>8</v>
      </c>
      <c r="N483" s="9">
        <v>8</v>
      </c>
    </row>
    <row r="484" spans="1:14" ht="15" customHeight="1" x14ac:dyDescent="0.35">
      <c r="A484" s="185"/>
      <c r="B484" s="18" t="s">
        <v>22</v>
      </c>
      <c r="C484" s="19" t="s">
        <v>19</v>
      </c>
      <c r="D484" s="19">
        <v>3</v>
      </c>
      <c r="E484" s="18" t="s">
        <v>17</v>
      </c>
      <c r="F484" s="186"/>
      <c r="G484" s="9">
        <v>9</v>
      </c>
      <c r="H484" s="9">
        <v>9</v>
      </c>
      <c r="I484" s="9">
        <v>12</v>
      </c>
      <c r="J484" s="9">
        <v>12</v>
      </c>
      <c r="K484" s="9">
        <f t="shared" si="14"/>
        <v>9</v>
      </c>
      <c r="L484" s="9">
        <v>9</v>
      </c>
      <c r="M484" s="9">
        <f t="shared" si="15"/>
        <v>12</v>
      </c>
      <c r="N484" s="9">
        <v>8</v>
      </c>
    </row>
    <row r="485" spans="1:14" ht="15" customHeight="1" x14ac:dyDescent="0.35">
      <c r="A485" s="185"/>
      <c r="B485" s="18" t="s">
        <v>22</v>
      </c>
      <c r="C485" s="19" t="s">
        <v>19</v>
      </c>
      <c r="D485" s="19">
        <v>3</v>
      </c>
      <c r="E485" s="18" t="s">
        <v>109</v>
      </c>
      <c r="F485" s="186"/>
      <c r="G485" s="9">
        <v>9</v>
      </c>
      <c r="H485" s="9">
        <v>9</v>
      </c>
      <c r="I485" s="9">
        <v>11</v>
      </c>
      <c r="J485" s="9">
        <v>11</v>
      </c>
      <c r="K485" s="9">
        <f t="shared" si="14"/>
        <v>9</v>
      </c>
      <c r="L485" s="9">
        <v>9</v>
      </c>
      <c r="M485" s="9">
        <f t="shared" si="15"/>
        <v>11</v>
      </c>
      <c r="N485" s="9">
        <v>8</v>
      </c>
    </row>
    <row r="486" spans="1:14" ht="15" customHeight="1" x14ac:dyDescent="0.35">
      <c r="A486" s="185"/>
      <c r="B486" s="16" t="s">
        <v>22</v>
      </c>
      <c r="C486" s="17" t="s">
        <v>20</v>
      </c>
      <c r="D486" s="17">
        <v>1</v>
      </c>
      <c r="E486" s="16" t="s">
        <v>17</v>
      </c>
      <c r="F486" s="186"/>
      <c r="G486" s="9">
        <v>9</v>
      </c>
      <c r="H486" s="9">
        <v>9</v>
      </c>
      <c r="I486" s="9">
        <v>12</v>
      </c>
      <c r="J486" s="9">
        <v>12</v>
      </c>
      <c r="K486" s="9">
        <f t="shared" si="14"/>
        <v>9</v>
      </c>
      <c r="L486" s="9">
        <v>9</v>
      </c>
      <c r="M486" s="9">
        <f t="shared" si="15"/>
        <v>12</v>
      </c>
      <c r="N486" s="9">
        <v>8</v>
      </c>
    </row>
    <row r="487" spans="1:14" ht="15" customHeight="1" x14ac:dyDescent="0.35">
      <c r="A487" s="185"/>
      <c r="B487" s="16" t="s">
        <v>22</v>
      </c>
      <c r="C487" s="17" t="s">
        <v>20</v>
      </c>
      <c r="D487" s="17">
        <v>1</v>
      </c>
      <c r="E487" s="16" t="s">
        <v>109</v>
      </c>
      <c r="F487" s="186"/>
      <c r="G487" s="9">
        <v>9</v>
      </c>
      <c r="H487" s="9">
        <v>9</v>
      </c>
      <c r="I487" s="9">
        <v>16</v>
      </c>
      <c r="J487" s="9">
        <v>16</v>
      </c>
      <c r="K487" s="9">
        <f t="shared" si="14"/>
        <v>9</v>
      </c>
      <c r="L487" s="9">
        <v>9</v>
      </c>
      <c r="M487" s="9">
        <f t="shared" si="15"/>
        <v>16</v>
      </c>
      <c r="N487" s="9">
        <v>8</v>
      </c>
    </row>
    <row r="488" spans="1:14" ht="15" customHeight="1" x14ac:dyDescent="0.35">
      <c r="A488" s="185"/>
      <c r="B488" s="18" t="s">
        <v>22</v>
      </c>
      <c r="C488" s="19" t="s">
        <v>20</v>
      </c>
      <c r="D488" s="19">
        <v>2</v>
      </c>
      <c r="E488" s="18" t="s">
        <v>17</v>
      </c>
      <c r="F488" s="186"/>
      <c r="G488" s="9">
        <v>9</v>
      </c>
      <c r="H488" s="9">
        <v>9</v>
      </c>
      <c r="I488" s="9">
        <v>12</v>
      </c>
      <c r="J488" s="9">
        <v>12</v>
      </c>
      <c r="K488" s="9">
        <f t="shared" si="14"/>
        <v>9</v>
      </c>
      <c r="L488" s="9">
        <v>9</v>
      </c>
      <c r="M488" s="9">
        <f t="shared" si="15"/>
        <v>12</v>
      </c>
      <c r="N488" s="9">
        <v>8</v>
      </c>
    </row>
    <row r="489" spans="1:14" ht="15" customHeight="1" x14ac:dyDescent="0.35">
      <c r="A489" s="185"/>
      <c r="B489" s="18" t="s">
        <v>22</v>
      </c>
      <c r="C489" s="19" t="s">
        <v>20</v>
      </c>
      <c r="D489" s="19">
        <v>2</v>
      </c>
      <c r="E489" s="18" t="s">
        <v>109</v>
      </c>
      <c r="F489" s="186"/>
      <c r="G489" s="9">
        <v>9</v>
      </c>
      <c r="H489" s="9">
        <v>9</v>
      </c>
      <c r="I489" s="9">
        <v>11</v>
      </c>
      <c r="J489" s="9">
        <v>11</v>
      </c>
      <c r="K489" s="9">
        <f t="shared" si="14"/>
        <v>9</v>
      </c>
      <c r="L489" s="9">
        <v>9</v>
      </c>
      <c r="M489" s="9">
        <f t="shared" si="15"/>
        <v>11</v>
      </c>
      <c r="N489" s="9">
        <v>8</v>
      </c>
    </row>
    <row r="490" spans="1:14" ht="15" customHeight="1" x14ac:dyDescent="0.35">
      <c r="A490" s="185"/>
      <c r="B490" s="16" t="s">
        <v>22</v>
      </c>
      <c r="C490" s="17" t="s">
        <v>20</v>
      </c>
      <c r="D490" s="17">
        <v>3</v>
      </c>
      <c r="E490" s="16" t="s">
        <v>17</v>
      </c>
      <c r="F490" s="186"/>
      <c r="G490" s="9">
        <v>9</v>
      </c>
      <c r="H490" s="9">
        <v>9</v>
      </c>
      <c r="I490" s="9">
        <v>12</v>
      </c>
      <c r="J490" s="9">
        <v>12</v>
      </c>
      <c r="K490" s="9">
        <f t="shared" si="14"/>
        <v>9</v>
      </c>
      <c r="L490" s="9">
        <v>9</v>
      </c>
      <c r="M490" s="9">
        <f t="shared" si="15"/>
        <v>12</v>
      </c>
      <c r="N490" s="9">
        <v>8</v>
      </c>
    </row>
    <row r="491" spans="1:14" ht="15" customHeight="1" x14ac:dyDescent="0.35">
      <c r="A491" s="185"/>
      <c r="B491" s="20" t="s">
        <v>22</v>
      </c>
      <c r="C491" s="21" t="s">
        <v>20</v>
      </c>
      <c r="D491" s="21">
        <v>3</v>
      </c>
      <c r="E491" s="20" t="s">
        <v>109</v>
      </c>
      <c r="F491" s="186"/>
      <c r="G491" s="22">
        <v>9</v>
      </c>
      <c r="H491" s="22">
        <v>9</v>
      </c>
      <c r="I491" s="22">
        <v>16</v>
      </c>
      <c r="J491" s="22">
        <v>16</v>
      </c>
      <c r="K491" s="95">
        <f t="shared" si="14"/>
        <v>9</v>
      </c>
      <c r="L491" s="95">
        <v>9</v>
      </c>
      <c r="M491" s="95">
        <f t="shared" si="15"/>
        <v>16</v>
      </c>
      <c r="N491" s="22">
        <v>8</v>
      </c>
    </row>
    <row r="492" spans="1:14" ht="15" customHeight="1" x14ac:dyDescent="0.35">
      <c r="A492" s="185" t="s">
        <v>31</v>
      </c>
      <c r="B492" s="7" t="s">
        <v>15</v>
      </c>
      <c r="C492" s="8" t="s">
        <v>16</v>
      </c>
      <c r="D492" s="8">
        <v>1</v>
      </c>
      <c r="E492" s="7" t="s">
        <v>17</v>
      </c>
      <c r="F492" s="186">
        <v>48</v>
      </c>
      <c r="G492" s="9">
        <v>9</v>
      </c>
      <c r="H492" s="9">
        <v>9</v>
      </c>
      <c r="I492" s="9">
        <v>13</v>
      </c>
      <c r="J492" s="9">
        <v>13</v>
      </c>
      <c r="K492" s="94">
        <f t="shared" si="14"/>
        <v>9</v>
      </c>
      <c r="L492" s="94">
        <v>6</v>
      </c>
      <c r="M492" s="94">
        <f t="shared" si="15"/>
        <v>13</v>
      </c>
      <c r="N492" s="9">
        <v>5</v>
      </c>
    </row>
    <row r="493" spans="1:14" ht="15" customHeight="1" x14ac:dyDescent="0.35">
      <c r="A493" s="185"/>
      <c r="B493" s="7" t="s">
        <v>15</v>
      </c>
      <c r="C493" s="8" t="s">
        <v>16</v>
      </c>
      <c r="D493" s="8">
        <v>1</v>
      </c>
      <c r="E493" s="7" t="s">
        <v>109</v>
      </c>
      <c r="F493" s="186"/>
      <c r="G493" s="9">
        <v>7</v>
      </c>
      <c r="H493" s="9">
        <v>7</v>
      </c>
      <c r="I493" s="9">
        <v>10</v>
      </c>
      <c r="J493" s="9">
        <v>10</v>
      </c>
      <c r="K493" s="9">
        <f t="shared" si="14"/>
        <v>7</v>
      </c>
      <c r="L493" s="9">
        <v>7</v>
      </c>
      <c r="M493" s="9">
        <f t="shared" si="15"/>
        <v>10</v>
      </c>
      <c r="N493" s="9">
        <v>10</v>
      </c>
    </row>
    <row r="494" spans="1:14" ht="15" customHeight="1" x14ac:dyDescent="0.35">
      <c r="A494" s="185"/>
      <c r="B494" s="10" t="s">
        <v>15</v>
      </c>
      <c r="C494" s="11" t="s">
        <v>16</v>
      </c>
      <c r="D494" s="11">
        <v>2</v>
      </c>
      <c r="E494" s="10" t="s">
        <v>17</v>
      </c>
      <c r="F494" s="186"/>
      <c r="G494" s="9">
        <v>9</v>
      </c>
      <c r="H494" s="9">
        <v>9</v>
      </c>
      <c r="I494" s="9">
        <v>12</v>
      </c>
      <c r="J494" s="9">
        <v>12</v>
      </c>
      <c r="K494" s="9">
        <f t="shared" si="14"/>
        <v>9</v>
      </c>
      <c r="L494" s="9">
        <v>6</v>
      </c>
      <c r="M494" s="9">
        <f t="shared" si="15"/>
        <v>12</v>
      </c>
      <c r="N494" s="9">
        <v>5</v>
      </c>
    </row>
    <row r="495" spans="1:14" ht="15" customHeight="1" x14ac:dyDescent="0.35">
      <c r="A495" s="185"/>
      <c r="B495" s="10" t="s">
        <v>15</v>
      </c>
      <c r="C495" s="11" t="s">
        <v>16</v>
      </c>
      <c r="D495" s="11">
        <v>2</v>
      </c>
      <c r="E495" s="10" t="s">
        <v>109</v>
      </c>
      <c r="F495" s="186"/>
      <c r="G495" s="9">
        <v>7</v>
      </c>
      <c r="H495" s="9">
        <v>7</v>
      </c>
      <c r="I495" s="9">
        <v>10</v>
      </c>
      <c r="J495" s="9">
        <v>10</v>
      </c>
      <c r="K495" s="9">
        <f t="shared" si="14"/>
        <v>7</v>
      </c>
      <c r="L495" s="9">
        <v>7</v>
      </c>
      <c r="M495" s="9">
        <f t="shared" si="15"/>
        <v>10</v>
      </c>
      <c r="N495" s="9">
        <v>10</v>
      </c>
    </row>
    <row r="496" spans="1:14" ht="15" customHeight="1" x14ac:dyDescent="0.35">
      <c r="A496" s="185"/>
      <c r="B496" s="7" t="s">
        <v>15</v>
      </c>
      <c r="C496" s="8" t="s">
        <v>16</v>
      </c>
      <c r="D496" s="8">
        <v>3</v>
      </c>
      <c r="E496" s="7" t="s">
        <v>17</v>
      </c>
      <c r="F496" s="186"/>
      <c r="G496" s="9">
        <v>9</v>
      </c>
      <c r="H496" s="9">
        <v>9</v>
      </c>
      <c r="I496" s="9">
        <v>16</v>
      </c>
      <c r="J496" s="9">
        <v>16</v>
      </c>
      <c r="K496" s="9">
        <f t="shared" si="14"/>
        <v>9</v>
      </c>
      <c r="L496" s="9">
        <v>6</v>
      </c>
      <c r="M496" s="9">
        <f t="shared" si="15"/>
        <v>16</v>
      </c>
      <c r="N496" s="9">
        <v>5</v>
      </c>
    </row>
    <row r="497" spans="1:14" ht="15" customHeight="1" x14ac:dyDescent="0.35">
      <c r="A497" s="185"/>
      <c r="B497" s="7" t="s">
        <v>15</v>
      </c>
      <c r="C497" s="8" t="s">
        <v>16</v>
      </c>
      <c r="D497" s="8">
        <v>3</v>
      </c>
      <c r="E497" s="7" t="s">
        <v>109</v>
      </c>
      <c r="F497" s="186"/>
      <c r="G497" s="9">
        <v>7</v>
      </c>
      <c r="H497" s="9">
        <v>7</v>
      </c>
      <c r="I497" s="9">
        <v>10</v>
      </c>
      <c r="J497" s="9">
        <v>10</v>
      </c>
      <c r="K497" s="9">
        <f t="shared" si="14"/>
        <v>7</v>
      </c>
      <c r="L497" s="9">
        <v>7</v>
      </c>
      <c r="M497" s="9">
        <f t="shared" si="15"/>
        <v>10</v>
      </c>
      <c r="N497" s="9">
        <v>10</v>
      </c>
    </row>
    <row r="498" spans="1:14" ht="15" customHeight="1" x14ac:dyDescent="0.35">
      <c r="A498" s="185"/>
      <c r="B498" s="10" t="s">
        <v>15</v>
      </c>
      <c r="C498" s="11" t="s">
        <v>19</v>
      </c>
      <c r="D498" s="11">
        <v>1</v>
      </c>
      <c r="E498" s="10" t="s">
        <v>17</v>
      </c>
      <c r="F498" s="186"/>
      <c r="G498" s="9">
        <v>7</v>
      </c>
      <c r="H498" s="9">
        <v>7</v>
      </c>
      <c r="I498" s="9">
        <v>11</v>
      </c>
      <c r="J498" s="9">
        <v>11</v>
      </c>
      <c r="K498" s="9">
        <f t="shared" si="14"/>
        <v>7</v>
      </c>
      <c r="L498" s="9">
        <v>7</v>
      </c>
      <c r="M498" s="9">
        <f t="shared" si="15"/>
        <v>11</v>
      </c>
      <c r="N498" s="9">
        <v>11</v>
      </c>
    </row>
    <row r="499" spans="1:14" ht="15" customHeight="1" x14ac:dyDescent="0.35">
      <c r="A499" s="185"/>
      <c r="B499" s="10" t="s">
        <v>15</v>
      </c>
      <c r="C499" s="11" t="s">
        <v>19</v>
      </c>
      <c r="D499" s="11">
        <v>1</v>
      </c>
      <c r="E499" s="10" t="s">
        <v>109</v>
      </c>
      <c r="F499" s="186"/>
      <c r="G499" s="9">
        <v>7</v>
      </c>
      <c r="H499" s="9">
        <v>7</v>
      </c>
      <c r="I499" s="9">
        <v>11</v>
      </c>
      <c r="J499" s="9">
        <v>11</v>
      </c>
      <c r="K499" s="9">
        <f t="shared" si="14"/>
        <v>7</v>
      </c>
      <c r="L499" s="9">
        <v>7</v>
      </c>
      <c r="M499" s="9">
        <f t="shared" si="15"/>
        <v>11</v>
      </c>
      <c r="N499" s="9">
        <v>11</v>
      </c>
    </row>
    <row r="500" spans="1:14" ht="15" customHeight="1" x14ac:dyDescent="0.35">
      <c r="A500" s="185"/>
      <c r="B500" s="7" t="s">
        <v>15</v>
      </c>
      <c r="C500" s="8" t="s">
        <v>19</v>
      </c>
      <c r="D500" s="8">
        <v>2</v>
      </c>
      <c r="E500" s="7" t="s">
        <v>17</v>
      </c>
      <c r="F500" s="186"/>
      <c r="G500" s="9">
        <v>7</v>
      </c>
      <c r="H500" s="9">
        <v>7</v>
      </c>
      <c r="I500" s="9">
        <v>12</v>
      </c>
      <c r="J500" s="9">
        <v>12</v>
      </c>
      <c r="K500" s="9">
        <f t="shared" si="14"/>
        <v>7</v>
      </c>
      <c r="L500" s="9">
        <v>7</v>
      </c>
      <c r="M500" s="9">
        <f t="shared" si="15"/>
        <v>12</v>
      </c>
      <c r="N500" s="9">
        <v>12</v>
      </c>
    </row>
    <row r="501" spans="1:14" ht="15" customHeight="1" x14ac:dyDescent="0.35">
      <c r="A501" s="185"/>
      <c r="B501" s="7" t="s">
        <v>15</v>
      </c>
      <c r="C501" s="8" t="s">
        <v>19</v>
      </c>
      <c r="D501" s="8">
        <v>2</v>
      </c>
      <c r="E501" s="7" t="s">
        <v>109</v>
      </c>
      <c r="F501" s="186"/>
      <c r="G501" s="9">
        <v>7</v>
      </c>
      <c r="H501" s="9">
        <v>7</v>
      </c>
      <c r="I501" s="9">
        <v>12</v>
      </c>
      <c r="J501" s="9">
        <v>12</v>
      </c>
      <c r="K501" s="9">
        <f t="shared" si="14"/>
        <v>7</v>
      </c>
      <c r="L501" s="9">
        <v>7</v>
      </c>
      <c r="M501" s="9">
        <f t="shared" si="15"/>
        <v>12</v>
      </c>
      <c r="N501" s="9">
        <v>9</v>
      </c>
    </row>
    <row r="502" spans="1:14" ht="15" customHeight="1" x14ac:dyDescent="0.35">
      <c r="A502" s="185"/>
      <c r="B502" s="10" t="s">
        <v>15</v>
      </c>
      <c r="C502" s="11" t="s">
        <v>19</v>
      </c>
      <c r="D502" s="11">
        <v>3</v>
      </c>
      <c r="E502" s="10" t="s">
        <v>17</v>
      </c>
      <c r="F502" s="186"/>
      <c r="G502" s="9">
        <v>9</v>
      </c>
      <c r="H502" s="9">
        <v>9</v>
      </c>
      <c r="I502" s="9">
        <v>12</v>
      </c>
      <c r="J502" s="9">
        <v>12</v>
      </c>
      <c r="K502" s="9">
        <f t="shared" si="14"/>
        <v>9</v>
      </c>
      <c r="L502" s="9">
        <v>6</v>
      </c>
      <c r="M502" s="9">
        <f t="shared" si="15"/>
        <v>12</v>
      </c>
      <c r="N502" s="9">
        <v>5</v>
      </c>
    </row>
    <row r="503" spans="1:14" ht="15" customHeight="1" x14ac:dyDescent="0.35">
      <c r="A503" s="185"/>
      <c r="B503" s="10" t="s">
        <v>15</v>
      </c>
      <c r="C503" s="11" t="s">
        <v>19</v>
      </c>
      <c r="D503" s="11">
        <v>3</v>
      </c>
      <c r="E503" s="10" t="s">
        <v>109</v>
      </c>
      <c r="F503" s="186"/>
      <c r="G503" s="9">
        <v>7</v>
      </c>
      <c r="H503" s="9">
        <v>7</v>
      </c>
      <c r="I503" s="9">
        <v>10</v>
      </c>
      <c r="J503" s="9">
        <v>10</v>
      </c>
      <c r="K503" s="9">
        <f t="shared" si="14"/>
        <v>7</v>
      </c>
      <c r="L503" s="9">
        <v>7</v>
      </c>
      <c r="M503" s="9">
        <f t="shared" si="15"/>
        <v>10</v>
      </c>
      <c r="N503" s="9">
        <v>10</v>
      </c>
    </row>
    <row r="504" spans="1:14" ht="15" customHeight="1" x14ac:dyDescent="0.35">
      <c r="A504" s="185"/>
      <c r="B504" s="7" t="s">
        <v>15</v>
      </c>
      <c r="C504" s="8" t="s">
        <v>20</v>
      </c>
      <c r="D504" s="8">
        <v>1</v>
      </c>
      <c r="E504" s="7" t="s">
        <v>17</v>
      </c>
      <c r="F504" s="186"/>
      <c r="G504" s="9">
        <v>7</v>
      </c>
      <c r="H504" s="9">
        <v>7</v>
      </c>
      <c r="I504" s="9">
        <v>11</v>
      </c>
      <c r="J504" s="9">
        <v>11</v>
      </c>
      <c r="K504" s="9">
        <f t="shared" si="14"/>
        <v>7</v>
      </c>
      <c r="L504" s="9">
        <v>7</v>
      </c>
      <c r="M504" s="9">
        <f t="shared" si="15"/>
        <v>11</v>
      </c>
      <c r="N504" s="9">
        <v>9</v>
      </c>
    </row>
    <row r="505" spans="1:14" ht="15" customHeight="1" x14ac:dyDescent="0.35">
      <c r="A505" s="185"/>
      <c r="B505" s="7" t="s">
        <v>15</v>
      </c>
      <c r="C505" s="8" t="s">
        <v>20</v>
      </c>
      <c r="D505" s="8">
        <v>1</v>
      </c>
      <c r="E505" s="7" t="s">
        <v>109</v>
      </c>
      <c r="F505" s="186"/>
      <c r="G505" s="9">
        <v>7</v>
      </c>
      <c r="H505" s="9">
        <v>7</v>
      </c>
      <c r="I505" s="9">
        <v>10</v>
      </c>
      <c r="J505" s="9">
        <v>10</v>
      </c>
      <c r="K505" s="9">
        <f t="shared" si="14"/>
        <v>7</v>
      </c>
      <c r="L505" s="9">
        <v>7</v>
      </c>
      <c r="M505" s="9">
        <f t="shared" si="15"/>
        <v>10</v>
      </c>
      <c r="N505" s="9">
        <v>10</v>
      </c>
    </row>
    <row r="506" spans="1:14" ht="15" customHeight="1" x14ac:dyDescent="0.35">
      <c r="A506" s="185"/>
      <c r="B506" s="10" t="s">
        <v>15</v>
      </c>
      <c r="C506" s="11" t="s">
        <v>20</v>
      </c>
      <c r="D506" s="11">
        <v>2</v>
      </c>
      <c r="E506" s="10" t="s">
        <v>17</v>
      </c>
      <c r="F506" s="186"/>
      <c r="G506" s="9">
        <v>7</v>
      </c>
      <c r="H506" s="9">
        <v>7</v>
      </c>
      <c r="I506" s="9">
        <v>12</v>
      </c>
      <c r="J506" s="9">
        <v>12</v>
      </c>
      <c r="K506" s="9">
        <f t="shared" si="14"/>
        <v>7</v>
      </c>
      <c r="L506" s="9">
        <v>7</v>
      </c>
      <c r="M506" s="9">
        <f t="shared" si="15"/>
        <v>12</v>
      </c>
      <c r="N506" s="9">
        <v>12</v>
      </c>
    </row>
    <row r="507" spans="1:14" ht="15" customHeight="1" x14ac:dyDescent="0.35">
      <c r="A507" s="185"/>
      <c r="B507" s="10" t="s">
        <v>15</v>
      </c>
      <c r="C507" s="11" t="s">
        <v>20</v>
      </c>
      <c r="D507" s="11">
        <v>2</v>
      </c>
      <c r="E507" s="10" t="s">
        <v>109</v>
      </c>
      <c r="F507" s="186"/>
      <c r="G507" s="9">
        <v>7</v>
      </c>
      <c r="H507" s="9">
        <v>7</v>
      </c>
      <c r="I507" s="9">
        <v>10</v>
      </c>
      <c r="J507" s="9">
        <v>10</v>
      </c>
      <c r="K507" s="9">
        <f t="shared" si="14"/>
        <v>7</v>
      </c>
      <c r="L507" s="9">
        <v>7</v>
      </c>
      <c r="M507" s="9">
        <f t="shared" si="15"/>
        <v>10</v>
      </c>
      <c r="N507" s="9">
        <v>10</v>
      </c>
    </row>
    <row r="508" spans="1:14" ht="15" customHeight="1" x14ac:dyDescent="0.35">
      <c r="A508" s="185"/>
      <c r="B508" s="7" t="s">
        <v>15</v>
      </c>
      <c r="C508" s="8" t="s">
        <v>20</v>
      </c>
      <c r="D508" s="8">
        <v>3</v>
      </c>
      <c r="E508" s="7" t="s">
        <v>17</v>
      </c>
      <c r="F508" s="186"/>
      <c r="G508" s="9">
        <v>9</v>
      </c>
      <c r="H508" s="9">
        <v>9</v>
      </c>
      <c r="I508" s="9">
        <v>12</v>
      </c>
      <c r="J508" s="9">
        <v>12</v>
      </c>
      <c r="K508" s="9">
        <f t="shared" si="14"/>
        <v>9</v>
      </c>
      <c r="L508" s="9">
        <v>6</v>
      </c>
      <c r="M508" s="9">
        <f t="shared" si="15"/>
        <v>12</v>
      </c>
      <c r="N508" s="9">
        <v>5</v>
      </c>
    </row>
    <row r="509" spans="1:14" ht="15" customHeight="1" x14ac:dyDescent="0.35">
      <c r="A509" s="185"/>
      <c r="B509" s="7" t="s">
        <v>15</v>
      </c>
      <c r="C509" s="8" t="s">
        <v>20</v>
      </c>
      <c r="D509" s="8">
        <v>3</v>
      </c>
      <c r="E509" s="7" t="s">
        <v>109</v>
      </c>
      <c r="F509" s="186"/>
      <c r="G509" s="9">
        <v>7</v>
      </c>
      <c r="H509" s="9">
        <v>7</v>
      </c>
      <c r="I509" s="9">
        <v>11</v>
      </c>
      <c r="J509" s="9">
        <v>11</v>
      </c>
      <c r="K509" s="9">
        <f t="shared" si="14"/>
        <v>7</v>
      </c>
      <c r="L509" s="9">
        <v>7</v>
      </c>
      <c r="M509" s="9">
        <f t="shared" si="15"/>
        <v>11</v>
      </c>
      <c r="N509" s="9">
        <v>9</v>
      </c>
    </row>
    <row r="510" spans="1:14" ht="15" customHeight="1" x14ac:dyDescent="0.35">
      <c r="A510" s="185"/>
      <c r="B510" s="12" t="s">
        <v>21</v>
      </c>
      <c r="C510" s="13" t="s">
        <v>16</v>
      </c>
      <c r="D510" s="13">
        <v>1</v>
      </c>
      <c r="E510" s="12" t="s">
        <v>17</v>
      </c>
      <c r="F510" s="186"/>
      <c r="G510" s="9">
        <v>9</v>
      </c>
      <c r="H510" s="9">
        <v>9</v>
      </c>
      <c r="I510" s="9">
        <v>12</v>
      </c>
      <c r="J510" s="9">
        <v>12</v>
      </c>
      <c r="K510" s="9">
        <f t="shared" si="14"/>
        <v>9</v>
      </c>
      <c r="L510" s="9">
        <v>6</v>
      </c>
      <c r="M510" s="9">
        <f t="shared" si="15"/>
        <v>12</v>
      </c>
      <c r="N510" s="9">
        <v>5</v>
      </c>
    </row>
    <row r="511" spans="1:14" ht="15" customHeight="1" x14ac:dyDescent="0.35">
      <c r="A511" s="185"/>
      <c r="B511" s="12" t="s">
        <v>21</v>
      </c>
      <c r="C511" s="13" t="s">
        <v>16</v>
      </c>
      <c r="D511" s="13">
        <v>1</v>
      </c>
      <c r="E511" s="12" t="s">
        <v>109</v>
      </c>
      <c r="F511" s="186"/>
      <c r="G511" s="9">
        <v>7</v>
      </c>
      <c r="H511" s="9">
        <v>7</v>
      </c>
      <c r="I511" s="9">
        <v>11</v>
      </c>
      <c r="J511" s="9">
        <v>11</v>
      </c>
      <c r="K511" s="9">
        <f t="shared" si="14"/>
        <v>7</v>
      </c>
      <c r="L511" s="9">
        <v>7</v>
      </c>
      <c r="M511" s="9">
        <f t="shared" si="15"/>
        <v>11</v>
      </c>
      <c r="N511" s="9">
        <v>9</v>
      </c>
    </row>
    <row r="512" spans="1:14" ht="15" customHeight="1" x14ac:dyDescent="0.35">
      <c r="A512" s="185"/>
      <c r="B512" s="14" t="s">
        <v>21</v>
      </c>
      <c r="C512" s="15" t="s">
        <v>16</v>
      </c>
      <c r="D512" s="15">
        <v>2</v>
      </c>
      <c r="E512" s="14" t="s">
        <v>17</v>
      </c>
      <c r="F512" s="186"/>
      <c r="G512" s="9">
        <v>9</v>
      </c>
      <c r="H512" s="9">
        <v>9</v>
      </c>
      <c r="I512" s="9">
        <v>11</v>
      </c>
      <c r="J512" s="9">
        <v>11</v>
      </c>
      <c r="K512" s="9">
        <f t="shared" si="14"/>
        <v>9</v>
      </c>
      <c r="L512" s="9">
        <v>6</v>
      </c>
      <c r="M512" s="9">
        <f t="shared" si="15"/>
        <v>11</v>
      </c>
      <c r="N512" s="9">
        <v>5</v>
      </c>
    </row>
    <row r="513" spans="1:14" ht="15" customHeight="1" x14ac:dyDescent="0.35">
      <c r="A513" s="185"/>
      <c r="B513" s="14" t="s">
        <v>21</v>
      </c>
      <c r="C513" s="15" t="s">
        <v>16</v>
      </c>
      <c r="D513" s="15">
        <v>2</v>
      </c>
      <c r="E513" s="14" t="s">
        <v>109</v>
      </c>
      <c r="F513" s="186"/>
      <c r="G513" s="9">
        <v>9</v>
      </c>
      <c r="H513" s="9">
        <v>8</v>
      </c>
      <c r="I513" s="9">
        <v>11</v>
      </c>
      <c r="J513" s="9">
        <v>11</v>
      </c>
      <c r="K513" s="9">
        <f t="shared" si="14"/>
        <v>9</v>
      </c>
      <c r="L513" s="9">
        <v>7</v>
      </c>
      <c r="M513" s="9">
        <f t="shared" si="15"/>
        <v>11</v>
      </c>
      <c r="N513" s="9">
        <v>9</v>
      </c>
    </row>
    <row r="514" spans="1:14" ht="15" customHeight="1" x14ac:dyDescent="0.35">
      <c r="A514" s="185"/>
      <c r="B514" s="12" t="s">
        <v>21</v>
      </c>
      <c r="C514" s="13" t="s">
        <v>16</v>
      </c>
      <c r="D514" s="13">
        <v>3</v>
      </c>
      <c r="E514" s="12" t="s">
        <v>17</v>
      </c>
      <c r="F514" s="186"/>
      <c r="G514" s="9">
        <v>9</v>
      </c>
      <c r="H514" s="9">
        <v>9</v>
      </c>
      <c r="I514" s="9">
        <v>11</v>
      </c>
      <c r="J514" s="9">
        <v>11</v>
      </c>
      <c r="K514" s="9">
        <f t="shared" si="14"/>
        <v>9</v>
      </c>
      <c r="L514" s="9">
        <v>6</v>
      </c>
      <c r="M514" s="9">
        <f t="shared" si="15"/>
        <v>11</v>
      </c>
      <c r="N514" s="9">
        <v>5</v>
      </c>
    </row>
    <row r="515" spans="1:14" ht="15" customHeight="1" x14ac:dyDescent="0.35">
      <c r="A515" s="185"/>
      <c r="B515" s="12" t="s">
        <v>21</v>
      </c>
      <c r="C515" s="13" t="s">
        <v>16</v>
      </c>
      <c r="D515" s="13">
        <v>3</v>
      </c>
      <c r="E515" s="12" t="s">
        <v>109</v>
      </c>
      <c r="F515" s="186"/>
      <c r="G515" s="9">
        <v>7</v>
      </c>
      <c r="H515" s="9">
        <v>7</v>
      </c>
      <c r="I515" s="9">
        <v>11</v>
      </c>
      <c r="J515" s="9">
        <v>11</v>
      </c>
      <c r="K515" s="9">
        <f t="shared" si="14"/>
        <v>7</v>
      </c>
      <c r="L515" s="9">
        <v>7</v>
      </c>
      <c r="M515" s="9">
        <f t="shared" si="15"/>
        <v>11</v>
      </c>
      <c r="N515" s="9">
        <v>9</v>
      </c>
    </row>
    <row r="516" spans="1:14" ht="15" customHeight="1" x14ac:dyDescent="0.35">
      <c r="A516" s="185"/>
      <c r="B516" s="14" t="s">
        <v>21</v>
      </c>
      <c r="C516" s="15" t="s">
        <v>19</v>
      </c>
      <c r="D516" s="15">
        <v>1</v>
      </c>
      <c r="E516" s="14" t="s">
        <v>17</v>
      </c>
      <c r="F516" s="186"/>
      <c r="G516" s="9">
        <v>9</v>
      </c>
      <c r="H516" s="9">
        <v>9</v>
      </c>
      <c r="I516" s="9">
        <v>12</v>
      </c>
      <c r="J516" s="9">
        <v>12</v>
      </c>
      <c r="K516" s="9">
        <f t="shared" si="14"/>
        <v>9</v>
      </c>
      <c r="L516" s="9">
        <v>6</v>
      </c>
      <c r="M516" s="9">
        <f t="shared" si="15"/>
        <v>12</v>
      </c>
      <c r="N516" s="9">
        <v>5</v>
      </c>
    </row>
    <row r="517" spans="1:14" ht="15" customHeight="1" x14ac:dyDescent="0.35">
      <c r="A517" s="185"/>
      <c r="B517" s="14" t="s">
        <v>21</v>
      </c>
      <c r="C517" s="15" t="s">
        <v>19</v>
      </c>
      <c r="D517" s="15">
        <v>1</v>
      </c>
      <c r="E517" s="14" t="s">
        <v>109</v>
      </c>
      <c r="F517" s="186"/>
      <c r="G517" s="9">
        <v>7</v>
      </c>
      <c r="H517" s="9">
        <v>7</v>
      </c>
      <c r="I517" s="9">
        <v>11</v>
      </c>
      <c r="J517" s="9">
        <v>11</v>
      </c>
      <c r="K517" s="9">
        <f t="shared" si="14"/>
        <v>7</v>
      </c>
      <c r="L517" s="9">
        <v>7</v>
      </c>
      <c r="M517" s="9">
        <f t="shared" si="15"/>
        <v>11</v>
      </c>
      <c r="N517" s="9">
        <v>9</v>
      </c>
    </row>
    <row r="518" spans="1:14" ht="15" customHeight="1" x14ac:dyDescent="0.35">
      <c r="A518" s="185"/>
      <c r="B518" s="12" t="s">
        <v>21</v>
      </c>
      <c r="C518" s="13" t="s">
        <v>19</v>
      </c>
      <c r="D518" s="13">
        <v>2</v>
      </c>
      <c r="E518" s="12" t="s">
        <v>17</v>
      </c>
      <c r="F518" s="186"/>
      <c r="G518" s="9">
        <v>9</v>
      </c>
      <c r="H518" s="9">
        <v>9</v>
      </c>
      <c r="I518" s="9">
        <v>11</v>
      </c>
      <c r="J518" s="9">
        <v>11</v>
      </c>
      <c r="K518" s="9">
        <f t="shared" si="14"/>
        <v>9</v>
      </c>
      <c r="L518" s="9">
        <v>6</v>
      </c>
      <c r="M518" s="9">
        <f t="shared" si="15"/>
        <v>11</v>
      </c>
      <c r="N518" s="9">
        <v>5</v>
      </c>
    </row>
    <row r="519" spans="1:14" ht="15" customHeight="1" x14ac:dyDescent="0.35">
      <c r="A519" s="185"/>
      <c r="B519" s="12" t="s">
        <v>21</v>
      </c>
      <c r="C519" s="13" t="s">
        <v>19</v>
      </c>
      <c r="D519" s="13">
        <v>2</v>
      </c>
      <c r="E519" s="12" t="s">
        <v>109</v>
      </c>
      <c r="F519" s="186"/>
      <c r="G519" s="9">
        <v>7</v>
      </c>
      <c r="H519" s="9">
        <v>7</v>
      </c>
      <c r="I519" s="9">
        <v>11</v>
      </c>
      <c r="J519" s="9">
        <v>11</v>
      </c>
      <c r="K519" s="9">
        <f t="shared" ref="K519:K582" si="16">G519</f>
        <v>7</v>
      </c>
      <c r="L519" s="9">
        <v>7</v>
      </c>
      <c r="M519" s="9">
        <f t="shared" ref="M519:M582" si="17">I519</f>
        <v>11</v>
      </c>
      <c r="N519" s="9">
        <v>9</v>
      </c>
    </row>
    <row r="520" spans="1:14" ht="15" customHeight="1" x14ac:dyDescent="0.35">
      <c r="A520" s="185"/>
      <c r="B520" s="14" t="s">
        <v>21</v>
      </c>
      <c r="C520" s="15" t="s">
        <v>19</v>
      </c>
      <c r="D520" s="15">
        <v>3</v>
      </c>
      <c r="E520" s="14" t="s">
        <v>17</v>
      </c>
      <c r="F520" s="186"/>
      <c r="G520" s="9">
        <v>9</v>
      </c>
      <c r="H520" s="9">
        <v>9</v>
      </c>
      <c r="I520" s="9">
        <v>11</v>
      </c>
      <c r="J520" s="9">
        <v>11</v>
      </c>
      <c r="K520" s="9">
        <f t="shared" si="16"/>
        <v>9</v>
      </c>
      <c r="L520" s="9">
        <v>6</v>
      </c>
      <c r="M520" s="9">
        <f t="shared" si="17"/>
        <v>11</v>
      </c>
      <c r="N520" s="9">
        <v>5</v>
      </c>
    </row>
    <row r="521" spans="1:14" ht="15" customHeight="1" x14ac:dyDescent="0.35">
      <c r="A521" s="185"/>
      <c r="B521" s="14" t="s">
        <v>21</v>
      </c>
      <c r="C521" s="15" t="s">
        <v>19</v>
      </c>
      <c r="D521" s="15">
        <v>3</v>
      </c>
      <c r="E521" s="14" t="s">
        <v>109</v>
      </c>
      <c r="F521" s="186"/>
      <c r="G521" s="9">
        <v>9</v>
      </c>
      <c r="H521" s="9">
        <v>8</v>
      </c>
      <c r="I521" s="9">
        <v>11</v>
      </c>
      <c r="J521" s="9">
        <v>11</v>
      </c>
      <c r="K521" s="9">
        <f t="shared" si="16"/>
        <v>9</v>
      </c>
      <c r="L521" s="9">
        <v>7</v>
      </c>
      <c r="M521" s="9">
        <f t="shared" si="17"/>
        <v>11</v>
      </c>
      <c r="N521" s="9">
        <v>9</v>
      </c>
    </row>
    <row r="522" spans="1:14" ht="15" customHeight="1" x14ac:dyDescent="0.35">
      <c r="A522" s="185"/>
      <c r="B522" s="12" t="s">
        <v>21</v>
      </c>
      <c r="C522" s="13" t="s">
        <v>20</v>
      </c>
      <c r="D522" s="13">
        <v>1</v>
      </c>
      <c r="E522" s="12" t="s">
        <v>17</v>
      </c>
      <c r="F522" s="186"/>
      <c r="G522" s="9">
        <v>9</v>
      </c>
      <c r="H522" s="9">
        <v>9</v>
      </c>
      <c r="I522" s="9">
        <v>12</v>
      </c>
      <c r="J522" s="9">
        <v>12</v>
      </c>
      <c r="K522" s="9">
        <f t="shared" si="16"/>
        <v>9</v>
      </c>
      <c r="L522" s="9">
        <v>6</v>
      </c>
      <c r="M522" s="9">
        <f t="shared" si="17"/>
        <v>12</v>
      </c>
      <c r="N522" s="9">
        <v>5</v>
      </c>
    </row>
    <row r="523" spans="1:14" ht="15" customHeight="1" x14ac:dyDescent="0.35">
      <c r="A523" s="185"/>
      <c r="B523" s="12" t="s">
        <v>21</v>
      </c>
      <c r="C523" s="13" t="s">
        <v>20</v>
      </c>
      <c r="D523" s="13">
        <v>1</v>
      </c>
      <c r="E523" s="12" t="s">
        <v>109</v>
      </c>
      <c r="F523" s="186"/>
      <c r="G523" s="9">
        <v>7</v>
      </c>
      <c r="H523" s="9">
        <v>7</v>
      </c>
      <c r="I523" s="9">
        <v>11</v>
      </c>
      <c r="J523" s="9">
        <v>11</v>
      </c>
      <c r="K523" s="9">
        <f t="shared" si="16"/>
        <v>7</v>
      </c>
      <c r="L523" s="9">
        <v>7</v>
      </c>
      <c r="M523" s="9">
        <f t="shared" si="17"/>
        <v>11</v>
      </c>
      <c r="N523" s="9">
        <v>9</v>
      </c>
    </row>
    <row r="524" spans="1:14" ht="15" customHeight="1" x14ac:dyDescent="0.35">
      <c r="A524" s="185"/>
      <c r="B524" s="14" t="s">
        <v>21</v>
      </c>
      <c r="C524" s="15" t="s">
        <v>20</v>
      </c>
      <c r="D524" s="15">
        <v>2</v>
      </c>
      <c r="E524" s="14" t="s">
        <v>17</v>
      </c>
      <c r="F524" s="186"/>
      <c r="G524" s="9">
        <v>9</v>
      </c>
      <c r="H524" s="9">
        <v>9</v>
      </c>
      <c r="I524" s="9">
        <v>12</v>
      </c>
      <c r="J524" s="9">
        <v>12</v>
      </c>
      <c r="K524" s="9">
        <f t="shared" si="16"/>
        <v>9</v>
      </c>
      <c r="L524" s="9">
        <v>6</v>
      </c>
      <c r="M524" s="9">
        <f t="shared" si="17"/>
        <v>12</v>
      </c>
      <c r="N524" s="9">
        <v>5</v>
      </c>
    </row>
    <row r="525" spans="1:14" ht="15" customHeight="1" x14ac:dyDescent="0.35">
      <c r="A525" s="185"/>
      <c r="B525" s="14" t="s">
        <v>21</v>
      </c>
      <c r="C525" s="15" t="s">
        <v>20</v>
      </c>
      <c r="D525" s="15">
        <v>2</v>
      </c>
      <c r="E525" s="14" t="s">
        <v>109</v>
      </c>
      <c r="F525" s="186"/>
      <c r="G525" s="9">
        <v>7</v>
      </c>
      <c r="H525" s="9">
        <v>7</v>
      </c>
      <c r="I525" s="9">
        <v>11</v>
      </c>
      <c r="J525" s="9">
        <v>11</v>
      </c>
      <c r="K525" s="9">
        <f t="shared" si="16"/>
        <v>7</v>
      </c>
      <c r="L525" s="9">
        <v>7</v>
      </c>
      <c r="M525" s="9">
        <f t="shared" si="17"/>
        <v>11</v>
      </c>
      <c r="N525" s="9">
        <v>9</v>
      </c>
    </row>
    <row r="526" spans="1:14" ht="15" customHeight="1" x14ac:dyDescent="0.35">
      <c r="A526" s="185"/>
      <c r="B526" s="12" t="s">
        <v>21</v>
      </c>
      <c r="C526" s="13" t="s">
        <v>20</v>
      </c>
      <c r="D526" s="13">
        <v>3</v>
      </c>
      <c r="E526" s="12" t="s">
        <v>17</v>
      </c>
      <c r="F526" s="186"/>
      <c r="G526" s="9">
        <v>9</v>
      </c>
      <c r="H526" s="9">
        <v>9</v>
      </c>
      <c r="I526" s="9">
        <v>13</v>
      </c>
      <c r="J526" s="9">
        <v>13</v>
      </c>
      <c r="K526" s="9">
        <f t="shared" si="16"/>
        <v>9</v>
      </c>
      <c r="L526" s="9">
        <v>6</v>
      </c>
      <c r="M526" s="9">
        <f t="shared" si="17"/>
        <v>13</v>
      </c>
      <c r="N526" s="9">
        <v>5</v>
      </c>
    </row>
    <row r="527" spans="1:14" ht="15" customHeight="1" x14ac:dyDescent="0.35">
      <c r="A527" s="185"/>
      <c r="B527" s="12" t="s">
        <v>21</v>
      </c>
      <c r="C527" s="13" t="s">
        <v>20</v>
      </c>
      <c r="D527" s="13">
        <v>3</v>
      </c>
      <c r="E527" s="12" t="s">
        <v>109</v>
      </c>
      <c r="F527" s="186"/>
      <c r="G527" s="9">
        <v>7</v>
      </c>
      <c r="H527" s="9">
        <v>7</v>
      </c>
      <c r="I527" s="9">
        <v>11</v>
      </c>
      <c r="J527" s="9">
        <v>11</v>
      </c>
      <c r="K527" s="9">
        <f t="shared" si="16"/>
        <v>7</v>
      </c>
      <c r="L527" s="9">
        <v>7</v>
      </c>
      <c r="M527" s="9">
        <f t="shared" si="17"/>
        <v>11</v>
      </c>
      <c r="N527" s="9">
        <v>9</v>
      </c>
    </row>
    <row r="528" spans="1:14" ht="15" customHeight="1" x14ac:dyDescent="0.35">
      <c r="A528" s="185"/>
      <c r="B528" s="16" t="s">
        <v>22</v>
      </c>
      <c r="C528" s="17" t="s">
        <v>16</v>
      </c>
      <c r="D528" s="17">
        <v>1</v>
      </c>
      <c r="E528" s="16" t="s">
        <v>17</v>
      </c>
      <c r="F528" s="186"/>
      <c r="G528" s="9">
        <v>7</v>
      </c>
      <c r="H528" s="9">
        <v>7</v>
      </c>
      <c r="I528" s="9">
        <v>11</v>
      </c>
      <c r="J528" s="9">
        <v>11</v>
      </c>
      <c r="K528" s="9">
        <f t="shared" si="16"/>
        <v>7</v>
      </c>
      <c r="L528" s="9">
        <v>7</v>
      </c>
      <c r="M528" s="9">
        <f t="shared" si="17"/>
        <v>11</v>
      </c>
      <c r="N528" s="9">
        <v>9</v>
      </c>
    </row>
    <row r="529" spans="1:14" ht="15" customHeight="1" x14ac:dyDescent="0.35">
      <c r="A529" s="185"/>
      <c r="B529" s="16" t="s">
        <v>22</v>
      </c>
      <c r="C529" s="17" t="s">
        <v>16</v>
      </c>
      <c r="D529" s="17">
        <v>1</v>
      </c>
      <c r="E529" s="16" t="s">
        <v>109</v>
      </c>
      <c r="F529" s="186"/>
      <c r="G529" s="9">
        <v>7</v>
      </c>
      <c r="H529" s="9">
        <v>7</v>
      </c>
      <c r="I529" s="9">
        <v>9</v>
      </c>
      <c r="J529" s="9">
        <v>9</v>
      </c>
      <c r="K529" s="9">
        <f t="shared" si="16"/>
        <v>7</v>
      </c>
      <c r="L529" s="9">
        <v>7</v>
      </c>
      <c r="M529" s="9">
        <f t="shared" si="17"/>
        <v>9</v>
      </c>
      <c r="N529" s="9">
        <v>8</v>
      </c>
    </row>
    <row r="530" spans="1:14" ht="15" customHeight="1" x14ac:dyDescent="0.35">
      <c r="A530" s="185"/>
      <c r="B530" s="18" t="s">
        <v>22</v>
      </c>
      <c r="C530" s="19" t="s">
        <v>16</v>
      </c>
      <c r="D530" s="19">
        <v>2</v>
      </c>
      <c r="E530" s="18" t="s">
        <v>17</v>
      </c>
      <c r="F530" s="186"/>
      <c r="G530" s="9">
        <v>7</v>
      </c>
      <c r="H530" s="9">
        <v>7</v>
      </c>
      <c r="I530" s="9">
        <v>11</v>
      </c>
      <c r="J530" s="9">
        <v>11</v>
      </c>
      <c r="K530" s="9">
        <f t="shared" si="16"/>
        <v>7</v>
      </c>
      <c r="L530" s="9">
        <v>7</v>
      </c>
      <c r="M530" s="9">
        <f t="shared" si="17"/>
        <v>11</v>
      </c>
      <c r="N530" s="9">
        <v>10</v>
      </c>
    </row>
    <row r="531" spans="1:14" ht="15" customHeight="1" x14ac:dyDescent="0.35">
      <c r="A531" s="185"/>
      <c r="B531" s="18" t="s">
        <v>22</v>
      </c>
      <c r="C531" s="19" t="s">
        <v>16</v>
      </c>
      <c r="D531" s="19">
        <v>2</v>
      </c>
      <c r="E531" s="18" t="s">
        <v>109</v>
      </c>
      <c r="F531" s="186"/>
      <c r="G531" s="9">
        <v>7</v>
      </c>
      <c r="H531" s="9">
        <v>7</v>
      </c>
      <c r="I531" s="9">
        <v>10</v>
      </c>
      <c r="J531" s="9">
        <v>10</v>
      </c>
      <c r="K531" s="9">
        <f t="shared" si="16"/>
        <v>7</v>
      </c>
      <c r="L531" s="9">
        <v>7</v>
      </c>
      <c r="M531" s="9">
        <f t="shared" si="17"/>
        <v>10</v>
      </c>
      <c r="N531" s="9">
        <v>9</v>
      </c>
    </row>
    <row r="532" spans="1:14" ht="15" customHeight="1" x14ac:dyDescent="0.35">
      <c r="A532" s="185"/>
      <c r="B532" s="16" t="s">
        <v>22</v>
      </c>
      <c r="C532" s="17" t="s">
        <v>16</v>
      </c>
      <c r="D532" s="17">
        <v>3</v>
      </c>
      <c r="E532" s="16" t="s">
        <v>17</v>
      </c>
      <c r="F532" s="186"/>
      <c r="G532" s="9">
        <v>7</v>
      </c>
      <c r="H532" s="9">
        <v>7</v>
      </c>
      <c r="I532" s="9">
        <v>11</v>
      </c>
      <c r="J532" s="9">
        <v>11</v>
      </c>
      <c r="K532" s="9">
        <f t="shared" si="16"/>
        <v>7</v>
      </c>
      <c r="L532" s="9">
        <v>7</v>
      </c>
      <c r="M532" s="9">
        <f t="shared" si="17"/>
        <v>11</v>
      </c>
      <c r="N532" s="9">
        <v>9</v>
      </c>
    </row>
    <row r="533" spans="1:14" ht="15" customHeight="1" x14ac:dyDescent="0.35">
      <c r="A533" s="185"/>
      <c r="B533" s="16" t="s">
        <v>22</v>
      </c>
      <c r="C533" s="17" t="s">
        <v>16</v>
      </c>
      <c r="D533" s="17">
        <v>3</v>
      </c>
      <c r="E533" s="16" t="s">
        <v>109</v>
      </c>
      <c r="F533" s="186"/>
      <c r="G533" s="9">
        <v>7</v>
      </c>
      <c r="H533" s="9">
        <v>7</v>
      </c>
      <c r="I533" s="9">
        <v>11</v>
      </c>
      <c r="J533" s="9">
        <v>11</v>
      </c>
      <c r="K533" s="9">
        <f t="shared" si="16"/>
        <v>7</v>
      </c>
      <c r="L533" s="9">
        <v>7</v>
      </c>
      <c r="M533" s="9">
        <f t="shared" si="17"/>
        <v>11</v>
      </c>
      <c r="N533" s="9">
        <v>10</v>
      </c>
    </row>
    <row r="534" spans="1:14" ht="15" customHeight="1" x14ac:dyDescent="0.35">
      <c r="A534" s="185"/>
      <c r="B534" s="18" t="s">
        <v>22</v>
      </c>
      <c r="C534" s="19" t="s">
        <v>19</v>
      </c>
      <c r="D534" s="19">
        <v>1</v>
      </c>
      <c r="E534" s="18" t="s">
        <v>17</v>
      </c>
      <c r="F534" s="186"/>
      <c r="G534" s="9">
        <v>7</v>
      </c>
      <c r="H534" s="9">
        <v>7</v>
      </c>
      <c r="I534" s="9">
        <v>11</v>
      </c>
      <c r="J534" s="9">
        <v>11</v>
      </c>
      <c r="K534" s="9">
        <f t="shared" si="16"/>
        <v>7</v>
      </c>
      <c r="L534" s="9">
        <v>7</v>
      </c>
      <c r="M534" s="9">
        <f t="shared" si="17"/>
        <v>11</v>
      </c>
      <c r="N534" s="9">
        <v>9</v>
      </c>
    </row>
    <row r="535" spans="1:14" ht="15" customHeight="1" x14ac:dyDescent="0.35">
      <c r="A535" s="185"/>
      <c r="B535" s="18" t="s">
        <v>22</v>
      </c>
      <c r="C535" s="19" t="s">
        <v>19</v>
      </c>
      <c r="D535" s="19">
        <v>1</v>
      </c>
      <c r="E535" s="18" t="s">
        <v>109</v>
      </c>
      <c r="F535" s="186"/>
      <c r="G535" s="9">
        <v>7</v>
      </c>
      <c r="H535" s="9">
        <v>7</v>
      </c>
      <c r="I535" s="9">
        <v>11</v>
      </c>
      <c r="J535" s="9">
        <v>11</v>
      </c>
      <c r="K535" s="9">
        <f t="shared" si="16"/>
        <v>7</v>
      </c>
      <c r="L535" s="9">
        <v>7</v>
      </c>
      <c r="M535" s="9">
        <f t="shared" si="17"/>
        <v>11</v>
      </c>
      <c r="N535" s="9">
        <v>10</v>
      </c>
    </row>
    <row r="536" spans="1:14" ht="15" customHeight="1" x14ac:dyDescent="0.35">
      <c r="A536" s="185"/>
      <c r="B536" s="16" t="s">
        <v>22</v>
      </c>
      <c r="C536" s="17" t="s">
        <v>19</v>
      </c>
      <c r="D536" s="17">
        <v>2</v>
      </c>
      <c r="E536" s="16" t="s">
        <v>17</v>
      </c>
      <c r="F536" s="186"/>
      <c r="G536" s="9">
        <v>7</v>
      </c>
      <c r="H536" s="9">
        <v>7</v>
      </c>
      <c r="I536" s="9">
        <v>11</v>
      </c>
      <c r="J536" s="9">
        <v>11</v>
      </c>
      <c r="K536" s="9">
        <f t="shared" si="16"/>
        <v>7</v>
      </c>
      <c r="L536" s="9">
        <v>7</v>
      </c>
      <c r="M536" s="9">
        <f t="shared" si="17"/>
        <v>11</v>
      </c>
      <c r="N536" s="9">
        <v>9</v>
      </c>
    </row>
    <row r="537" spans="1:14" ht="15" customHeight="1" x14ac:dyDescent="0.35">
      <c r="A537" s="185"/>
      <c r="B537" s="16" t="s">
        <v>22</v>
      </c>
      <c r="C537" s="17" t="s">
        <v>19</v>
      </c>
      <c r="D537" s="17">
        <v>2</v>
      </c>
      <c r="E537" s="16" t="s">
        <v>109</v>
      </c>
      <c r="F537" s="186"/>
      <c r="G537" s="9">
        <v>7</v>
      </c>
      <c r="H537" s="9">
        <v>7</v>
      </c>
      <c r="I537" s="9">
        <v>11</v>
      </c>
      <c r="J537" s="9">
        <v>11</v>
      </c>
      <c r="K537" s="9">
        <f t="shared" si="16"/>
        <v>7</v>
      </c>
      <c r="L537" s="9">
        <v>7</v>
      </c>
      <c r="M537" s="9">
        <f t="shared" si="17"/>
        <v>11</v>
      </c>
      <c r="N537" s="9">
        <v>10</v>
      </c>
    </row>
    <row r="538" spans="1:14" ht="15" customHeight="1" x14ac:dyDescent="0.35">
      <c r="A538" s="185"/>
      <c r="B538" s="18" t="s">
        <v>22</v>
      </c>
      <c r="C538" s="19" t="s">
        <v>19</v>
      </c>
      <c r="D538" s="19">
        <v>3</v>
      </c>
      <c r="E538" s="18" t="s">
        <v>17</v>
      </c>
      <c r="F538" s="186"/>
      <c r="G538" s="9">
        <v>7</v>
      </c>
      <c r="H538" s="9">
        <v>7</v>
      </c>
      <c r="I538" s="9">
        <v>11</v>
      </c>
      <c r="J538" s="9">
        <v>11</v>
      </c>
      <c r="K538" s="9">
        <f t="shared" si="16"/>
        <v>7</v>
      </c>
      <c r="L538" s="9">
        <v>7</v>
      </c>
      <c r="M538" s="9">
        <f t="shared" si="17"/>
        <v>11</v>
      </c>
      <c r="N538" s="9">
        <v>9</v>
      </c>
    </row>
    <row r="539" spans="1:14" ht="15" customHeight="1" x14ac:dyDescent="0.35">
      <c r="A539" s="185"/>
      <c r="B539" s="18" t="s">
        <v>22</v>
      </c>
      <c r="C539" s="19" t="s">
        <v>19</v>
      </c>
      <c r="D539" s="19">
        <v>3</v>
      </c>
      <c r="E539" s="18" t="s">
        <v>109</v>
      </c>
      <c r="F539" s="186"/>
      <c r="G539" s="9">
        <v>7</v>
      </c>
      <c r="H539" s="9">
        <v>7</v>
      </c>
      <c r="I539" s="9">
        <v>11</v>
      </c>
      <c r="J539" s="9">
        <v>11</v>
      </c>
      <c r="K539" s="9">
        <f t="shared" si="16"/>
        <v>7</v>
      </c>
      <c r="L539" s="9">
        <v>7</v>
      </c>
      <c r="M539" s="9">
        <f t="shared" si="17"/>
        <v>11</v>
      </c>
      <c r="N539" s="9">
        <v>10</v>
      </c>
    </row>
    <row r="540" spans="1:14" ht="15" customHeight="1" x14ac:dyDescent="0.35">
      <c r="A540" s="185"/>
      <c r="B540" s="16" t="s">
        <v>22</v>
      </c>
      <c r="C540" s="17" t="s">
        <v>20</v>
      </c>
      <c r="D540" s="17">
        <v>1</v>
      </c>
      <c r="E540" s="16" t="s">
        <v>17</v>
      </c>
      <c r="F540" s="186"/>
      <c r="G540" s="9">
        <v>7</v>
      </c>
      <c r="H540" s="9">
        <v>7</v>
      </c>
      <c r="I540" s="9">
        <v>11</v>
      </c>
      <c r="J540" s="9">
        <v>11</v>
      </c>
      <c r="K540" s="9">
        <f t="shared" si="16"/>
        <v>7</v>
      </c>
      <c r="L540" s="9">
        <v>7</v>
      </c>
      <c r="M540" s="9">
        <f t="shared" si="17"/>
        <v>11</v>
      </c>
      <c r="N540" s="9">
        <v>9</v>
      </c>
    </row>
    <row r="541" spans="1:14" ht="15" customHeight="1" x14ac:dyDescent="0.35">
      <c r="A541" s="185"/>
      <c r="B541" s="16" t="s">
        <v>22</v>
      </c>
      <c r="C541" s="17" t="s">
        <v>20</v>
      </c>
      <c r="D541" s="17">
        <v>1</v>
      </c>
      <c r="E541" s="16" t="s">
        <v>109</v>
      </c>
      <c r="F541" s="186"/>
      <c r="G541" s="9">
        <v>7</v>
      </c>
      <c r="H541" s="9">
        <v>7</v>
      </c>
      <c r="I541" s="9">
        <v>11</v>
      </c>
      <c r="J541" s="9">
        <v>11</v>
      </c>
      <c r="K541" s="9">
        <f t="shared" si="16"/>
        <v>7</v>
      </c>
      <c r="L541" s="9">
        <v>7</v>
      </c>
      <c r="M541" s="9">
        <f t="shared" si="17"/>
        <v>11</v>
      </c>
      <c r="N541" s="9">
        <v>10</v>
      </c>
    </row>
    <row r="542" spans="1:14" ht="15" customHeight="1" x14ac:dyDescent="0.35">
      <c r="A542" s="185"/>
      <c r="B542" s="18" t="s">
        <v>22</v>
      </c>
      <c r="C542" s="19" t="s">
        <v>20</v>
      </c>
      <c r="D542" s="19">
        <v>2</v>
      </c>
      <c r="E542" s="18" t="s">
        <v>17</v>
      </c>
      <c r="F542" s="186"/>
      <c r="G542" s="9">
        <v>7</v>
      </c>
      <c r="H542" s="9">
        <v>7</v>
      </c>
      <c r="I542" s="9">
        <v>11</v>
      </c>
      <c r="J542" s="9">
        <v>11</v>
      </c>
      <c r="K542" s="9">
        <f t="shared" si="16"/>
        <v>7</v>
      </c>
      <c r="L542" s="9">
        <v>7</v>
      </c>
      <c r="M542" s="9">
        <f t="shared" si="17"/>
        <v>11</v>
      </c>
      <c r="N542" s="9">
        <v>11</v>
      </c>
    </row>
    <row r="543" spans="1:14" ht="15" customHeight="1" x14ac:dyDescent="0.35">
      <c r="A543" s="185"/>
      <c r="B543" s="18" t="s">
        <v>22</v>
      </c>
      <c r="C543" s="19" t="s">
        <v>20</v>
      </c>
      <c r="D543" s="19">
        <v>2</v>
      </c>
      <c r="E543" s="18" t="s">
        <v>109</v>
      </c>
      <c r="F543" s="186"/>
      <c r="G543" s="9">
        <v>8</v>
      </c>
      <c r="H543" s="9">
        <v>8</v>
      </c>
      <c r="I543" s="9">
        <v>12</v>
      </c>
      <c r="J543" s="9">
        <v>12</v>
      </c>
      <c r="K543" s="9">
        <f t="shared" si="16"/>
        <v>8</v>
      </c>
      <c r="L543" s="9">
        <v>6</v>
      </c>
      <c r="M543" s="9">
        <f t="shared" si="17"/>
        <v>12</v>
      </c>
      <c r="N543" s="9">
        <v>5</v>
      </c>
    </row>
    <row r="544" spans="1:14" ht="15" customHeight="1" x14ac:dyDescent="0.35">
      <c r="A544" s="185"/>
      <c r="B544" s="16" t="s">
        <v>22</v>
      </c>
      <c r="C544" s="17" t="s">
        <v>20</v>
      </c>
      <c r="D544" s="17">
        <v>3</v>
      </c>
      <c r="E544" s="16" t="s">
        <v>17</v>
      </c>
      <c r="F544" s="186"/>
      <c r="G544" s="9">
        <v>7</v>
      </c>
      <c r="H544" s="9">
        <v>7</v>
      </c>
      <c r="I544" s="9">
        <v>12</v>
      </c>
      <c r="J544" s="9">
        <v>12</v>
      </c>
      <c r="K544" s="9">
        <f t="shared" si="16"/>
        <v>7</v>
      </c>
      <c r="L544" s="9">
        <v>7</v>
      </c>
      <c r="M544" s="9">
        <f t="shared" si="17"/>
        <v>12</v>
      </c>
      <c r="N544" s="9">
        <v>12</v>
      </c>
    </row>
    <row r="545" spans="1:14" ht="15" customHeight="1" x14ac:dyDescent="0.35">
      <c r="A545" s="185"/>
      <c r="B545" s="20" t="s">
        <v>22</v>
      </c>
      <c r="C545" s="21" t="s">
        <v>20</v>
      </c>
      <c r="D545" s="21">
        <v>3</v>
      </c>
      <c r="E545" s="20" t="s">
        <v>109</v>
      </c>
      <c r="F545" s="186"/>
      <c r="G545" s="22">
        <v>7</v>
      </c>
      <c r="H545" s="22">
        <v>7</v>
      </c>
      <c r="I545" s="22">
        <v>11</v>
      </c>
      <c r="J545" s="22">
        <v>11</v>
      </c>
      <c r="K545" s="95">
        <f t="shared" si="16"/>
        <v>7</v>
      </c>
      <c r="L545" s="95">
        <v>7</v>
      </c>
      <c r="M545" s="95">
        <f t="shared" si="17"/>
        <v>11</v>
      </c>
      <c r="N545" s="22">
        <v>10</v>
      </c>
    </row>
    <row r="546" spans="1:14" ht="15" customHeight="1" x14ac:dyDescent="0.35">
      <c r="A546" s="185" t="s">
        <v>32</v>
      </c>
      <c r="B546" s="7" t="s">
        <v>15</v>
      </c>
      <c r="C546" s="8" t="s">
        <v>16</v>
      </c>
      <c r="D546" s="8">
        <v>1</v>
      </c>
      <c r="E546" s="7" t="s">
        <v>17</v>
      </c>
      <c r="F546" s="186">
        <v>55</v>
      </c>
      <c r="G546" s="9">
        <v>9</v>
      </c>
      <c r="H546" s="9">
        <v>7</v>
      </c>
      <c r="I546" s="9">
        <v>12</v>
      </c>
      <c r="J546" s="9">
        <v>10</v>
      </c>
      <c r="K546" s="94">
        <f t="shared" si="16"/>
        <v>9</v>
      </c>
      <c r="L546" s="94">
        <v>9</v>
      </c>
      <c r="M546" s="94">
        <f t="shared" si="17"/>
        <v>12</v>
      </c>
      <c r="N546" s="9">
        <v>5</v>
      </c>
    </row>
    <row r="547" spans="1:14" ht="15" customHeight="1" x14ac:dyDescent="0.35">
      <c r="A547" s="185"/>
      <c r="B547" s="7" t="s">
        <v>15</v>
      </c>
      <c r="C547" s="8" t="s">
        <v>16</v>
      </c>
      <c r="D547" s="8">
        <v>1</v>
      </c>
      <c r="E547" s="7" t="s">
        <v>109</v>
      </c>
      <c r="F547" s="186"/>
      <c r="G547" s="9">
        <v>7</v>
      </c>
      <c r="H547" s="9">
        <v>5</v>
      </c>
      <c r="I547" s="9">
        <v>10</v>
      </c>
      <c r="J547" s="9">
        <v>10</v>
      </c>
      <c r="K547" s="9">
        <f t="shared" si="16"/>
        <v>7</v>
      </c>
      <c r="L547" s="9">
        <v>7</v>
      </c>
      <c r="M547" s="9">
        <f t="shared" si="17"/>
        <v>10</v>
      </c>
      <c r="N547" s="9">
        <v>9</v>
      </c>
    </row>
    <row r="548" spans="1:14" ht="15" customHeight="1" x14ac:dyDescent="0.35">
      <c r="A548" s="185"/>
      <c r="B548" s="10" t="s">
        <v>15</v>
      </c>
      <c r="C548" s="11" t="s">
        <v>16</v>
      </c>
      <c r="D548" s="11">
        <v>2</v>
      </c>
      <c r="E548" s="10" t="s">
        <v>17</v>
      </c>
      <c r="F548" s="186"/>
      <c r="G548" s="9">
        <v>9</v>
      </c>
      <c r="H548" s="9">
        <v>7</v>
      </c>
      <c r="I548" s="9">
        <v>12</v>
      </c>
      <c r="J548" s="9">
        <v>10</v>
      </c>
      <c r="K548" s="9">
        <f t="shared" si="16"/>
        <v>9</v>
      </c>
      <c r="L548" s="9">
        <v>9</v>
      </c>
      <c r="M548" s="9">
        <f t="shared" si="17"/>
        <v>12</v>
      </c>
      <c r="N548" s="9">
        <v>5</v>
      </c>
    </row>
    <row r="549" spans="1:14" ht="15" customHeight="1" x14ac:dyDescent="0.35">
      <c r="A549" s="185"/>
      <c r="B549" s="10" t="s">
        <v>15</v>
      </c>
      <c r="C549" s="11" t="s">
        <v>16</v>
      </c>
      <c r="D549" s="11">
        <v>2</v>
      </c>
      <c r="E549" s="10" t="s">
        <v>109</v>
      </c>
      <c r="F549" s="186"/>
      <c r="G549" s="9">
        <v>9</v>
      </c>
      <c r="H549" s="9">
        <v>7</v>
      </c>
      <c r="I549" s="9">
        <v>12</v>
      </c>
      <c r="J549" s="9">
        <v>10</v>
      </c>
      <c r="K549" s="9">
        <f t="shared" si="16"/>
        <v>9</v>
      </c>
      <c r="L549" s="9">
        <v>9</v>
      </c>
      <c r="M549" s="9">
        <f t="shared" si="17"/>
        <v>12</v>
      </c>
      <c r="N549" s="9">
        <v>5</v>
      </c>
    </row>
    <row r="550" spans="1:14" ht="15" customHeight="1" x14ac:dyDescent="0.35">
      <c r="A550" s="185"/>
      <c r="B550" s="7" t="s">
        <v>15</v>
      </c>
      <c r="C550" s="8" t="s">
        <v>16</v>
      </c>
      <c r="D550" s="8">
        <v>3</v>
      </c>
      <c r="E550" s="7" t="s">
        <v>17</v>
      </c>
      <c r="F550" s="186"/>
      <c r="G550" s="9">
        <v>9</v>
      </c>
      <c r="H550" s="9">
        <v>7</v>
      </c>
      <c r="I550" s="9">
        <v>12</v>
      </c>
      <c r="J550" s="9">
        <v>10</v>
      </c>
      <c r="K550" s="9">
        <f t="shared" si="16"/>
        <v>9</v>
      </c>
      <c r="L550" s="9">
        <v>9</v>
      </c>
      <c r="M550" s="9">
        <f t="shared" si="17"/>
        <v>12</v>
      </c>
      <c r="N550" s="9">
        <v>5</v>
      </c>
    </row>
    <row r="551" spans="1:14" ht="15" customHeight="1" x14ac:dyDescent="0.35">
      <c r="A551" s="185"/>
      <c r="B551" s="7" t="s">
        <v>15</v>
      </c>
      <c r="C551" s="8" t="s">
        <v>16</v>
      </c>
      <c r="D551" s="8">
        <v>3</v>
      </c>
      <c r="E551" s="7" t="s">
        <v>109</v>
      </c>
      <c r="F551" s="186"/>
      <c r="G551" s="9">
        <v>9</v>
      </c>
      <c r="H551" s="9">
        <v>6</v>
      </c>
      <c r="I551" s="9">
        <v>12</v>
      </c>
      <c r="J551" s="9">
        <v>10</v>
      </c>
      <c r="K551" s="9">
        <f t="shared" si="16"/>
        <v>9</v>
      </c>
      <c r="L551" s="9">
        <v>7</v>
      </c>
      <c r="M551" s="9">
        <f t="shared" si="17"/>
        <v>12</v>
      </c>
      <c r="N551" s="9">
        <v>5</v>
      </c>
    </row>
    <row r="552" spans="1:14" ht="15" customHeight="1" x14ac:dyDescent="0.35">
      <c r="A552" s="185"/>
      <c r="B552" s="10" t="s">
        <v>15</v>
      </c>
      <c r="C552" s="11" t="s">
        <v>19</v>
      </c>
      <c r="D552" s="11">
        <v>1</v>
      </c>
      <c r="E552" s="10" t="s">
        <v>17</v>
      </c>
      <c r="F552" s="186"/>
      <c r="G552" s="9">
        <v>9</v>
      </c>
      <c r="H552" s="9">
        <v>7</v>
      </c>
      <c r="I552" s="9">
        <v>12</v>
      </c>
      <c r="J552" s="9">
        <v>10</v>
      </c>
      <c r="K552" s="9">
        <f t="shared" si="16"/>
        <v>9</v>
      </c>
      <c r="L552" s="9">
        <v>8</v>
      </c>
      <c r="M552" s="9">
        <f t="shared" si="17"/>
        <v>12</v>
      </c>
      <c r="N552" s="9">
        <v>5</v>
      </c>
    </row>
    <row r="553" spans="1:14" ht="15" customHeight="1" x14ac:dyDescent="0.35">
      <c r="A553" s="185"/>
      <c r="B553" s="10" t="s">
        <v>15</v>
      </c>
      <c r="C553" s="11" t="s">
        <v>19</v>
      </c>
      <c r="D553" s="11">
        <v>1</v>
      </c>
      <c r="E553" s="10" t="s">
        <v>109</v>
      </c>
      <c r="F553" s="186"/>
      <c r="G553" s="9">
        <v>9</v>
      </c>
      <c r="H553" s="9">
        <v>6</v>
      </c>
      <c r="I553" s="9">
        <v>12</v>
      </c>
      <c r="J553" s="9">
        <v>10</v>
      </c>
      <c r="K553" s="9">
        <f t="shared" si="16"/>
        <v>9</v>
      </c>
      <c r="L553" s="9">
        <v>7</v>
      </c>
      <c r="M553" s="9">
        <f t="shared" si="17"/>
        <v>12</v>
      </c>
      <c r="N553" s="9">
        <v>5</v>
      </c>
    </row>
    <row r="554" spans="1:14" ht="15" customHeight="1" x14ac:dyDescent="0.35">
      <c r="A554" s="185"/>
      <c r="B554" s="7" t="s">
        <v>15</v>
      </c>
      <c r="C554" s="8" t="s">
        <v>19</v>
      </c>
      <c r="D554" s="8">
        <v>2</v>
      </c>
      <c r="E554" s="7" t="s">
        <v>17</v>
      </c>
      <c r="F554" s="186"/>
      <c r="G554" s="9">
        <v>9</v>
      </c>
      <c r="H554" s="9">
        <v>7</v>
      </c>
      <c r="I554" s="9">
        <v>12</v>
      </c>
      <c r="J554" s="9">
        <v>10</v>
      </c>
      <c r="K554" s="9">
        <f t="shared" si="16"/>
        <v>9</v>
      </c>
      <c r="L554" s="9">
        <v>8</v>
      </c>
      <c r="M554" s="9">
        <v>12</v>
      </c>
      <c r="N554" s="9">
        <v>5</v>
      </c>
    </row>
    <row r="555" spans="1:14" ht="15" customHeight="1" x14ac:dyDescent="0.35">
      <c r="A555" s="185"/>
      <c r="B555" s="7" t="s">
        <v>15</v>
      </c>
      <c r="C555" s="8" t="s">
        <v>19</v>
      </c>
      <c r="D555" s="8">
        <v>2</v>
      </c>
      <c r="E555" s="7" t="s">
        <v>109</v>
      </c>
      <c r="F555" s="186"/>
      <c r="G555" s="9">
        <v>7</v>
      </c>
      <c r="H555" s="9">
        <v>5</v>
      </c>
      <c r="I555" s="9">
        <v>10</v>
      </c>
      <c r="J555" s="9">
        <v>10</v>
      </c>
      <c r="K555" s="9">
        <f t="shared" si="16"/>
        <v>7</v>
      </c>
      <c r="L555" s="9">
        <v>5</v>
      </c>
      <c r="M555" s="9">
        <f t="shared" si="17"/>
        <v>10</v>
      </c>
      <c r="N555" s="9">
        <v>9</v>
      </c>
    </row>
    <row r="556" spans="1:14" ht="15" customHeight="1" x14ac:dyDescent="0.35">
      <c r="A556" s="185"/>
      <c r="B556" s="10" t="s">
        <v>15</v>
      </c>
      <c r="C556" s="11" t="s">
        <v>19</v>
      </c>
      <c r="D556" s="11">
        <v>3</v>
      </c>
      <c r="E556" s="10" t="s">
        <v>17</v>
      </c>
      <c r="F556" s="186"/>
      <c r="G556" s="9">
        <v>9</v>
      </c>
      <c r="H556" s="9">
        <v>7</v>
      </c>
      <c r="I556" s="9">
        <v>12</v>
      </c>
      <c r="J556" s="9">
        <v>10</v>
      </c>
      <c r="K556" s="9">
        <f t="shared" si="16"/>
        <v>9</v>
      </c>
      <c r="L556" s="9">
        <v>8</v>
      </c>
      <c r="M556" s="9">
        <v>12</v>
      </c>
      <c r="N556" s="9">
        <v>5</v>
      </c>
    </row>
    <row r="557" spans="1:14" ht="15" customHeight="1" x14ac:dyDescent="0.35">
      <c r="A557" s="185"/>
      <c r="B557" s="10" t="s">
        <v>15</v>
      </c>
      <c r="C557" s="11" t="s">
        <v>19</v>
      </c>
      <c r="D557" s="11">
        <v>3</v>
      </c>
      <c r="E557" s="10" t="s">
        <v>109</v>
      </c>
      <c r="F557" s="186"/>
      <c r="G557" s="9">
        <v>9</v>
      </c>
      <c r="H557" s="9">
        <v>7</v>
      </c>
      <c r="I557" s="9">
        <v>12</v>
      </c>
      <c r="J557" s="9">
        <v>10</v>
      </c>
      <c r="K557" s="9">
        <f t="shared" si="16"/>
        <v>9</v>
      </c>
      <c r="L557" s="9">
        <v>7</v>
      </c>
      <c r="M557" s="9">
        <f t="shared" si="17"/>
        <v>12</v>
      </c>
      <c r="N557" s="9">
        <v>5</v>
      </c>
    </row>
    <row r="558" spans="1:14" ht="15" customHeight="1" x14ac:dyDescent="0.35">
      <c r="A558" s="185"/>
      <c r="B558" s="7" t="s">
        <v>15</v>
      </c>
      <c r="C558" s="8" t="s">
        <v>20</v>
      </c>
      <c r="D558" s="8">
        <v>1</v>
      </c>
      <c r="E558" s="7" t="s">
        <v>17</v>
      </c>
      <c r="F558" s="186"/>
      <c r="G558" s="9">
        <v>9</v>
      </c>
      <c r="H558" s="9">
        <v>7</v>
      </c>
      <c r="I558" s="9">
        <v>12</v>
      </c>
      <c r="J558" s="9">
        <v>10</v>
      </c>
      <c r="K558" s="9">
        <f t="shared" si="16"/>
        <v>9</v>
      </c>
      <c r="L558" s="9">
        <v>9</v>
      </c>
      <c r="M558" s="9">
        <f t="shared" si="17"/>
        <v>12</v>
      </c>
      <c r="N558" s="9">
        <v>5</v>
      </c>
    </row>
    <row r="559" spans="1:14" ht="15" customHeight="1" x14ac:dyDescent="0.35">
      <c r="A559" s="185"/>
      <c r="B559" s="7" t="s">
        <v>15</v>
      </c>
      <c r="C559" s="8" t="s">
        <v>20</v>
      </c>
      <c r="D559" s="8">
        <v>1</v>
      </c>
      <c r="E559" s="7" t="s">
        <v>109</v>
      </c>
      <c r="F559" s="186"/>
      <c r="G559" s="9">
        <v>7</v>
      </c>
      <c r="H559" s="9">
        <v>5</v>
      </c>
      <c r="I559" s="9">
        <v>10</v>
      </c>
      <c r="J559" s="9">
        <v>10</v>
      </c>
      <c r="K559" s="9">
        <f t="shared" si="16"/>
        <v>7</v>
      </c>
      <c r="L559" s="9">
        <v>5</v>
      </c>
      <c r="M559" s="9">
        <f t="shared" si="17"/>
        <v>10</v>
      </c>
      <c r="N559" s="9">
        <v>8</v>
      </c>
    </row>
    <row r="560" spans="1:14" ht="15" customHeight="1" x14ac:dyDescent="0.35">
      <c r="A560" s="185"/>
      <c r="B560" s="10" t="s">
        <v>15</v>
      </c>
      <c r="C560" s="11" t="s">
        <v>20</v>
      </c>
      <c r="D560" s="11">
        <v>2</v>
      </c>
      <c r="E560" s="10" t="s">
        <v>17</v>
      </c>
      <c r="F560" s="186"/>
      <c r="G560" s="9">
        <v>9</v>
      </c>
      <c r="H560" s="9">
        <v>7</v>
      </c>
      <c r="I560" s="9">
        <v>12</v>
      </c>
      <c r="J560" s="9">
        <v>10</v>
      </c>
      <c r="K560" s="9">
        <f t="shared" si="16"/>
        <v>9</v>
      </c>
      <c r="L560" s="9">
        <v>8</v>
      </c>
      <c r="M560" s="9">
        <f t="shared" si="17"/>
        <v>12</v>
      </c>
      <c r="N560" s="9">
        <v>5</v>
      </c>
    </row>
    <row r="561" spans="1:14" ht="15" customHeight="1" x14ac:dyDescent="0.35">
      <c r="A561" s="185"/>
      <c r="B561" s="10" t="s">
        <v>15</v>
      </c>
      <c r="C561" s="11" t="s">
        <v>20</v>
      </c>
      <c r="D561" s="11">
        <v>2</v>
      </c>
      <c r="E561" s="10" t="s">
        <v>109</v>
      </c>
      <c r="F561" s="186"/>
      <c r="G561" s="9">
        <v>7</v>
      </c>
      <c r="H561" s="9">
        <v>5</v>
      </c>
      <c r="I561" s="9">
        <v>10</v>
      </c>
      <c r="J561" s="9">
        <v>10</v>
      </c>
      <c r="K561" s="9">
        <f t="shared" si="16"/>
        <v>7</v>
      </c>
      <c r="L561" s="9">
        <v>5</v>
      </c>
      <c r="M561" s="9">
        <f t="shared" si="17"/>
        <v>10</v>
      </c>
      <c r="N561" s="9">
        <v>9</v>
      </c>
    </row>
    <row r="562" spans="1:14" ht="15" customHeight="1" x14ac:dyDescent="0.35">
      <c r="A562" s="185"/>
      <c r="B562" s="7" t="s">
        <v>15</v>
      </c>
      <c r="C562" s="8" t="s">
        <v>20</v>
      </c>
      <c r="D562" s="8">
        <v>3</v>
      </c>
      <c r="E562" s="7" t="s">
        <v>17</v>
      </c>
      <c r="F562" s="186"/>
      <c r="G562" s="9">
        <v>9</v>
      </c>
      <c r="H562" s="9">
        <v>7</v>
      </c>
      <c r="I562" s="9">
        <v>12</v>
      </c>
      <c r="J562" s="9">
        <v>10</v>
      </c>
      <c r="K562" s="9">
        <f t="shared" si="16"/>
        <v>9</v>
      </c>
      <c r="L562" s="9">
        <v>9</v>
      </c>
      <c r="M562" s="9">
        <f t="shared" si="17"/>
        <v>12</v>
      </c>
      <c r="N562" s="9">
        <v>5</v>
      </c>
    </row>
    <row r="563" spans="1:14" ht="15" customHeight="1" x14ac:dyDescent="0.35">
      <c r="A563" s="185"/>
      <c r="B563" s="7" t="s">
        <v>15</v>
      </c>
      <c r="C563" s="8" t="s">
        <v>20</v>
      </c>
      <c r="D563" s="8">
        <v>3</v>
      </c>
      <c r="E563" s="7" t="s">
        <v>109</v>
      </c>
      <c r="F563" s="186"/>
      <c r="G563" s="9">
        <v>9</v>
      </c>
      <c r="H563" s="9">
        <v>6</v>
      </c>
      <c r="I563" s="9">
        <v>12</v>
      </c>
      <c r="J563" s="9">
        <v>10</v>
      </c>
      <c r="K563" s="9">
        <f t="shared" si="16"/>
        <v>9</v>
      </c>
      <c r="L563" s="9">
        <v>6</v>
      </c>
      <c r="M563" s="9">
        <f t="shared" si="17"/>
        <v>12</v>
      </c>
      <c r="N563" s="9">
        <v>4</v>
      </c>
    </row>
    <row r="564" spans="1:14" ht="15" customHeight="1" x14ac:dyDescent="0.35">
      <c r="A564" s="185"/>
      <c r="B564" s="12" t="s">
        <v>21</v>
      </c>
      <c r="C564" s="13" t="s">
        <v>16</v>
      </c>
      <c r="D564" s="13">
        <v>1</v>
      </c>
      <c r="E564" s="12" t="s">
        <v>17</v>
      </c>
      <c r="F564" s="186"/>
      <c r="G564" s="9">
        <v>7</v>
      </c>
      <c r="H564" s="9">
        <v>8</v>
      </c>
      <c r="I564" s="9">
        <f>7+4+4</f>
        <v>15</v>
      </c>
      <c r="J564" s="9">
        <f>4+4+7</f>
        <v>15</v>
      </c>
      <c r="K564" s="9">
        <f t="shared" si="16"/>
        <v>7</v>
      </c>
      <c r="L564" s="9">
        <v>5</v>
      </c>
      <c r="M564" s="9">
        <f t="shared" si="17"/>
        <v>15</v>
      </c>
      <c r="N564" s="9">
        <v>9</v>
      </c>
    </row>
    <row r="565" spans="1:14" ht="15" customHeight="1" x14ac:dyDescent="0.35">
      <c r="A565" s="185"/>
      <c r="B565" s="12" t="s">
        <v>21</v>
      </c>
      <c r="C565" s="13" t="s">
        <v>16</v>
      </c>
      <c r="D565" s="13">
        <v>1</v>
      </c>
      <c r="E565" s="12" t="s">
        <v>109</v>
      </c>
      <c r="F565" s="186"/>
      <c r="G565" s="9">
        <v>9</v>
      </c>
      <c r="H565" s="9">
        <v>6</v>
      </c>
      <c r="I565" s="9">
        <v>14</v>
      </c>
      <c r="J565" s="9">
        <v>10</v>
      </c>
      <c r="K565" s="9">
        <f t="shared" si="16"/>
        <v>9</v>
      </c>
      <c r="L565" s="9">
        <v>6</v>
      </c>
      <c r="M565" s="9">
        <f t="shared" si="17"/>
        <v>14</v>
      </c>
      <c r="N565" s="9">
        <v>5</v>
      </c>
    </row>
    <row r="566" spans="1:14" ht="15" customHeight="1" x14ac:dyDescent="0.35">
      <c r="A566" s="185"/>
      <c r="B566" s="14" t="s">
        <v>21</v>
      </c>
      <c r="C566" s="15" t="s">
        <v>16</v>
      </c>
      <c r="D566" s="15">
        <v>2</v>
      </c>
      <c r="E566" s="14" t="s">
        <v>17</v>
      </c>
      <c r="F566" s="186"/>
      <c r="G566" s="9">
        <v>13</v>
      </c>
      <c r="H566" s="9">
        <v>9</v>
      </c>
      <c r="I566" s="9">
        <f>6+7+5</f>
        <v>18</v>
      </c>
      <c r="J566" s="9">
        <v>18</v>
      </c>
      <c r="K566" s="9">
        <f t="shared" si="16"/>
        <v>13</v>
      </c>
      <c r="L566" s="9">
        <v>7</v>
      </c>
      <c r="M566" s="9">
        <f t="shared" si="17"/>
        <v>18</v>
      </c>
      <c r="N566" s="9">
        <f>4+2+4</f>
        <v>10</v>
      </c>
    </row>
    <row r="567" spans="1:14" ht="15" customHeight="1" x14ac:dyDescent="0.35">
      <c r="A567" s="185"/>
      <c r="B567" s="14" t="s">
        <v>21</v>
      </c>
      <c r="C567" s="15" t="s">
        <v>16</v>
      </c>
      <c r="D567" s="15">
        <v>2</v>
      </c>
      <c r="E567" s="14" t="s">
        <v>109</v>
      </c>
      <c r="F567" s="186"/>
      <c r="G567" s="9">
        <v>9</v>
      </c>
      <c r="H567" s="9">
        <v>6</v>
      </c>
      <c r="I567" s="9">
        <v>14</v>
      </c>
      <c r="J567" s="9">
        <v>10</v>
      </c>
      <c r="K567" s="9">
        <f t="shared" si="16"/>
        <v>9</v>
      </c>
      <c r="L567" s="9">
        <v>7</v>
      </c>
      <c r="M567" s="9">
        <f t="shared" si="17"/>
        <v>14</v>
      </c>
      <c r="N567" s="9">
        <v>5</v>
      </c>
    </row>
    <row r="568" spans="1:14" ht="15" customHeight="1" x14ac:dyDescent="0.35">
      <c r="A568" s="185"/>
      <c r="B568" s="12" t="s">
        <v>21</v>
      </c>
      <c r="C568" s="13" t="s">
        <v>16</v>
      </c>
      <c r="D568" s="13">
        <v>3</v>
      </c>
      <c r="E568" s="12" t="s">
        <v>17</v>
      </c>
      <c r="F568" s="186"/>
      <c r="G568" s="9">
        <v>11</v>
      </c>
      <c r="H568" s="9">
        <v>8</v>
      </c>
      <c r="I568" s="9">
        <v>15</v>
      </c>
      <c r="J568" s="9">
        <v>15</v>
      </c>
      <c r="K568" s="9">
        <f t="shared" si="16"/>
        <v>11</v>
      </c>
      <c r="L568" s="9">
        <v>6</v>
      </c>
      <c r="M568" s="9">
        <f t="shared" si="17"/>
        <v>15</v>
      </c>
      <c r="N568" s="9">
        <f>4+3+4</f>
        <v>11</v>
      </c>
    </row>
    <row r="569" spans="1:14" ht="15" customHeight="1" x14ac:dyDescent="0.35">
      <c r="A569" s="185"/>
      <c r="B569" s="12" t="s">
        <v>21</v>
      </c>
      <c r="C569" s="13" t="s">
        <v>16</v>
      </c>
      <c r="D569" s="13">
        <v>3</v>
      </c>
      <c r="E569" s="12" t="s">
        <v>109</v>
      </c>
      <c r="F569" s="186"/>
      <c r="G569" s="9">
        <v>9</v>
      </c>
      <c r="H569" s="9">
        <v>6</v>
      </c>
      <c r="I569" s="9">
        <v>15</v>
      </c>
      <c r="J569" s="9">
        <v>10</v>
      </c>
      <c r="K569" s="9">
        <f t="shared" si="16"/>
        <v>9</v>
      </c>
      <c r="L569" s="9">
        <v>7</v>
      </c>
      <c r="M569" s="9">
        <f t="shared" si="17"/>
        <v>15</v>
      </c>
      <c r="N569" s="9">
        <v>5</v>
      </c>
    </row>
    <row r="570" spans="1:14" ht="15" customHeight="1" x14ac:dyDescent="0.35">
      <c r="A570" s="185"/>
      <c r="B570" s="14" t="s">
        <v>21</v>
      </c>
      <c r="C570" s="15" t="s">
        <v>19</v>
      </c>
      <c r="D570" s="15">
        <v>1</v>
      </c>
      <c r="E570" s="14" t="s">
        <v>17</v>
      </c>
      <c r="F570" s="186"/>
      <c r="G570" s="9">
        <v>13</v>
      </c>
      <c r="H570" s="9">
        <v>11</v>
      </c>
      <c r="I570" s="9">
        <v>18</v>
      </c>
      <c r="J570" s="9">
        <v>18</v>
      </c>
      <c r="K570" s="9">
        <f t="shared" si="16"/>
        <v>13</v>
      </c>
      <c r="L570" s="9">
        <v>9</v>
      </c>
      <c r="M570" s="9">
        <f t="shared" si="17"/>
        <v>18</v>
      </c>
      <c r="N570" s="9">
        <f>5+2+2</f>
        <v>9</v>
      </c>
    </row>
    <row r="571" spans="1:14" ht="15" customHeight="1" x14ac:dyDescent="0.35">
      <c r="A571" s="185"/>
      <c r="B571" s="14" t="s">
        <v>21</v>
      </c>
      <c r="C571" s="15" t="s">
        <v>19</v>
      </c>
      <c r="D571" s="15">
        <v>1</v>
      </c>
      <c r="E571" s="14" t="s">
        <v>109</v>
      </c>
      <c r="F571" s="186"/>
      <c r="G571" s="9">
        <v>9</v>
      </c>
      <c r="H571" s="9">
        <v>6</v>
      </c>
      <c r="I571" s="9">
        <v>14</v>
      </c>
      <c r="J571" s="9">
        <v>10</v>
      </c>
      <c r="K571" s="9">
        <f t="shared" si="16"/>
        <v>9</v>
      </c>
      <c r="L571" s="9">
        <v>7</v>
      </c>
      <c r="M571" s="9">
        <f t="shared" si="17"/>
        <v>14</v>
      </c>
      <c r="N571" s="9">
        <v>5</v>
      </c>
    </row>
    <row r="572" spans="1:14" ht="15" customHeight="1" x14ac:dyDescent="0.35">
      <c r="A572" s="185"/>
      <c r="B572" s="12" t="s">
        <v>21</v>
      </c>
      <c r="C572" s="13" t="s">
        <v>19</v>
      </c>
      <c r="D572" s="13">
        <v>2</v>
      </c>
      <c r="E572" s="12" t="s">
        <v>17</v>
      </c>
      <c r="F572" s="186"/>
      <c r="G572" s="9">
        <v>13</v>
      </c>
      <c r="H572" s="9">
        <v>11</v>
      </c>
      <c r="I572" s="9">
        <v>14</v>
      </c>
      <c r="J572" s="9">
        <v>14</v>
      </c>
      <c r="K572" s="9">
        <f t="shared" si="16"/>
        <v>13</v>
      </c>
      <c r="L572" s="9">
        <v>7</v>
      </c>
      <c r="M572" s="9">
        <f t="shared" si="17"/>
        <v>14</v>
      </c>
      <c r="N572" s="9">
        <v>9</v>
      </c>
    </row>
    <row r="573" spans="1:14" ht="15" customHeight="1" x14ac:dyDescent="0.35">
      <c r="A573" s="185"/>
      <c r="B573" s="12" t="s">
        <v>21</v>
      </c>
      <c r="C573" s="13" t="s">
        <v>19</v>
      </c>
      <c r="D573" s="13">
        <v>2</v>
      </c>
      <c r="E573" s="12" t="s">
        <v>109</v>
      </c>
      <c r="F573" s="186"/>
      <c r="G573" s="9">
        <v>9</v>
      </c>
      <c r="H573" s="9">
        <v>6</v>
      </c>
      <c r="I573" s="9">
        <v>14</v>
      </c>
      <c r="J573" s="9">
        <v>10</v>
      </c>
      <c r="K573" s="9">
        <f t="shared" si="16"/>
        <v>9</v>
      </c>
      <c r="L573" s="9">
        <v>7</v>
      </c>
      <c r="M573" s="9">
        <f t="shared" si="17"/>
        <v>14</v>
      </c>
      <c r="N573" s="9">
        <v>5</v>
      </c>
    </row>
    <row r="574" spans="1:14" ht="15" customHeight="1" x14ac:dyDescent="0.35">
      <c r="A574" s="185"/>
      <c r="B574" s="14" t="s">
        <v>21</v>
      </c>
      <c r="C574" s="15" t="s">
        <v>19</v>
      </c>
      <c r="D574" s="15">
        <v>3</v>
      </c>
      <c r="E574" s="14" t="s">
        <v>17</v>
      </c>
      <c r="F574" s="186"/>
      <c r="G574" s="9">
        <v>11</v>
      </c>
      <c r="H574" s="9">
        <v>9</v>
      </c>
      <c r="I574" s="9">
        <v>15</v>
      </c>
      <c r="J574" s="9">
        <v>15</v>
      </c>
      <c r="K574" s="9">
        <f t="shared" si="16"/>
        <v>11</v>
      </c>
      <c r="L574" s="9">
        <v>4</v>
      </c>
      <c r="M574" s="9">
        <f t="shared" si="17"/>
        <v>15</v>
      </c>
      <c r="N574" s="9">
        <f>3+3+4</f>
        <v>10</v>
      </c>
    </row>
    <row r="575" spans="1:14" ht="15" customHeight="1" x14ac:dyDescent="0.35">
      <c r="A575" s="185"/>
      <c r="B575" s="14" t="s">
        <v>21</v>
      </c>
      <c r="C575" s="15" t="s">
        <v>19</v>
      </c>
      <c r="D575" s="15">
        <v>3</v>
      </c>
      <c r="E575" s="14" t="s">
        <v>109</v>
      </c>
      <c r="F575" s="186"/>
      <c r="G575" s="9">
        <v>9</v>
      </c>
      <c r="H575" s="9">
        <v>6</v>
      </c>
      <c r="I575" s="9">
        <v>14</v>
      </c>
      <c r="J575" s="9">
        <v>10</v>
      </c>
      <c r="K575" s="9">
        <f t="shared" si="16"/>
        <v>9</v>
      </c>
      <c r="L575" s="9">
        <v>7</v>
      </c>
      <c r="M575" s="9">
        <f t="shared" si="17"/>
        <v>14</v>
      </c>
      <c r="N575" s="9">
        <v>5</v>
      </c>
    </row>
    <row r="576" spans="1:14" ht="15" customHeight="1" x14ac:dyDescent="0.35">
      <c r="A576" s="185"/>
      <c r="B576" s="12" t="s">
        <v>21</v>
      </c>
      <c r="C576" s="13" t="s">
        <v>20</v>
      </c>
      <c r="D576" s="13">
        <v>1</v>
      </c>
      <c r="E576" s="12" t="s">
        <v>17</v>
      </c>
      <c r="F576" s="186"/>
      <c r="G576" s="9">
        <v>11</v>
      </c>
      <c r="H576" s="9">
        <v>9</v>
      </c>
      <c r="I576" s="9">
        <v>15</v>
      </c>
      <c r="J576" s="9">
        <v>15</v>
      </c>
      <c r="K576" s="9">
        <f t="shared" si="16"/>
        <v>11</v>
      </c>
      <c r="L576" s="9">
        <v>4</v>
      </c>
      <c r="M576" s="9">
        <f t="shared" si="17"/>
        <v>15</v>
      </c>
      <c r="N576" s="9">
        <f>4+3+4</f>
        <v>11</v>
      </c>
    </row>
    <row r="577" spans="1:14" ht="15" customHeight="1" x14ac:dyDescent="0.35">
      <c r="A577" s="185"/>
      <c r="B577" s="12" t="s">
        <v>21</v>
      </c>
      <c r="C577" s="13" t="s">
        <v>20</v>
      </c>
      <c r="D577" s="13">
        <v>1</v>
      </c>
      <c r="E577" s="12" t="s">
        <v>109</v>
      </c>
      <c r="F577" s="186"/>
      <c r="G577" s="9">
        <v>9</v>
      </c>
      <c r="H577" s="9">
        <v>6</v>
      </c>
      <c r="I577" s="9">
        <v>15</v>
      </c>
      <c r="J577" s="9">
        <v>10</v>
      </c>
      <c r="K577" s="9">
        <f t="shared" si="16"/>
        <v>9</v>
      </c>
      <c r="L577" s="9">
        <v>7</v>
      </c>
      <c r="M577" s="9">
        <f t="shared" si="17"/>
        <v>15</v>
      </c>
      <c r="N577" s="9">
        <v>5</v>
      </c>
    </row>
    <row r="578" spans="1:14" ht="15" customHeight="1" x14ac:dyDescent="0.35">
      <c r="A578" s="185"/>
      <c r="B578" s="14" t="s">
        <v>21</v>
      </c>
      <c r="C578" s="15" t="s">
        <v>20</v>
      </c>
      <c r="D578" s="15">
        <v>2</v>
      </c>
      <c r="E578" s="14" t="s">
        <v>17</v>
      </c>
      <c r="F578" s="186"/>
      <c r="G578" s="9">
        <v>13</v>
      </c>
      <c r="H578" s="9">
        <v>11</v>
      </c>
      <c r="I578" s="9">
        <v>17</v>
      </c>
      <c r="J578" s="9">
        <v>17</v>
      </c>
      <c r="K578" s="9">
        <f t="shared" si="16"/>
        <v>13</v>
      </c>
      <c r="L578" s="9">
        <v>7</v>
      </c>
      <c r="M578" s="9">
        <f t="shared" si="17"/>
        <v>17</v>
      </c>
      <c r="N578" s="9">
        <f>3+2+4</f>
        <v>9</v>
      </c>
    </row>
    <row r="579" spans="1:14" ht="15" customHeight="1" x14ac:dyDescent="0.35">
      <c r="A579" s="185"/>
      <c r="B579" s="14" t="s">
        <v>21</v>
      </c>
      <c r="C579" s="15" t="s">
        <v>20</v>
      </c>
      <c r="D579" s="15">
        <v>2</v>
      </c>
      <c r="E579" s="14" t="s">
        <v>109</v>
      </c>
      <c r="F579" s="186"/>
      <c r="G579" s="9">
        <v>9</v>
      </c>
      <c r="H579" s="9">
        <v>6</v>
      </c>
      <c r="I579" s="9">
        <v>12</v>
      </c>
      <c r="J579" s="9">
        <v>10</v>
      </c>
      <c r="K579" s="9">
        <f t="shared" si="16"/>
        <v>9</v>
      </c>
      <c r="L579" s="9">
        <v>7</v>
      </c>
      <c r="M579" s="9">
        <f t="shared" si="17"/>
        <v>12</v>
      </c>
      <c r="N579" s="9">
        <v>5</v>
      </c>
    </row>
    <row r="580" spans="1:14" ht="15" customHeight="1" x14ac:dyDescent="0.35">
      <c r="A580" s="185"/>
      <c r="B580" s="12" t="s">
        <v>21</v>
      </c>
      <c r="C580" s="13" t="s">
        <v>20</v>
      </c>
      <c r="D580" s="13">
        <v>3</v>
      </c>
      <c r="E580" s="12" t="s">
        <v>17</v>
      </c>
      <c r="F580" s="186"/>
      <c r="G580" s="9">
        <v>13</v>
      </c>
      <c r="H580" s="9">
        <v>11</v>
      </c>
      <c r="I580" s="9">
        <v>18</v>
      </c>
      <c r="J580" s="9">
        <v>18</v>
      </c>
      <c r="K580" s="9">
        <f t="shared" si="16"/>
        <v>13</v>
      </c>
      <c r="L580" s="9">
        <v>7</v>
      </c>
      <c r="M580" s="9">
        <f t="shared" si="17"/>
        <v>18</v>
      </c>
      <c r="N580" s="9">
        <f>4+2+4</f>
        <v>10</v>
      </c>
    </row>
    <row r="581" spans="1:14" ht="15" customHeight="1" x14ac:dyDescent="0.35">
      <c r="A581" s="185"/>
      <c r="B581" s="12" t="s">
        <v>21</v>
      </c>
      <c r="C581" s="13" t="s">
        <v>20</v>
      </c>
      <c r="D581" s="13">
        <v>3</v>
      </c>
      <c r="E581" s="12" t="s">
        <v>109</v>
      </c>
      <c r="F581" s="186"/>
      <c r="G581" s="9">
        <v>9</v>
      </c>
      <c r="H581" s="9">
        <v>6</v>
      </c>
      <c r="I581" s="9">
        <v>14</v>
      </c>
      <c r="J581" s="9">
        <v>10</v>
      </c>
      <c r="K581" s="9">
        <f t="shared" si="16"/>
        <v>9</v>
      </c>
      <c r="L581" s="9">
        <v>7</v>
      </c>
      <c r="M581" s="9">
        <f t="shared" si="17"/>
        <v>14</v>
      </c>
      <c r="N581" s="9">
        <v>5</v>
      </c>
    </row>
    <row r="582" spans="1:14" ht="15" customHeight="1" x14ac:dyDescent="0.35">
      <c r="A582" s="185"/>
      <c r="B582" s="16" t="s">
        <v>22</v>
      </c>
      <c r="C582" s="17" t="s">
        <v>16</v>
      </c>
      <c r="D582" s="17">
        <v>1</v>
      </c>
      <c r="E582" s="16" t="s">
        <v>17</v>
      </c>
      <c r="F582" s="186"/>
      <c r="G582" s="9">
        <v>11</v>
      </c>
      <c r="H582" s="9">
        <v>9</v>
      </c>
      <c r="I582" s="9">
        <f>7+6+6</f>
        <v>19</v>
      </c>
      <c r="J582" s="9">
        <v>19</v>
      </c>
      <c r="K582" s="9">
        <f t="shared" si="16"/>
        <v>11</v>
      </c>
      <c r="L582" s="9">
        <v>6</v>
      </c>
      <c r="M582" s="9">
        <f t="shared" si="17"/>
        <v>19</v>
      </c>
      <c r="N582" s="9">
        <f>6+4+2</f>
        <v>12</v>
      </c>
    </row>
    <row r="583" spans="1:14" ht="15" customHeight="1" x14ac:dyDescent="0.35">
      <c r="A583" s="185"/>
      <c r="B583" s="16" t="s">
        <v>22</v>
      </c>
      <c r="C583" s="17" t="s">
        <v>16</v>
      </c>
      <c r="D583" s="17">
        <v>1</v>
      </c>
      <c r="E583" s="16" t="s">
        <v>109</v>
      </c>
      <c r="F583" s="186"/>
      <c r="G583" s="9">
        <v>13</v>
      </c>
      <c r="H583" s="9">
        <v>8</v>
      </c>
      <c r="I583" s="9">
        <f>9+6+9</f>
        <v>24</v>
      </c>
      <c r="J583" s="9">
        <f>7+6+5</f>
        <v>18</v>
      </c>
      <c r="K583" s="9">
        <f t="shared" ref="K583:K646" si="18">G583</f>
        <v>13</v>
      </c>
      <c r="L583" s="9">
        <v>11</v>
      </c>
      <c r="M583" s="9">
        <f t="shared" ref="M583:M646" si="19">I583</f>
        <v>24</v>
      </c>
      <c r="N583" s="9">
        <f>3+6+6</f>
        <v>15</v>
      </c>
    </row>
    <row r="584" spans="1:14" ht="15" customHeight="1" x14ac:dyDescent="0.35">
      <c r="A584" s="185"/>
      <c r="B584" s="18" t="s">
        <v>22</v>
      </c>
      <c r="C584" s="19" t="s">
        <v>16</v>
      </c>
      <c r="D584" s="19">
        <v>2</v>
      </c>
      <c r="E584" s="18" t="s">
        <v>17</v>
      </c>
      <c r="F584" s="186"/>
      <c r="G584" s="9">
        <v>11</v>
      </c>
      <c r="H584" s="9">
        <v>9</v>
      </c>
      <c r="I584" s="9">
        <f>7+6+6</f>
        <v>19</v>
      </c>
      <c r="J584" s="9">
        <v>19</v>
      </c>
      <c r="K584" s="9">
        <f t="shared" si="18"/>
        <v>11</v>
      </c>
      <c r="L584" s="9">
        <v>7</v>
      </c>
      <c r="M584" s="9">
        <f t="shared" si="19"/>
        <v>19</v>
      </c>
      <c r="N584" s="9">
        <f>3+3+4</f>
        <v>10</v>
      </c>
    </row>
    <row r="585" spans="1:14" ht="15" customHeight="1" x14ac:dyDescent="0.35">
      <c r="A585" s="185"/>
      <c r="B585" s="18" t="s">
        <v>22</v>
      </c>
      <c r="C585" s="19" t="s">
        <v>16</v>
      </c>
      <c r="D585" s="19">
        <v>2</v>
      </c>
      <c r="E585" s="18" t="s">
        <v>109</v>
      </c>
      <c r="F585" s="186"/>
      <c r="G585" s="9">
        <v>9</v>
      </c>
      <c r="H585" s="9">
        <v>7</v>
      </c>
      <c r="I585" s="9">
        <v>12</v>
      </c>
      <c r="J585" s="9">
        <v>12</v>
      </c>
      <c r="K585" s="9">
        <f t="shared" si="18"/>
        <v>9</v>
      </c>
      <c r="L585" s="9">
        <v>5</v>
      </c>
      <c r="M585" s="9">
        <f t="shared" si="19"/>
        <v>12</v>
      </c>
      <c r="N585" s="9">
        <v>4</v>
      </c>
    </row>
    <row r="586" spans="1:14" ht="15" customHeight="1" x14ac:dyDescent="0.35">
      <c r="A586" s="185"/>
      <c r="B586" s="16" t="s">
        <v>22</v>
      </c>
      <c r="C586" s="17" t="s">
        <v>16</v>
      </c>
      <c r="D586" s="17">
        <v>3</v>
      </c>
      <c r="E586" s="16" t="s">
        <v>17</v>
      </c>
      <c r="F586" s="186"/>
      <c r="G586" s="9">
        <v>11</v>
      </c>
      <c r="H586" s="9">
        <v>9</v>
      </c>
      <c r="I586" s="9">
        <v>7</v>
      </c>
      <c r="J586" s="9">
        <v>7</v>
      </c>
      <c r="K586" s="9">
        <f t="shared" si="18"/>
        <v>11</v>
      </c>
      <c r="L586" s="9">
        <v>6</v>
      </c>
      <c r="M586" s="9">
        <f t="shared" si="19"/>
        <v>7</v>
      </c>
      <c r="N586" s="9">
        <v>6</v>
      </c>
    </row>
    <row r="587" spans="1:14" ht="15" customHeight="1" x14ac:dyDescent="0.35">
      <c r="A587" s="185"/>
      <c r="B587" s="16" t="s">
        <v>22</v>
      </c>
      <c r="C587" s="17" t="s">
        <v>16</v>
      </c>
      <c r="D587" s="17">
        <v>3</v>
      </c>
      <c r="E587" s="16" t="s">
        <v>109</v>
      </c>
      <c r="F587" s="186"/>
      <c r="G587" s="9">
        <v>13</v>
      </c>
      <c r="H587" s="9">
        <v>11</v>
      </c>
      <c r="I587" s="9">
        <v>24</v>
      </c>
      <c r="J587" s="9">
        <v>18</v>
      </c>
      <c r="K587" s="9">
        <f t="shared" si="18"/>
        <v>13</v>
      </c>
      <c r="L587" s="9">
        <v>9</v>
      </c>
      <c r="M587" s="9">
        <f t="shared" si="19"/>
        <v>24</v>
      </c>
      <c r="N587" s="9">
        <f>6+3+3</f>
        <v>12</v>
      </c>
    </row>
    <row r="588" spans="1:14" ht="15" customHeight="1" x14ac:dyDescent="0.35">
      <c r="A588" s="185"/>
      <c r="B588" s="18" t="s">
        <v>22</v>
      </c>
      <c r="C588" s="19" t="s">
        <v>19</v>
      </c>
      <c r="D588" s="19">
        <v>1</v>
      </c>
      <c r="E588" s="18" t="s">
        <v>17</v>
      </c>
      <c r="F588" s="186"/>
      <c r="G588" s="9">
        <v>11</v>
      </c>
      <c r="H588" s="9">
        <v>9</v>
      </c>
      <c r="I588" s="9">
        <v>19</v>
      </c>
      <c r="J588" s="9">
        <v>19</v>
      </c>
      <c r="K588" s="9">
        <f t="shared" si="18"/>
        <v>11</v>
      </c>
      <c r="L588" s="9">
        <v>6</v>
      </c>
      <c r="M588" s="9">
        <f t="shared" si="19"/>
        <v>19</v>
      </c>
      <c r="N588" s="9">
        <f>3+3+6</f>
        <v>12</v>
      </c>
    </row>
    <row r="589" spans="1:14" ht="15" customHeight="1" x14ac:dyDescent="0.35">
      <c r="A589" s="185"/>
      <c r="B589" s="18" t="s">
        <v>22</v>
      </c>
      <c r="C589" s="19" t="s">
        <v>19</v>
      </c>
      <c r="D589" s="19">
        <v>1</v>
      </c>
      <c r="E589" s="18" t="s">
        <v>109</v>
      </c>
      <c r="F589" s="186"/>
      <c r="G589" s="9">
        <v>13</v>
      </c>
      <c r="H589" s="9">
        <v>11</v>
      </c>
      <c r="I589" s="9">
        <v>25</v>
      </c>
      <c r="J589" s="9">
        <v>18</v>
      </c>
      <c r="K589" s="9">
        <f t="shared" si="18"/>
        <v>13</v>
      </c>
      <c r="L589" s="9">
        <v>9</v>
      </c>
      <c r="M589" s="9">
        <f t="shared" si="19"/>
        <v>25</v>
      </c>
      <c r="N589" s="9">
        <f>4+3+7</f>
        <v>14</v>
      </c>
    </row>
    <row r="590" spans="1:14" ht="15" customHeight="1" x14ac:dyDescent="0.35">
      <c r="A590" s="185"/>
      <c r="B590" s="16" t="s">
        <v>22</v>
      </c>
      <c r="C590" s="17" t="s">
        <v>19</v>
      </c>
      <c r="D590" s="17">
        <v>2</v>
      </c>
      <c r="E590" s="16" t="s">
        <v>17</v>
      </c>
      <c r="F590" s="186"/>
      <c r="G590" s="9">
        <v>11</v>
      </c>
      <c r="H590" s="9">
        <v>9</v>
      </c>
      <c r="I590" s="9">
        <v>19</v>
      </c>
      <c r="J590" s="9">
        <v>19</v>
      </c>
      <c r="K590" s="9">
        <f t="shared" si="18"/>
        <v>11</v>
      </c>
      <c r="L590" s="9">
        <v>7</v>
      </c>
      <c r="M590" s="9">
        <f t="shared" si="19"/>
        <v>19</v>
      </c>
      <c r="N590" s="9">
        <f>7+3+3</f>
        <v>13</v>
      </c>
    </row>
    <row r="591" spans="1:14" ht="15" customHeight="1" x14ac:dyDescent="0.35">
      <c r="A591" s="185"/>
      <c r="B591" s="16" t="s">
        <v>22</v>
      </c>
      <c r="C591" s="17" t="s">
        <v>19</v>
      </c>
      <c r="D591" s="17">
        <v>2</v>
      </c>
      <c r="E591" s="16" t="s">
        <v>109</v>
      </c>
      <c r="F591" s="186"/>
      <c r="G591" s="9">
        <v>13</v>
      </c>
      <c r="H591" s="9">
        <v>13</v>
      </c>
      <c r="I591" s="9">
        <v>23</v>
      </c>
      <c r="J591" s="9">
        <v>23</v>
      </c>
      <c r="K591" s="9">
        <f t="shared" si="18"/>
        <v>13</v>
      </c>
      <c r="L591" s="9">
        <v>9</v>
      </c>
      <c r="M591" s="9">
        <f t="shared" si="19"/>
        <v>23</v>
      </c>
      <c r="N591" s="9">
        <v>16</v>
      </c>
    </row>
    <row r="592" spans="1:14" ht="15" customHeight="1" x14ac:dyDescent="0.35">
      <c r="A592" s="185"/>
      <c r="B592" s="18" t="s">
        <v>22</v>
      </c>
      <c r="C592" s="19" t="s">
        <v>19</v>
      </c>
      <c r="D592" s="19">
        <v>3</v>
      </c>
      <c r="E592" s="18" t="s">
        <v>17</v>
      </c>
      <c r="F592" s="186"/>
      <c r="G592" s="9">
        <v>11</v>
      </c>
      <c r="H592" s="9">
        <v>9</v>
      </c>
      <c r="I592" s="9">
        <v>7</v>
      </c>
      <c r="J592" s="9">
        <v>7</v>
      </c>
      <c r="K592" s="9">
        <f t="shared" si="18"/>
        <v>11</v>
      </c>
      <c r="L592" s="9">
        <v>7</v>
      </c>
      <c r="M592" s="9">
        <f t="shared" si="19"/>
        <v>7</v>
      </c>
      <c r="N592" s="9">
        <v>7</v>
      </c>
    </row>
    <row r="593" spans="1:14" ht="15" customHeight="1" x14ac:dyDescent="0.35">
      <c r="A593" s="185"/>
      <c r="B593" s="18" t="s">
        <v>22</v>
      </c>
      <c r="C593" s="19" t="s">
        <v>19</v>
      </c>
      <c r="D593" s="19">
        <v>3</v>
      </c>
      <c r="E593" s="18" t="s">
        <v>109</v>
      </c>
      <c r="F593" s="186"/>
      <c r="G593" s="9">
        <v>13</v>
      </c>
      <c r="H593" s="9">
        <v>12</v>
      </c>
      <c r="I593" s="9">
        <v>25</v>
      </c>
      <c r="J593" s="9">
        <v>18</v>
      </c>
      <c r="K593" s="9">
        <f t="shared" si="18"/>
        <v>13</v>
      </c>
      <c r="L593" s="9">
        <v>11</v>
      </c>
      <c r="M593" s="9">
        <f t="shared" si="19"/>
        <v>25</v>
      </c>
      <c r="N593" s="9">
        <f>7+6+3</f>
        <v>16</v>
      </c>
    </row>
    <row r="594" spans="1:14" ht="15" customHeight="1" x14ac:dyDescent="0.35">
      <c r="A594" s="185"/>
      <c r="B594" s="16" t="s">
        <v>22</v>
      </c>
      <c r="C594" s="17" t="s">
        <v>20</v>
      </c>
      <c r="D594" s="17">
        <v>1</v>
      </c>
      <c r="E594" s="16" t="s">
        <v>17</v>
      </c>
      <c r="F594" s="186"/>
      <c r="G594" s="9">
        <v>11</v>
      </c>
      <c r="H594" s="9">
        <v>9</v>
      </c>
      <c r="I594" s="9">
        <v>19</v>
      </c>
      <c r="J594" s="9">
        <v>19</v>
      </c>
      <c r="K594" s="9">
        <f t="shared" si="18"/>
        <v>11</v>
      </c>
      <c r="L594" s="9">
        <v>7</v>
      </c>
      <c r="M594" s="9">
        <f t="shared" si="19"/>
        <v>19</v>
      </c>
      <c r="N594" s="9">
        <f>2+3+7</f>
        <v>12</v>
      </c>
    </row>
    <row r="595" spans="1:14" ht="15" customHeight="1" x14ac:dyDescent="0.35">
      <c r="A595" s="185"/>
      <c r="B595" s="16" t="s">
        <v>22</v>
      </c>
      <c r="C595" s="17" t="s">
        <v>20</v>
      </c>
      <c r="D595" s="17">
        <v>1</v>
      </c>
      <c r="E595" s="16" t="s">
        <v>109</v>
      </c>
      <c r="F595" s="186"/>
      <c r="G595" s="9">
        <v>13</v>
      </c>
      <c r="H595" s="9">
        <v>12</v>
      </c>
      <c r="I595" s="9">
        <v>20</v>
      </c>
      <c r="J595" s="9">
        <v>20</v>
      </c>
      <c r="K595" s="9">
        <f t="shared" si="18"/>
        <v>13</v>
      </c>
      <c r="L595" s="9">
        <v>11</v>
      </c>
      <c r="M595" s="9">
        <f t="shared" si="19"/>
        <v>20</v>
      </c>
      <c r="N595" s="9">
        <f>3+3+5</f>
        <v>11</v>
      </c>
    </row>
    <row r="596" spans="1:14" ht="15" customHeight="1" x14ac:dyDescent="0.35">
      <c r="A596" s="185"/>
      <c r="B596" s="18" t="s">
        <v>22</v>
      </c>
      <c r="C596" s="19" t="s">
        <v>20</v>
      </c>
      <c r="D596" s="19">
        <v>2</v>
      </c>
      <c r="E596" s="18" t="s">
        <v>17</v>
      </c>
      <c r="F596" s="186"/>
      <c r="G596" s="9">
        <v>13</v>
      </c>
      <c r="H596" s="9">
        <v>10</v>
      </c>
      <c r="I596" s="9">
        <v>20</v>
      </c>
      <c r="J596" s="9">
        <v>20</v>
      </c>
      <c r="K596" s="9">
        <f t="shared" si="18"/>
        <v>13</v>
      </c>
      <c r="L596" s="9">
        <v>8</v>
      </c>
      <c r="M596" s="9">
        <f t="shared" si="19"/>
        <v>20</v>
      </c>
      <c r="N596" s="9">
        <f>6+3+3</f>
        <v>12</v>
      </c>
    </row>
    <row r="597" spans="1:14" ht="15" customHeight="1" x14ac:dyDescent="0.35">
      <c r="A597" s="185"/>
      <c r="B597" s="18" t="s">
        <v>22</v>
      </c>
      <c r="C597" s="19" t="s">
        <v>20</v>
      </c>
      <c r="D597" s="19">
        <v>2</v>
      </c>
      <c r="E597" s="18" t="s">
        <v>109</v>
      </c>
      <c r="F597" s="186"/>
      <c r="G597" s="9">
        <v>9</v>
      </c>
      <c r="H597" s="9">
        <v>6</v>
      </c>
      <c r="I597" s="9">
        <v>10</v>
      </c>
      <c r="J597" s="9">
        <v>10</v>
      </c>
      <c r="K597" s="9">
        <f t="shared" si="18"/>
        <v>9</v>
      </c>
      <c r="L597" s="9">
        <v>3</v>
      </c>
      <c r="M597" s="9">
        <f t="shared" si="19"/>
        <v>10</v>
      </c>
      <c r="N597" s="9">
        <v>4</v>
      </c>
    </row>
    <row r="598" spans="1:14" ht="15" customHeight="1" x14ac:dyDescent="0.35">
      <c r="A598" s="185"/>
      <c r="B598" s="16" t="s">
        <v>22</v>
      </c>
      <c r="C598" s="17" t="s">
        <v>20</v>
      </c>
      <c r="D598" s="17">
        <v>3</v>
      </c>
      <c r="E598" s="16" t="s">
        <v>17</v>
      </c>
      <c r="F598" s="186"/>
      <c r="G598" s="9">
        <v>11</v>
      </c>
      <c r="H598" s="9">
        <v>9</v>
      </c>
      <c r="I598" s="9">
        <v>19</v>
      </c>
      <c r="J598" s="9">
        <v>19</v>
      </c>
      <c r="K598" s="9">
        <f t="shared" si="18"/>
        <v>11</v>
      </c>
      <c r="L598" s="9">
        <v>6</v>
      </c>
      <c r="M598" s="9">
        <f t="shared" si="19"/>
        <v>19</v>
      </c>
      <c r="N598" s="9">
        <f>3+2+6</f>
        <v>11</v>
      </c>
    </row>
    <row r="599" spans="1:14" ht="15" customHeight="1" x14ac:dyDescent="0.35">
      <c r="A599" s="185"/>
      <c r="B599" s="20" t="s">
        <v>22</v>
      </c>
      <c r="C599" s="21" t="s">
        <v>20</v>
      </c>
      <c r="D599" s="21">
        <v>3</v>
      </c>
      <c r="E599" s="20" t="s">
        <v>109</v>
      </c>
      <c r="F599" s="186"/>
      <c r="G599" s="22">
        <v>13</v>
      </c>
      <c r="H599" s="22">
        <v>13</v>
      </c>
      <c r="I599" s="22">
        <v>24</v>
      </c>
      <c r="J599" s="22">
        <v>24</v>
      </c>
      <c r="K599" s="95">
        <f t="shared" si="18"/>
        <v>13</v>
      </c>
      <c r="L599" s="95">
        <v>9</v>
      </c>
      <c r="M599" s="95">
        <f t="shared" si="19"/>
        <v>24</v>
      </c>
      <c r="N599" s="22">
        <v>16</v>
      </c>
    </row>
    <row r="600" spans="1:14" ht="15" customHeight="1" x14ac:dyDescent="0.35">
      <c r="A600" s="185" t="s">
        <v>33</v>
      </c>
      <c r="B600" s="7" t="s">
        <v>15</v>
      </c>
      <c r="C600" s="8" t="s">
        <v>16</v>
      </c>
      <c r="D600" s="8">
        <v>1</v>
      </c>
      <c r="E600" s="7" t="s">
        <v>17</v>
      </c>
      <c r="F600" s="186">
        <v>63</v>
      </c>
      <c r="G600" s="9">
        <v>9</v>
      </c>
      <c r="H600" s="9">
        <v>9</v>
      </c>
      <c r="I600" s="9">
        <v>12</v>
      </c>
      <c r="J600" s="9">
        <v>12</v>
      </c>
      <c r="K600" s="94">
        <f t="shared" si="18"/>
        <v>9</v>
      </c>
      <c r="L600" s="94">
        <v>9</v>
      </c>
      <c r="M600" s="94">
        <f t="shared" si="19"/>
        <v>12</v>
      </c>
      <c r="N600" s="9">
        <v>12</v>
      </c>
    </row>
    <row r="601" spans="1:14" ht="15" customHeight="1" x14ac:dyDescent="0.35">
      <c r="A601" s="185"/>
      <c r="B601" s="7" t="s">
        <v>15</v>
      </c>
      <c r="C601" s="8" t="s">
        <v>16</v>
      </c>
      <c r="D601" s="8">
        <v>1</v>
      </c>
      <c r="E601" s="7" t="s">
        <v>109</v>
      </c>
      <c r="F601" s="186"/>
      <c r="G601" s="9">
        <v>11</v>
      </c>
      <c r="H601" s="9">
        <v>11</v>
      </c>
      <c r="I601" s="9">
        <v>15</v>
      </c>
      <c r="J601" s="9">
        <v>15</v>
      </c>
      <c r="K601" s="9">
        <f t="shared" si="18"/>
        <v>11</v>
      </c>
      <c r="L601" s="9">
        <v>10</v>
      </c>
      <c r="M601" s="9">
        <f t="shared" si="19"/>
        <v>15</v>
      </c>
      <c r="N601" s="9">
        <v>15</v>
      </c>
    </row>
    <row r="602" spans="1:14" ht="15" customHeight="1" x14ac:dyDescent="0.35">
      <c r="A602" s="185"/>
      <c r="B602" s="10" t="s">
        <v>15</v>
      </c>
      <c r="C602" s="11" t="s">
        <v>16</v>
      </c>
      <c r="D602" s="11">
        <v>2</v>
      </c>
      <c r="E602" s="10" t="s">
        <v>17</v>
      </c>
      <c r="F602" s="186"/>
      <c r="G602" s="9">
        <v>9</v>
      </c>
      <c r="H602" s="9">
        <v>9</v>
      </c>
      <c r="I602" s="9">
        <v>12</v>
      </c>
      <c r="J602" s="9">
        <v>12</v>
      </c>
      <c r="K602" s="9">
        <f t="shared" si="18"/>
        <v>9</v>
      </c>
      <c r="L602" s="9">
        <v>9</v>
      </c>
      <c r="M602" s="9">
        <f t="shared" si="19"/>
        <v>12</v>
      </c>
      <c r="N602" s="9">
        <v>12</v>
      </c>
    </row>
    <row r="603" spans="1:14" ht="15" customHeight="1" x14ac:dyDescent="0.35">
      <c r="A603" s="185"/>
      <c r="B603" s="10" t="s">
        <v>15</v>
      </c>
      <c r="C603" s="11" t="s">
        <v>16</v>
      </c>
      <c r="D603" s="11">
        <v>2</v>
      </c>
      <c r="E603" s="10" t="s">
        <v>109</v>
      </c>
      <c r="F603" s="186"/>
      <c r="G603" s="9">
        <v>11</v>
      </c>
      <c r="H603" s="9">
        <v>11</v>
      </c>
      <c r="I603" s="9">
        <v>15</v>
      </c>
      <c r="J603" s="9">
        <v>15</v>
      </c>
      <c r="K603" s="9">
        <f t="shared" si="18"/>
        <v>11</v>
      </c>
      <c r="L603" s="9">
        <v>10</v>
      </c>
      <c r="M603" s="9">
        <f t="shared" si="19"/>
        <v>15</v>
      </c>
      <c r="N603" s="9">
        <v>15</v>
      </c>
    </row>
    <row r="604" spans="1:14" ht="15" customHeight="1" x14ac:dyDescent="0.35">
      <c r="A604" s="185"/>
      <c r="B604" s="7" t="s">
        <v>15</v>
      </c>
      <c r="C604" s="8" t="s">
        <v>16</v>
      </c>
      <c r="D604" s="8">
        <v>3</v>
      </c>
      <c r="E604" s="7" t="s">
        <v>17</v>
      </c>
      <c r="F604" s="186"/>
      <c r="G604" s="9">
        <v>11</v>
      </c>
      <c r="H604" s="9">
        <v>11</v>
      </c>
      <c r="I604" s="9">
        <v>15</v>
      </c>
      <c r="J604" s="9">
        <v>15</v>
      </c>
      <c r="K604" s="9">
        <f t="shared" si="18"/>
        <v>11</v>
      </c>
      <c r="L604" s="9">
        <v>10</v>
      </c>
      <c r="M604" s="9">
        <f t="shared" si="19"/>
        <v>15</v>
      </c>
      <c r="N604" s="9">
        <v>15</v>
      </c>
    </row>
    <row r="605" spans="1:14" ht="15" customHeight="1" x14ac:dyDescent="0.35">
      <c r="A605" s="185"/>
      <c r="B605" s="7" t="s">
        <v>15</v>
      </c>
      <c r="C605" s="8" t="s">
        <v>16</v>
      </c>
      <c r="D605" s="8">
        <v>3</v>
      </c>
      <c r="E605" s="7" t="s">
        <v>109</v>
      </c>
      <c r="F605" s="186"/>
      <c r="G605" s="9">
        <v>11</v>
      </c>
      <c r="H605" s="9">
        <v>11</v>
      </c>
      <c r="I605" s="9">
        <v>15</v>
      </c>
      <c r="J605" s="9">
        <v>15</v>
      </c>
      <c r="K605" s="9">
        <f t="shared" si="18"/>
        <v>11</v>
      </c>
      <c r="L605" s="9">
        <v>10</v>
      </c>
      <c r="M605" s="9">
        <f t="shared" si="19"/>
        <v>15</v>
      </c>
      <c r="N605" s="9">
        <v>15</v>
      </c>
    </row>
    <row r="606" spans="1:14" ht="15" customHeight="1" x14ac:dyDescent="0.35">
      <c r="A606" s="185"/>
      <c r="B606" s="10" t="s">
        <v>15</v>
      </c>
      <c r="C606" s="11" t="s">
        <v>19</v>
      </c>
      <c r="D606" s="11">
        <v>1</v>
      </c>
      <c r="E606" s="10" t="s">
        <v>17</v>
      </c>
      <c r="F606" s="186"/>
      <c r="G606" s="9">
        <v>9</v>
      </c>
      <c r="H606" s="9">
        <v>9</v>
      </c>
      <c r="I606" s="9">
        <v>12</v>
      </c>
      <c r="J606" s="9">
        <v>12</v>
      </c>
      <c r="K606" s="9">
        <f t="shared" si="18"/>
        <v>9</v>
      </c>
      <c r="L606" s="9">
        <v>9</v>
      </c>
      <c r="M606" s="9">
        <f t="shared" si="19"/>
        <v>12</v>
      </c>
      <c r="N606" s="9">
        <v>12</v>
      </c>
    </row>
    <row r="607" spans="1:14" ht="15" customHeight="1" x14ac:dyDescent="0.35">
      <c r="A607" s="185"/>
      <c r="B607" s="10" t="s">
        <v>15</v>
      </c>
      <c r="C607" s="11" t="s">
        <v>19</v>
      </c>
      <c r="D607" s="11">
        <v>1</v>
      </c>
      <c r="E607" s="10" t="s">
        <v>109</v>
      </c>
      <c r="F607" s="186"/>
      <c r="G607" s="9">
        <v>9</v>
      </c>
      <c r="H607" s="9">
        <v>9</v>
      </c>
      <c r="I607" s="9">
        <v>12</v>
      </c>
      <c r="J607" s="9">
        <v>12</v>
      </c>
      <c r="K607" s="9">
        <f t="shared" si="18"/>
        <v>9</v>
      </c>
      <c r="L607" s="9">
        <v>9</v>
      </c>
      <c r="M607" s="9">
        <f t="shared" si="19"/>
        <v>12</v>
      </c>
      <c r="N607" s="9">
        <v>12</v>
      </c>
    </row>
    <row r="608" spans="1:14" ht="15" customHeight="1" x14ac:dyDescent="0.35">
      <c r="A608" s="185"/>
      <c r="B608" s="7" t="s">
        <v>15</v>
      </c>
      <c r="C608" s="8" t="s">
        <v>19</v>
      </c>
      <c r="D608" s="8">
        <v>2</v>
      </c>
      <c r="E608" s="7" t="s">
        <v>17</v>
      </c>
      <c r="F608" s="186"/>
      <c r="G608" s="9">
        <v>9</v>
      </c>
      <c r="H608" s="9">
        <v>9</v>
      </c>
      <c r="I608" s="9">
        <v>12</v>
      </c>
      <c r="J608" s="9">
        <v>12</v>
      </c>
      <c r="K608" s="9">
        <f t="shared" si="18"/>
        <v>9</v>
      </c>
      <c r="L608" s="9">
        <v>9</v>
      </c>
      <c r="M608" s="9">
        <f t="shared" si="19"/>
        <v>12</v>
      </c>
      <c r="N608" s="9">
        <v>12</v>
      </c>
    </row>
    <row r="609" spans="1:14" ht="15" customHeight="1" x14ac:dyDescent="0.35">
      <c r="A609" s="185"/>
      <c r="B609" s="7" t="s">
        <v>15</v>
      </c>
      <c r="C609" s="8" t="s">
        <v>19</v>
      </c>
      <c r="D609" s="8">
        <v>2</v>
      </c>
      <c r="E609" s="7" t="s">
        <v>109</v>
      </c>
      <c r="F609" s="186"/>
      <c r="G609" s="9">
        <v>11</v>
      </c>
      <c r="H609" s="9">
        <v>11</v>
      </c>
      <c r="I609" s="9">
        <v>15</v>
      </c>
      <c r="J609" s="9">
        <v>15</v>
      </c>
      <c r="K609" s="9">
        <f t="shared" si="18"/>
        <v>11</v>
      </c>
      <c r="L609" s="9">
        <v>10</v>
      </c>
      <c r="M609" s="9">
        <f t="shared" si="19"/>
        <v>15</v>
      </c>
      <c r="N609" s="9">
        <v>15</v>
      </c>
    </row>
    <row r="610" spans="1:14" ht="15" customHeight="1" x14ac:dyDescent="0.35">
      <c r="A610" s="185"/>
      <c r="B610" s="10" t="s">
        <v>15</v>
      </c>
      <c r="C610" s="11" t="s">
        <v>19</v>
      </c>
      <c r="D610" s="11">
        <v>3</v>
      </c>
      <c r="E610" s="10" t="s">
        <v>17</v>
      </c>
      <c r="F610" s="186"/>
      <c r="G610" s="9">
        <v>11</v>
      </c>
      <c r="H610" s="9">
        <v>11</v>
      </c>
      <c r="I610" s="9">
        <v>15</v>
      </c>
      <c r="J610" s="9">
        <v>15</v>
      </c>
      <c r="K610" s="9">
        <f t="shared" si="18"/>
        <v>11</v>
      </c>
      <c r="L610" s="9">
        <v>10</v>
      </c>
      <c r="M610" s="9">
        <f t="shared" si="19"/>
        <v>15</v>
      </c>
      <c r="N610" s="9">
        <v>15</v>
      </c>
    </row>
    <row r="611" spans="1:14" ht="15" customHeight="1" x14ac:dyDescent="0.35">
      <c r="A611" s="185"/>
      <c r="B611" s="10" t="s">
        <v>15</v>
      </c>
      <c r="C611" s="11" t="s">
        <v>19</v>
      </c>
      <c r="D611" s="11">
        <v>3</v>
      </c>
      <c r="E611" s="10" t="s">
        <v>109</v>
      </c>
      <c r="F611" s="186"/>
      <c r="G611" s="9">
        <v>9</v>
      </c>
      <c r="H611" s="9">
        <v>9</v>
      </c>
      <c r="I611" s="9">
        <v>12</v>
      </c>
      <c r="J611" s="9">
        <v>12</v>
      </c>
      <c r="K611" s="9">
        <f t="shared" si="18"/>
        <v>9</v>
      </c>
      <c r="L611" s="9">
        <v>9</v>
      </c>
      <c r="M611" s="9">
        <f t="shared" si="19"/>
        <v>12</v>
      </c>
      <c r="N611" s="9">
        <v>12</v>
      </c>
    </row>
    <row r="612" spans="1:14" ht="15" customHeight="1" x14ac:dyDescent="0.35">
      <c r="A612" s="185"/>
      <c r="B612" s="7" t="s">
        <v>15</v>
      </c>
      <c r="C612" s="8" t="s">
        <v>20</v>
      </c>
      <c r="D612" s="8">
        <v>1</v>
      </c>
      <c r="E612" s="7" t="s">
        <v>17</v>
      </c>
      <c r="F612" s="186"/>
      <c r="G612" s="9">
        <v>9</v>
      </c>
      <c r="H612" s="9">
        <v>9</v>
      </c>
      <c r="I612" s="9">
        <v>12</v>
      </c>
      <c r="J612" s="9">
        <v>12</v>
      </c>
      <c r="K612" s="9">
        <f t="shared" si="18"/>
        <v>9</v>
      </c>
      <c r="L612" s="9">
        <v>9</v>
      </c>
      <c r="M612" s="9">
        <f t="shared" si="19"/>
        <v>12</v>
      </c>
      <c r="N612" s="9">
        <v>12</v>
      </c>
    </row>
    <row r="613" spans="1:14" ht="15" customHeight="1" x14ac:dyDescent="0.35">
      <c r="A613" s="185"/>
      <c r="B613" s="7" t="s">
        <v>15</v>
      </c>
      <c r="C613" s="8" t="s">
        <v>20</v>
      </c>
      <c r="D613" s="8">
        <v>1</v>
      </c>
      <c r="E613" s="7" t="s">
        <v>109</v>
      </c>
      <c r="F613" s="186"/>
      <c r="G613" s="9">
        <v>11</v>
      </c>
      <c r="H613" s="9">
        <v>11</v>
      </c>
      <c r="I613" s="9">
        <v>15</v>
      </c>
      <c r="J613" s="9">
        <v>15</v>
      </c>
      <c r="K613" s="9">
        <f t="shared" si="18"/>
        <v>11</v>
      </c>
      <c r="L613" s="9">
        <v>10</v>
      </c>
      <c r="M613" s="9">
        <f t="shared" si="19"/>
        <v>15</v>
      </c>
      <c r="N613" s="9">
        <v>15</v>
      </c>
    </row>
    <row r="614" spans="1:14" ht="15" customHeight="1" x14ac:dyDescent="0.35">
      <c r="A614" s="185"/>
      <c r="B614" s="10" t="s">
        <v>15</v>
      </c>
      <c r="C614" s="11" t="s">
        <v>20</v>
      </c>
      <c r="D614" s="11">
        <v>2</v>
      </c>
      <c r="E614" s="10" t="s">
        <v>17</v>
      </c>
      <c r="F614" s="186"/>
      <c r="G614" s="9">
        <v>9</v>
      </c>
      <c r="H614" s="9">
        <v>9</v>
      </c>
      <c r="I614" s="9">
        <v>12</v>
      </c>
      <c r="J614" s="9">
        <v>12</v>
      </c>
      <c r="K614" s="9">
        <f t="shared" si="18"/>
        <v>9</v>
      </c>
      <c r="L614" s="9">
        <v>9</v>
      </c>
      <c r="M614" s="9">
        <f t="shared" si="19"/>
        <v>12</v>
      </c>
      <c r="N614" s="9">
        <v>12</v>
      </c>
    </row>
    <row r="615" spans="1:14" ht="15" customHeight="1" x14ac:dyDescent="0.35">
      <c r="A615" s="185"/>
      <c r="B615" s="10" t="s">
        <v>15</v>
      </c>
      <c r="C615" s="11" t="s">
        <v>20</v>
      </c>
      <c r="D615" s="11">
        <v>2</v>
      </c>
      <c r="E615" s="10" t="s">
        <v>109</v>
      </c>
      <c r="F615" s="186"/>
      <c r="G615" s="9">
        <v>11</v>
      </c>
      <c r="H615" s="9">
        <v>11</v>
      </c>
      <c r="I615" s="9">
        <v>15</v>
      </c>
      <c r="J615" s="9">
        <v>15</v>
      </c>
      <c r="K615" s="9">
        <f t="shared" si="18"/>
        <v>11</v>
      </c>
      <c r="L615" s="9">
        <v>10</v>
      </c>
      <c r="M615" s="9">
        <f t="shared" si="19"/>
        <v>15</v>
      </c>
      <c r="N615" s="9">
        <v>15</v>
      </c>
    </row>
    <row r="616" spans="1:14" ht="15" customHeight="1" x14ac:dyDescent="0.35">
      <c r="A616" s="185"/>
      <c r="B616" s="7" t="s">
        <v>15</v>
      </c>
      <c r="C616" s="8" t="s">
        <v>20</v>
      </c>
      <c r="D616" s="8">
        <v>3</v>
      </c>
      <c r="E616" s="7" t="s">
        <v>17</v>
      </c>
      <c r="F616" s="186"/>
      <c r="G616" s="9">
        <v>9</v>
      </c>
      <c r="H616" s="9">
        <v>9</v>
      </c>
      <c r="I616" s="9">
        <v>12</v>
      </c>
      <c r="J616" s="9">
        <v>12</v>
      </c>
      <c r="K616" s="9">
        <f t="shared" si="18"/>
        <v>9</v>
      </c>
      <c r="L616" s="9">
        <v>9</v>
      </c>
      <c r="M616" s="9">
        <f t="shared" si="19"/>
        <v>12</v>
      </c>
      <c r="N616" s="9">
        <v>12</v>
      </c>
    </row>
    <row r="617" spans="1:14" ht="15" customHeight="1" x14ac:dyDescent="0.35">
      <c r="A617" s="185"/>
      <c r="B617" s="7" t="s">
        <v>15</v>
      </c>
      <c r="C617" s="8" t="s">
        <v>20</v>
      </c>
      <c r="D617" s="8">
        <v>3</v>
      </c>
      <c r="E617" s="7" t="s">
        <v>109</v>
      </c>
      <c r="F617" s="186"/>
      <c r="G617" s="9">
        <v>11</v>
      </c>
      <c r="H617" s="9">
        <v>11</v>
      </c>
      <c r="I617" s="9">
        <v>15</v>
      </c>
      <c r="J617" s="9">
        <v>15</v>
      </c>
      <c r="K617" s="9">
        <f t="shared" si="18"/>
        <v>11</v>
      </c>
      <c r="L617" s="9">
        <v>10</v>
      </c>
      <c r="M617" s="9">
        <f t="shared" si="19"/>
        <v>15</v>
      </c>
      <c r="N617" s="9">
        <v>15</v>
      </c>
    </row>
    <row r="618" spans="1:14" ht="15" customHeight="1" x14ac:dyDescent="0.35">
      <c r="A618" s="185"/>
      <c r="B618" s="12" t="s">
        <v>21</v>
      </c>
      <c r="C618" s="13" t="s">
        <v>16</v>
      </c>
      <c r="D618" s="13">
        <v>1</v>
      </c>
      <c r="E618" s="12" t="s">
        <v>17</v>
      </c>
      <c r="F618" s="186"/>
      <c r="G618" s="9">
        <v>11</v>
      </c>
      <c r="H618" s="9">
        <v>11</v>
      </c>
      <c r="I618" s="9">
        <v>11</v>
      </c>
      <c r="J618" s="9">
        <v>11</v>
      </c>
      <c r="K618" s="9">
        <f t="shared" si="18"/>
        <v>11</v>
      </c>
      <c r="L618" s="9">
        <v>10</v>
      </c>
      <c r="M618" s="9">
        <f t="shared" si="19"/>
        <v>11</v>
      </c>
      <c r="N618" s="9">
        <v>8</v>
      </c>
    </row>
    <row r="619" spans="1:14" ht="15" customHeight="1" x14ac:dyDescent="0.35">
      <c r="A619" s="185"/>
      <c r="B619" s="12" t="s">
        <v>21</v>
      </c>
      <c r="C619" s="13" t="s">
        <v>16</v>
      </c>
      <c r="D619" s="13">
        <v>1</v>
      </c>
      <c r="E619" s="12" t="s">
        <v>109</v>
      </c>
      <c r="F619" s="186"/>
      <c r="G619" s="9">
        <v>11</v>
      </c>
      <c r="H619" s="9">
        <v>9</v>
      </c>
      <c r="I619" s="9">
        <v>11</v>
      </c>
      <c r="J619" s="9">
        <v>10</v>
      </c>
      <c r="K619" s="9">
        <f t="shared" si="18"/>
        <v>11</v>
      </c>
      <c r="L619" s="9">
        <v>9</v>
      </c>
      <c r="M619" s="9">
        <f t="shared" si="19"/>
        <v>11</v>
      </c>
      <c r="N619" s="9">
        <v>7</v>
      </c>
    </row>
    <row r="620" spans="1:14" ht="15" customHeight="1" x14ac:dyDescent="0.35">
      <c r="A620" s="185"/>
      <c r="B620" s="14" t="s">
        <v>21</v>
      </c>
      <c r="C620" s="15" t="s">
        <v>16</v>
      </c>
      <c r="D620" s="15">
        <v>2</v>
      </c>
      <c r="E620" s="14" t="s">
        <v>17</v>
      </c>
      <c r="F620" s="186"/>
      <c r="G620" s="9">
        <v>11</v>
      </c>
      <c r="H620" s="9">
        <v>11</v>
      </c>
      <c r="I620" s="9">
        <v>3</v>
      </c>
      <c r="J620" s="9">
        <v>3</v>
      </c>
      <c r="K620" s="9">
        <f t="shared" si="18"/>
        <v>11</v>
      </c>
      <c r="L620" s="9">
        <v>10</v>
      </c>
      <c r="M620" s="9">
        <f t="shared" si="19"/>
        <v>3</v>
      </c>
      <c r="N620" s="9">
        <v>3</v>
      </c>
    </row>
    <row r="621" spans="1:14" ht="15" customHeight="1" x14ac:dyDescent="0.35">
      <c r="A621" s="185"/>
      <c r="B621" s="14" t="s">
        <v>21</v>
      </c>
      <c r="C621" s="15" t="s">
        <v>16</v>
      </c>
      <c r="D621" s="15">
        <v>2</v>
      </c>
      <c r="E621" s="14" t="s">
        <v>109</v>
      </c>
      <c r="F621" s="186"/>
      <c r="G621" s="9">
        <v>11</v>
      </c>
      <c r="H621" s="9">
        <v>9</v>
      </c>
      <c r="I621" s="9">
        <v>11</v>
      </c>
      <c r="J621" s="9">
        <v>10</v>
      </c>
      <c r="K621" s="9">
        <f t="shared" si="18"/>
        <v>11</v>
      </c>
      <c r="L621" s="9">
        <v>9</v>
      </c>
      <c r="M621" s="9">
        <f t="shared" si="19"/>
        <v>11</v>
      </c>
      <c r="N621" s="9">
        <v>7</v>
      </c>
    </row>
    <row r="622" spans="1:14" ht="15" customHeight="1" x14ac:dyDescent="0.35">
      <c r="A622" s="185"/>
      <c r="B622" s="12" t="s">
        <v>21</v>
      </c>
      <c r="C622" s="13" t="s">
        <v>16</v>
      </c>
      <c r="D622" s="13">
        <v>3</v>
      </c>
      <c r="E622" s="12" t="s">
        <v>17</v>
      </c>
      <c r="F622" s="186"/>
      <c r="G622" s="9">
        <v>11</v>
      </c>
      <c r="H622" s="9">
        <v>11</v>
      </c>
      <c r="I622" s="9">
        <v>11</v>
      </c>
      <c r="J622" s="9">
        <v>11</v>
      </c>
      <c r="K622" s="9">
        <f t="shared" si="18"/>
        <v>11</v>
      </c>
      <c r="L622" s="9">
        <v>10</v>
      </c>
      <c r="M622" s="9">
        <f t="shared" si="19"/>
        <v>11</v>
      </c>
      <c r="N622" s="9">
        <v>8</v>
      </c>
    </row>
    <row r="623" spans="1:14" ht="15" customHeight="1" x14ac:dyDescent="0.35">
      <c r="A623" s="185"/>
      <c r="B623" s="12" t="s">
        <v>21</v>
      </c>
      <c r="C623" s="13" t="s">
        <v>16</v>
      </c>
      <c r="D623" s="13">
        <v>3</v>
      </c>
      <c r="E623" s="12" t="s">
        <v>109</v>
      </c>
      <c r="F623" s="186"/>
      <c r="G623" s="9">
        <v>11</v>
      </c>
      <c r="H623" s="9">
        <v>9</v>
      </c>
      <c r="I623" s="9">
        <v>11</v>
      </c>
      <c r="J623" s="9">
        <v>10</v>
      </c>
      <c r="K623" s="9">
        <f t="shared" si="18"/>
        <v>11</v>
      </c>
      <c r="L623" s="9">
        <v>9</v>
      </c>
      <c r="M623" s="9">
        <f t="shared" si="19"/>
        <v>11</v>
      </c>
      <c r="N623" s="9">
        <v>7</v>
      </c>
    </row>
    <row r="624" spans="1:14" ht="15" customHeight="1" x14ac:dyDescent="0.35">
      <c r="A624" s="185"/>
      <c r="B624" s="14" t="s">
        <v>21</v>
      </c>
      <c r="C624" s="15" t="s">
        <v>19</v>
      </c>
      <c r="D624" s="15">
        <v>1</v>
      </c>
      <c r="E624" s="14" t="s">
        <v>17</v>
      </c>
      <c r="F624" s="186"/>
      <c r="G624" s="9">
        <v>11</v>
      </c>
      <c r="H624" s="9">
        <v>11</v>
      </c>
      <c r="I624" s="9">
        <v>11</v>
      </c>
      <c r="J624" s="9">
        <v>11</v>
      </c>
      <c r="K624" s="9">
        <f t="shared" si="18"/>
        <v>11</v>
      </c>
      <c r="L624" s="9">
        <v>10</v>
      </c>
      <c r="M624" s="9">
        <f t="shared" si="19"/>
        <v>11</v>
      </c>
      <c r="N624" s="9">
        <v>8</v>
      </c>
    </row>
    <row r="625" spans="1:14" ht="15" customHeight="1" x14ac:dyDescent="0.35">
      <c r="A625" s="185"/>
      <c r="B625" s="14" t="s">
        <v>21</v>
      </c>
      <c r="C625" s="15" t="s">
        <v>19</v>
      </c>
      <c r="D625" s="15">
        <v>1</v>
      </c>
      <c r="E625" s="14" t="s">
        <v>109</v>
      </c>
      <c r="F625" s="186"/>
      <c r="G625" s="9">
        <v>11</v>
      </c>
      <c r="H625" s="9">
        <v>9</v>
      </c>
      <c r="I625" s="9">
        <v>11</v>
      </c>
      <c r="J625" s="9">
        <v>10</v>
      </c>
      <c r="K625" s="9">
        <f t="shared" si="18"/>
        <v>11</v>
      </c>
      <c r="L625" s="9">
        <v>9</v>
      </c>
      <c r="M625" s="9">
        <f t="shared" si="19"/>
        <v>11</v>
      </c>
      <c r="N625" s="9">
        <v>8</v>
      </c>
    </row>
    <row r="626" spans="1:14" ht="15" customHeight="1" x14ac:dyDescent="0.35">
      <c r="A626" s="185"/>
      <c r="B626" s="12" t="s">
        <v>21</v>
      </c>
      <c r="C626" s="13" t="s">
        <v>19</v>
      </c>
      <c r="D626" s="13">
        <v>2</v>
      </c>
      <c r="E626" s="12" t="s">
        <v>17</v>
      </c>
      <c r="F626" s="186"/>
      <c r="G626" s="9">
        <v>11</v>
      </c>
      <c r="H626" s="9">
        <v>11</v>
      </c>
      <c r="I626" s="9">
        <v>11</v>
      </c>
      <c r="J626" s="9">
        <v>11</v>
      </c>
      <c r="K626" s="9">
        <f t="shared" si="18"/>
        <v>11</v>
      </c>
      <c r="L626" s="9">
        <v>10</v>
      </c>
      <c r="M626" s="9">
        <f t="shared" si="19"/>
        <v>11</v>
      </c>
      <c r="N626" s="9">
        <v>8</v>
      </c>
    </row>
    <row r="627" spans="1:14" ht="15" customHeight="1" x14ac:dyDescent="0.35">
      <c r="A627" s="185"/>
      <c r="B627" s="12" t="s">
        <v>21</v>
      </c>
      <c r="C627" s="13" t="s">
        <v>19</v>
      </c>
      <c r="D627" s="13">
        <v>2</v>
      </c>
      <c r="E627" s="12" t="s">
        <v>109</v>
      </c>
      <c r="F627" s="186"/>
      <c r="G627" s="9">
        <v>11</v>
      </c>
      <c r="H627" s="9">
        <v>9</v>
      </c>
      <c r="I627" s="9">
        <v>11</v>
      </c>
      <c r="J627" s="9">
        <v>10</v>
      </c>
      <c r="K627" s="9">
        <f t="shared" si="18"/>
        <v>11</v>
      </c>
      <c r="L627" s="9">
        <v>9</v>
      </c>
      <c r="M627" s="9">
        <f t="shared" si="19"/>
        <v>11</v>
      </c>
      <c r="N627" s="9">
        <v>7</v>
      </c>
    </row>
    <row r="628" spans="1:14" ht="15" customHeight="1" x14ac:dyDescent="0.35">
      <c r="A628" s="185"/>
      <c r="B628" s="14" t="s">
        <v>21</v>
      </c>
      <c r="C628" s="15" t="s">
        <v>19</v>
      </c>
      <c r="D628" s="15">
        <v>3</v>
      </c>
      <c r="E628" s="14" t="s">
        <v>17</v>
      </c>
      <c r="F628" s="186"/>
      <c r="G628" s="9">
        <v>11</v>
      </c>
      <c r="H628" s="9">
        <v>11</v>
      </c>
      <c r="I628" s="9">
        <v>11</v>
      </c>
      <c r="J628" s="9">
        <v>11</v>
      </c>
      <c r="K628" s="9">
        <f t="shared" si="18"/>
        <v>11</v>
      </c>
      <c r="L628" s="9">
        <v>10</v>
      </c>
      <c r="M628" s="9">
        <f t="shared" si="19"/>
        <v>11</v>
      </c>
      <c r="N628" s="9">
        <v>8</v>
      </c>
    </row>
    <row r="629" spans="1:14" ht="15" customHeight="1" x14ac:dyDescent="0.35">
      <c r="A629" s="185"/>
      <c r="B629" s="14" t="s">
        <v>21</v>
      </c>
      <c r="C629" s="15" t="s">
        <v>19</v>
      </c>
      <c r="D629" s="15">
        <v>3</v>
      </c>
      <c r="E629" s="14" t="s">
        <v>109</v>
      </c>
      <c r="F629" s="186"/>
      <c r="G629" s="9">
        <v>11</v>
      </c>
      <c r="H629" s="9">
        <v>9</v>
      </c>
      <c r="I629" s="9">
        <v>11</v>
      </c>
      <c r="J629" s="9">
        <v>10</v>
      </c>
      <c r="K629" s="9">
        <f t="shared" si="18"/>
        <v>11</v>
      </c>
      <c r="L629" s="9">
        <v>9</v>
      </c>
      <c r="M629" s="9">
        <f t="shared" si="19"/>
        <v>11</v>
      </c>
      <c r="N629" s="9">
        <v>8</v>
      </c>
    </row>
    <row r="630" spans="1:14" ht="15" customHeight="1" x14ac:dyDescent="0.35">
      <c r="A630" s="185"/>
      <c r="B630" s="12" t="s">
        <v>21</v>
      </c>
      <c r="C630" s="13" t="s">
        <v>20</v>
      </c>
      <c r="D630" s="13">
        <v>1</v>
      </c>
      <c r="E630" s="12" t="s">
        <v>17</v>
      </c>
      <c r="F630" s="186"/>
      <c r="G630" s="9">
        <v>11</v>
      </c>
      <c r="H630" s="9">
        <v>11</v>
      </c>
      <c r="I630" s="9">
        <v>11</v>
      </c>
      <c r="J630" s="9">
        <v>11</v>
      </c>
      <c r="K630" s="9">
        <f t="shared" si="18"/>
        <v>11</v>
      </c>
      <c r="L630" s="9">
        <v>10</v>
      </c>
      <c r="M630" s="9">
        <f t="shared" si="19"/>
        <v>11</v>
      </c>
      <c r="N630" s="9">
        <v>8</v>
      </c>
    </row>
    <row r="631" spans="1:14" ht="15" customHeight="1" x14ac:dyDescent="0.35">
      <c r="A631" s="185"/>
      <c r="B631" s="12" t="s">
        <v>21</v>
      </c>
      <c r="C631" s="13" t="s">
        <v>20</v>
      </c>
      <c r="D631" s="13">
        <v>1</v>
      </c>
      <c r="E631" s="12" t="s">
        <v>109</v>
      </c>
      <c r="F631" s="186"/>
      <c r="G631" s="9">
        <v>11</v>
      </c>
      <c r="H631" s="9">
        <v>9</v>
      </c>
      <c r="I631" s="9">
        <v>11</v>
      </c>
      <c r="J631" s="9">
        <v>10</v>
      </c>
      <c r="K631" s="9">
        <f t="shared" si="18"/>
        <v>11</v>
      </c>
      <c r="L631" s="9">
        <v>9</v>
      </c>
      <c r="M631" s="9">
        <f t="shared" si="19"/>
        <v>11</v>
      </c>
      <c r="N631" s="9">
        <v>7</v>
      </c>
    </row>
    <row r="632" spans="1:14" ht="15" customHeight="1" x14ac:dyDescent="0.35">
      <c r="A632" s="185"/>
      <c r="B632" s="14" t="s">
        <v>21</v>
      </c>
      <c r="C632" s="15" t="s">
        <v>20</v>
      </c>
      <c r="D632" s="15">
        <v>2</v>
      </c>
      <c r="E632" s="14" t="s">
        <v>17</v>
      </c>
      <c r="F632" s="186"/>
      <c r="G632" s="9">
        <v>11</v>
      </c>
      <c r="H632" s="9">
        <v>11</v>
      </c>
      <c r="I632" s="9">
        <v>11</v>
      </c>
      <c r="J632" s="9">
        <v>11</v>
      </c>
      <c r="K632" s="9">
        <f t="shared" si="18"/>
        <v>11</v>
      </c>
      <c r="L632" s="9">
        <v>10</v>
      </c>
      <c r="M632" s="9">
        <f t="shared" si="19"/>
        <v>11</v>
      </c>
      <c r="N632" s="9">
        <v>8</v>
      </c>
    </row>
    <row r="633" spans="1:14" ht="15" customHeight="1" x14ac:dyDescent="0.35">
      <c r="A633" s="185"/>
      <c r="B633" s="14" t="s">
        <v>21</v>
      </c>
      <c r="C633" s="15" t="s">
        <v>20</v>
      </c>
      <c r="D633" s="15">
        <v>2</v>
      </c>
      <c r="E633" s="14" t="s">
        <v>109</v>
      </c>
      <c r="F633" s="186"/>
      <c r="G633" s="9">
        <v>11</v>
      </c>
      <c r="H633" s="9">
        <v>9</v>
      </c>
      <c r="I633" s="9">
        <v>11</v>
      </c>
      <c r="J633" s="9">
        <v>10</v>
      </c>
      <c r="K633" s="9">
        <f t="shared" si="18"/>
        <v>11</v>
      </c>
      <c r="L633" s="9">
        <v>9</v>
      </c>
      <c r="M633" s="9">
        <f t="shared" si="19"/>
        <v>11</v>
      </c>
      <c r="N633" s="9">
        <v>8</v>
      </c>
    </row>
    <row r="634" spans="1:14" ht="15" customHeight="1" x14ac:dyDescent="0.35">
      <c r="A634" s="185"/>
      <c r="B634" s="12" t="s">
        <v>21</v>
      </c>
      <c r="C634" s="13" t="s">
        <v>20</v>
      </c>
      <c r="D634" s="13">
        <v>3</v>
      </c>
      <c r="E634" s="12" t="s">
        <v>17</v>
      </c>
      <c r="F634" s="186"/>
      <c r="G634" s="9">
        <v>11</v>
      </c>
      <c r="H634" s="9">
        <v>11</v>
      </c>
      <c r="I634" s="9">
        <v>11</v>
      </c>
      <c r="J634" s="9">
        <v>11</v>
      </c>
      <c r="K634" s="9">
        <f t="shared" si="18"/>
        <v>11</v>
      </c>
      <c r="L634" s="9">
        <v>10</v>
      </c>
      <c r="M634" s="9">
        <f t="shared" si="19"/>
        <v>11</v>
      </c>
      <c r="N634" s="9">
        <v>8</v>
      </c>
    </row>
    <row r="635" spans="1:14" ht="15" customHeight="1" x14ac:dyDescent="0.35">
      <c r="A635" s="185"/>
      <c r="B635" s="12" t="s">
        <v>21</v>
      </c>
      <c r="C635" s="13" t="s">
        <v>20</v>
      </c>
      <c r="D635" s="13">
        <v>3</v>
      </c>
      <c r="E635" s="12" t="s">
        <v>109</v>
      </c>
      <c r="F635" s="186"/>
      <c r="G635" s="9">
        <v>11</v>
      </c>
      <c r="H635" s="9">
        <v>9</v>
      </c>
      <c r="I635" s="9">
        <v>11</v>
      </c>
      <c r="J635" s="9">
        <v>10</v>
      </c>
      <c r="K635" s="9">
        <f t="shared" si="18"/>
        <v>11</v>
      </c>
      <c r="L635" s="9">
        <v>9</v>
      </c>
      <c r="M635" s="9">
        <f t="shared" si="19"/>
        <v>11</v>
      </c>
      <c r="N635" s="9">
        <v>7</v>
      </c>
    </row>
    <row r="636" spans="1:14" ht="15" customHeight="1" x14ac:dyDescent="0.35">
      <c r="A636" s="185"/>
      <c r="B636" s="16" t="s">
        <v>22</v>
      </c>
      <c r="C636" s="17" t="s">
        <v>16</v>
      </c>
      <c r="D636" s="17">
        <v>1</v>
      </c>
      <c r="E636" s="16" t="s">
        <v>17</v>
      </c>
      <c r="F636" s="186"/>
      <c r="G636" s="9">
        <v>11</v>
      </c>
      <c r="H636" s="9">
        <v>11</v>
      </c>
      <c r="I636" s="9">
        <v>11</v>
      </c>
      <c r="J636" s="9">
        <v>11</v>
      </c>
      <c r="K636" s="9">
        <f t="shared" si="18"/>
        <v>11</v>
      </c>
      <c r="L636" s="9">
        <v>7</v>
      </c>
      <c r="M636" s="9">
        <f t="shared" si="19"/>
        <v>11</v>
      </c>
      <c r="N636" s="9">
        <v>10</v>
      </c>
    </row>
    <row r="637" spans="1:14" ht="15" customHeight="1" x14ac:dyDescent="0.35">
      <c r="A637" s="185"/>
      <c r="B637" s="16" t="s">
        <v>22</v>
      </c>
      <c r="C637" s="17" t="s">
        <v>16</v>
      </c>
      <c r="D637" s="17">
        <v>1</v>
      </c>
      <c r="E637" s="16" t="s">
        <v>109</v>
      </c>
      <c r="F637" s="186"/>
      <c r="G637" s="9">
        <v>9</v>
      </c>
      <c r="H637" s="9">
        <v>9</v>
      </c>
      <c r="I637" s="9">
        <v>12</v>
      </c>
      <c r="J637" s="9">
        <v>12</v>
      </c>
      <c r="K637" s="9">
        <f t="shared" si="18"/>
        <v>9</v>
      </c>
      <c r="L637" s="9">
        <v>9</v>
      </c>
      <c r="M637" s="9">
        <f t="shared" si="19"/>
        <v>12</v>
      </c>
      <c r="N637" s="9">
        <v>12</v>
      </c>
    </row>
    <row r="638" spans="1:14" ht="15" customHeight="1" x14ac:dyDescent="0.35">
      <c r="A638" s="185"/>
      <c r="B638" s="18" t="s">
        <v>22</v>
      </c>
      <c r="C638" s="19" t="s">
        <v>16</v>
      </c>
      <c r="D638" s="19">
        <v>2</v>
      </c>
      <c r="E638" s="18" t="s">
        <v>17</v>
      </c>
      <c r="F638" s="186"/>
      <c r="G638" s="9">
        <v>11</v>
      </c>
      <c r="H638" s="9">
        <v>11</v>
      </c>
      <c r="I638" s="9">
        <v>11</v>
      </c>
      <c r="J638" s="9">
        <v>11</v>
      </c>
      <c r="K638" s="9">
        <f t="shared" si="18"/>
        <v>11</v>
      </c>
      <c r="L638" s="9">
        <v>7</v>
      </c>
      <c r="M638" s="9">
        <f t="shared" si="19"/>
        <v>11</v>
      </c>
      <c r="N638" s="9">
        <v>10</v>
      </c>
    </row>
    <row r="639" spans="1:14" ht="15" customHeight="1" x14ac:dyDescent="0.35">
      <c r="A639" s="185"/>
      <c r="B639" s="18" t="s">
        <v>22</v>
      </c>
      <c r="C639" s="19" t="s">
        <v>16</v>
      </c>
      <c r="D639" s="19">
        <v>2</v>
      </c>
      <c r="E639" s="18" t="s">
        <v>109</v>
      </c>
      <c r="F639" s="186"/>
      <c r="G639" s="9">
        <v>11</v>
      </c>
      <c r="H639" s="9">
        <v>11</v>
      </c>
      <c r="I639" s="9">
        <v>14</v>
      </c>
      <c r="J639" s="9">
        <v>12</v>
      </c>
      <c r="K639" s="9">
        <f t="shared" si="18"/>
        <v>11</v>
      </c>
      <c r="L639" s="9">
        <f>11-4</f>
        <v>7</v>
      </c>
      <c r="M639" s="9">
        <f t="shared" si="19"/>
        <v>14</v>
      </c>
      <c r="N639" s="9">
        <v>7</v>
      </c>
    </row>
    <row r="640" spans="1:14" ht="15" customHeight="1" x14ac:dyDescent="0.35">
      <c r="A640" s="185"/>
      <c r="B640" s="16" t="s">
        <v>22</v>
      </c>
      <c r="C640" s="17" t="s">
        <v>16</v>
      </c>
      <c r="D640" s="17">
        <v>3</v>
      </c>
      <c r="E640" s="16" t="s">
        <v>17</v>
      </c>
      <c r="F640" s="186"/>
      <c r="G640" s="9">
        <v>11</v>
      </c>
      <c r="H640" s="9">
        <v>11</v>
      </c>
      <c r="I640" s="9">
        <v>11</v>
      </c>
      <c r="J640" s="9">
        <v>11</v>
      </c>
      <c r="K640" s="9">
        <f t="shared" si="18"/>
        <v>11</v>
      </c>
      <c r="L640" s="9">
        <v>7</v>
      </c>
      <c r="M640" s="9">
        <f t="shared" si="19"/>
        <v>11</v>
      </c>
      <c r="N640" s="9">
        <v>10</v>
      </c>
    </row>
    <row r="641" spans="1:14" ht="15" customHeight="1" x14ac:dyDescent="0.35">
      <c r="A641" s="185"/>
      <c r="B641" s="16" t="s">
        <v>22</v>
      </c>
      <c r="C641" s="17" t="s">
        <v>16</v>
      </c>
      <c r="D641" s="17">
        <v>3</v>
      </c>
      <c r="E641" s="16" t="s">
        <v>109</v>
      </c>
      <c r="F641" s="186"/>
      <c r="G641" s="9">
        <v>9</v>
      </c>
      <c r="H641" s="9">
        <v>8</v>
      </c>
      <c r="I641" s="9">
        <v>12</v>
      </c>
      <c r="J641" s="9">
        <v>12</v>
      </c>
      <c r="K641" s="9">
        <f t="shared" si="18"/>
        <v>9</v>
      </c>
      <c r="L641" s="9">
        <v>5</v>
      </c>
      <c r="M641" s="9">
        <f t="shared" si="19"/>
        <v>12</v>
      </c>
      <c r="N641" s="9">
        <v>12</v>
      </c>
    </row>
    <row r="642" spans="1:14" ht="15" customHeight="1" x14ac:dyDescent="0.35">
      <c r="A642" s="185"/>
      <c r="B642" s="18" t="s">
        <v>22</v>
      </c>
      <c r="C642" s="19" t="s">
        <v>19</v>
      </c>
      <c r="D642" s="19">
        <v>1</v>
      </c>
      <c r="E642" s="18" t="s">
        <v>17</v>
      </c>
      <c r="F642" s="186"/>
      <c r="G642" s="9">
        <v>11</v>
      </c>
      <c r="H642" s="9">
        <v>11</v>
      </c>
      <c r="I642" s="9">
        <v>11</v>
      </c>
      <c r="J642" s="9">
        <v>11</v>
      </c>
      <c r="K642" s="9">
        <f t="shared" si="18"/>
        <v>11</v>
      </c>
      <c r="L642" s="9">
        <v>7</v>
      </c>
      <c r="M642" s="9">
        <f t="shared" si="19"/>
        <v>11</v>
      </c>
      <c r="N642" s="9">
        <v>10</v>
      </c>
    </row>
    <row r="643" spans="1:14" ht="15" customHeight="1" x14ac:dyDescent="0.35">
      <c r="A643" s="185"/>
      <c r="B643" s="18" t="s">
        <v>22</v>
      </c>
      <c r="C643" s="19" t="s">
        <v>19</v>
      </c>
      <c r="D643" s="19">
        <v>1</v>
      </c>
      <c r="E643" s="18" t="s">
        <v>109</v>
      </c>
      <c r="F643" s="186"/>
      <c r="G643" s="9">
        <v>11</v>
      </c>
      <c r="H643" s="9">
        <v>11</v>
      </c>
      <c r="I643" s="9">
        <v>11</v>
      </c>
      <c r="J643" s="9">
        <v>11</v>
      </c>
      <c r="K643" s="9">
        <f t="shared" si="18"/>
        <v>11</v>
      </c>
      <c r="L643" s="9">
        <v>7</v>
      </c>
      <c r="M643" s="9">
        <f t="shared" si="19"/>
        <v>11</v>
      </c>
      <c r="N643" s="9">
        <v>7</v>
      </c>
    </row>
    <row r="644" spans="1:14" ht="15" customHeight="1" x14ac:dyDescent="0.35">
      <c r="A644" s="185"/>
      <c r="B644" s="16" t="s">
        <v>22</v>
      </c>
      <c r="C644" s="17" t="s">
        <v>19</v>
      </c>
      <c r="D644" s="17">
        <v>2</v>
      </c>
      <c r="E644" s="16" t="s">
        <v>17</v>
      </c>
      <c r="F644" s="186"/>
      <c r="G644" s="9">
        <v>11</v>
      </c>
      <c r="H644" s="9">
        <v>11</v>
      </c>
      <c r="I644" s="9">
        <v>11</v>
      </c>
      <c r="J644" s="9">
        <v>11</v>
      </c>
      <c r="K644" s="9">
        <f t="shared" si="18"/>
        <v>11</v>
      </c>
      <c r="L644" s="9">
        <v>7</v>
      </c>
      <c r="M644" s="9">
        <f t="shared" si="19"/>
        <v>11</v>
      </c>
      <c r="N644" s="9">
        <v>10</v>
      </c>
    </row>
    <row r="645" spans="1:14" ht="15" customHeight="1" x14ac:dyDescent="0.35">
      <c r="A645" s="185"/>
      <c r="B645" s="16" t="s">
        <v>22</v>
      </c>
      <c r="C645" s="17" t="s">
        <v>19</v>
      </c>
      <c r="D645" s="17">
        <v>2</v>
      </c>
      <c r="E645" s="16" t="s">
        <v>109</v>
      </c>
      <c r="F645" s="186"/>
      <c r="G645" s="9">
        <v>9</v>
      </c>
      <c r="H645" s="9">
        <v>8</v>
      </c>
      <c r="I645" s="9">
        <v>12</v>
      </c>
      <c r="J645" s="9">
        <v>12</v>
      </c>
      <c r="K645" s="9">
        <f t="shared" si="18"/>
        <v>9</v>
      </c>
      <c r="L645" s="9">
        <v>5</v>
      </c>
      <c r="M645" s="9">
        <f t="shared" si="19"/>
        <v>12</v>
      </c>
      <c r="N645" s="9">
        <v>10</v>
      </c>
    </row>
    <row r="646" spans="1:14" ht="15" customHeight="1" x14ac:dyDescent="0.35">
      <c r="A646" s="185"/>
      <c r="B646" s="18" t="s">
        <v>22</v>
      </c>
      <c r="C646" s="19" t="s">
        <v>19</v>
      </c>
      <c r="D646" s="19">
        <v>3</v>
      </c>
      <c r="E646" s="18" t="s">
        <v>17</v>
      </c>
      <c r="F646" s="186"/>
      <c r="G646" s="9">
        <v>11</v>
      </c>
      <c r="H646" s="9">
        <v>11</v>
      </c>
      <c r="I646" s="9">
        <v>11</v>
      </c>
      <c r="J646" s="9">
        <v>11</v>
      </c>
      <c r="K646" s="9">
        <f t="shared" si="18"/>
        <v>11</v>
      </c>
      <c r="L646" s="9">
        <v>7</v>
      </c>
      <c r="M646" s="9">
        <f t="shared" si="19"/>
        <v>11</v>
      </c>
      <c r="N646" s="9">
        <v>10</v>
      </c>
    </row>
    <row r="647" spans="1:14" ht="15" customHeight="1" x14ac:dyDescent="0.35">
      <c r="A647" s="185"/>
      <c r="B647" s="18" t="s">
        <v>22</v>
      </c>
      <c r="C647" s="19" t="s">
        <v>19</v>
      </c>
      <c r="D647" s="19">
        <v>3</v>
      </c>
      <c r="E647" s="18" t="s">
        <v>109</v>
      </c>
      <c r="F647" s="186"/>
      <c r="G647" s="9">
        <v>11</v>
      </c>
      <c r="H647" s="9">
        <v>11</v>
      </c>
      <c r="I647" s="9">
        <v>14</v>
      </c>
      <c r="J647" s="9">
        <v>12</v>
      </c>
      <c r="K647" s="9">
        <f t="shared" ref="K647:K710" si="20">G647</f>
        <v>11</v>
      </c>
      <c r="L647" s="9">
        <v>7</v>
      </c>
      <c r="M647" s="9">
        <f t="shared" ref="M647:M710" si="21">I647</f>
        <v>14</v>
      </c>
      <c r="N647" s="9">
        <v>6</v>
      </c>
    </row>
    <row r="648" spans="1:14" ht="15" customHeight="1" x14ac:dyDescent="0.35">
      <c r="A648" s="185"/>
      <c r="B648" s="16" t="s">
        <v>22</v>
      </c>
      <c r="C648" s="17" t="s">
        <v>20</v>
      </c>
      <c r="D648" s="17">
        <v>1</v>
      </c>
      <c r="E648" s="16" t="s">
        <v>17</v>
      </c>
      <c r="F648" s="186"/>
      <c r="G648" s="9">
        <v>11</v>
      </c>
      <c r="H648" s="9">
        <v>11</v>
      </c>
      <c r="I648" s="9">
        <v>11</v>
      </c>
      <c r="J648" s="9">
        <v>11</v>
      </c>
      <c r="K648" s="9">
        <f t="shared" si="20"/>
        <v>11</v>
      </c>
      <c r="L648" s="9">
        <v>7</v>
      </c>
      <c r="M648" s="9">
        <f t="shared" si="21"/>
        <v>11</v>
      </c>
      <c r="N648" s="9">
        <v>10</v>
      </c>
    </row>
    <row r="649" spans="1:14" ht="15" customHeight="1" x14ac:dyDescent="0.35">
      <c r="A649" s="185"/>
      <c r="B649" s="16" t="s">
        <v>22</v>
      </c>
      <c r="C649" s="17" t="s">
        <v>20</v>
      </c>
      <c r="D649" s="17">
        <v>1</v>
      </c>
      <c r="E649" s="16" t="s">
        <v>109</v>
      </c>
      <c r="F649" s="186"/>
      <c r="G649" s="9">
        <v>9</v>
      </c>
      <c r="H649" s="9">
        <v>9</v>
      </c>
      <c r="I649" s="9">
        <v>12</v>
      </c>
      <c r="J649" s="9">
        <v>12</v>
      </c>
      <c r="K649" s="9">
        <f t="shared" si="20"/>
        <v>9</v>
      </c>
      <c r="L649" s="9">
        <v>5</v>
      </c>
      <c r="M649" s="9">
        <f t="shared" si="21"/>
        <v>12</v>
      </c>
      <c r="N649" s="9">
        <v>7</v>
      </c>
    </row>
    <row r="650" spans="1:14" ht="15" customHeight="1" x14ac:dyDescent="0.35">
      <c r="A650" s="185"/>
      <c r="B650" s="18" t="s">
        <v>22</v>
      </c>
      <c r="C650" s="19" t="s">
        <v>20</v>
      </c>
      <c r="D650" s="19">
        <v>2</v>
      </c>
      <c r="E650" s="18" t="s">
        <v>17</v>
      </c>
      <c r="F650" s="186"/>
      <c r="G650" s="9">
        <v>11</v>
      </c>
      <c r="H650" s="9">
        <v>11</v>
      </c>
      <c r="I650" s="9">
        <v>11</v>
      </c>
      <c r="J650" s="9">
        <v>11</v>
      </c>
      <c r="K650" s="9">
        <f t="shared" si="20"/>
        <v>11</v>
      </c>
      <c r="L650" s="9">
        <v>7</v>
      </c>
      <c r="M650" s="9">
        <f t="shared" si="21"/>
        <v>11</v>
      </c>
      <c r="N650" s="9">
        <v>10</v>
      </c>
    </row>
    <row r="651" spans="1:14" ht="15" customHeight="1" x14ac:dyDescent="0.35">
      <c r="A651" s="185"/>
      <c r="B651" s="18" t="s">
        <v>22</v>
      </c>
      <c r="C651" s="19" t="s">
        <v>20</v>
      </c>
      <c r="D651" s="19">
        <v>2</v>
      </c>
      <c r="E651" s="18" t="s">
        <v>109</v>
      </c>
      <c r="F651" s="186"/>
      <c r="G651" s="9">
        <v>11</v>
      </c>
      <c r="H651" s="9">
        <v>9</v>
      </c>
      <c r="I651" s="9">
        <v>14</v>
      </c>
      <c r="J651" s="9">
        <v>12</v>
      </c>
      <c r="K651" s="9">
        <f t="shared" si="20"/>
        <v>11</v>
      </c>
      <c r="L651" s="9">
        <v>4</v>
      </c>
      <c r="M651" s="9">
        <f t="shared" si="21"/>
        <v>14</v>
      </c>
      <c r="N651" s="9">
        <v>5</v>
      </c>
    </row>
    <row r="652" spans="1:14" ht="15" customHeight="1" x14ac:dyDescent="0.35">
      <c r="A652" s="185"/>
      <c r="B652" s="16" t="s">
        <v>22</v>
      </c>
      <c r="C652" s="17" t="s">
        <v>20</v>
      </c>
      <c r="D652" s="17">
        <v>3</v>
      </c>
      <c r="E652" s="16" t="s">
        <v>17</v>
      </c>
      <c r="F652" s="186"/>
      <c r="G652" s="9">
        <v>11</v>
      </c>
      <c r="H652" s="9">
        <v>11</v>
      </c>
      <c r="I652" s="9">
        <v>11</v>
      </c>
      <c r="J652" s="9">
        <v>11</v>
      </c>
      <c r="K652" s="9">
        <f t="shared" si="20"/>
        <v>11</v>
      </c>
      <c r="L652" s="9">
        <v>7</v>
      </c>
      <c r="M652" s="9">
        <f t="shared" si="21"/>
        <v>11</v>
      </c>
      <c r="N652" s="9">
        <v>10</v>
      </c>
    </row>
    <row r="653" spans="1:14" ht="15" customHeight="1" x14ac:dyDescent="0.35">
      <c r="A653" s="185"/>
      <c r="B653" s="20" t="s">
        <v>22</v>
      </c>
      <c r="C653" s="21" t="s">
        <v>20</v>
      </c>
      <c r="D653" s="21">
        <v>3</v>
      </c>
      <c r="E653" s="20" t="s">
        <v>109</v>
      </c>
      <c r="F653" s="186"/>
      <c r="G653" s="22">
        <v>11</v>
      </c>
      <c r="H653" s="22">
        <v>11</v>
      </c>
      <c r="I653" s="22">
        <v>12</v>
      </c>
      <c r="J653" s="22">
        <v>12</v>
      </c>
      <c r="K653" s="95">
        <f t="shared" si="20"/>
        <v>11</v>
      </c>
      <c r="L653" s="95">
        <v>7</v>
      </c>
      <c r="M653" s="95">
        <f t="shared" si="21"/>
        <v>12</v>
      </c>
      <c r="N653" s="22">
        <v>7</v>
      </c>
    </row>
    <row r="654" spans="1:14" ht="15" customHeight="1" x14ac:dyDescent="0.35">
      <c r="A654" s="185" t="s">
        <v>34</v>
      </c>
      <c r="B654" s="7" t="s">
        <v>15</v>
      </c>
      <c r="C654" s="8" t="s">
        <v>16</v>
      </c>
      <c r="D654" s="8">
        <v>1</v>
      </c>
      <c r="E654" s="7" t="s">
        <v>17</v>
      </c>
      <c r="F654" s="186">
        <v>77</v>
      </c>
      <c r="G654" s="9">
        <v>5</v>
      </c>
      <c r="H654" s="9">
        <v>5</v>
      </c>
      <c r="I654" s="9">
        <v>9</v>
      </c>
      <c r="J654" s="9">
        <v>9</v>
      </c>
      <c r="K654" s="94">
        <f t="shared" si="20"/>
        <v>5</v>
      </c>
      <c r="L654" s="94">
        <v>5</v>
      </c>
      <c r="M654" s="94">
        <f t="shared" si="21"/>
        <v>9</v>
      </c>
      <c r="N654" s="9">
        <v>8</v>
      </c>
    </row>
    <row r="655" spans="1:14" ht="15" customHeight="1" x14ac:dyDescent="0.35">
      <c r="A655" s="185"/>
      <c r="B655" s="7" t="s">
        <v>15</v>
      </c>
      <c r="C655" s="8" t="s">
        <v>16</v>
      </c>
      <c r="D655" s="8">
        <v>1</v>
      </c>
      <c r="E655" s="7" t="s">
        <v>109</v>
      </c>
      <c r="F655" s="186"/>
      <c r="G655" s="9">
        <v>5</v>
      </c>
      <c r="H655" s="9">
        <v>5</v>
      </c>
      <c r="I655" s="9">
        <v>11</v>
      </c>
      <c r="J655" s="9">
        <v>11</v>
      </c>
      <c r="K655" s="9">
        <f t="shared" si="20"/>
        <v>5</v>
      </c>
      <c r="L655" s="9">
        <v>1</v>
      </c>
      <c r="M655" s="9">
        <f t="shared" si="21"/>
        <v>11</v>
      </c>
      <c r="N655" s="9">
        <v>10</v>
      </c>
    </row>
    <row r="656" spans="1:14" ht="15" customHeight="1" x14ac:dyDescent="0.35">
      <c r="A656" s="185"/>
      <c r="B656" s="10" t="s">
        <v>15</v>
      </c>
      <c r="C656" s="11" t="s">
        <v>16</v>
      </c>
      <c r="D656" s="11">
        <v>2</v>
      </c>
      <c r="E656" s="10" t="s">
        <v>17</v>
      </c>
      <c r="F656" s="186"/>
      <c r="G656" s="9">
        <v>5</v>
      </c>
      <c r="H656" s="9">
        <v>5</v>
      </c>
      <c r="I656" s="9">
        <v>9</v>
      </c>
      <c r="J656" s="9">
        <v>9</v>
      </c>
      <c r="K656" s="9">
        <f t="shared" si="20"/>
        <v>5</v>
      </c>
      <c r="L656" s="9">
        <v>5</v>
      </c>
      <c r="M656" s="9">
        <f t="shared" si="21"/>
        <v>9</v>
      </c>
      <c r="N656" s="9">
        <v>8</v>
      </c>
    </row>
    <row r="657" spans="1:14" ht="15" customHeight="1" x14ac:dyDescent="0.35">
      <c r="A657" s="185"/>
      <c r="B657" s="10" t="s">
        <v>15</v>
      </c>
      <c r="C657" s="11" t="s">
        <v>16</v>
      </c>
      <c r="D657" s="11">
        <v>2</v>
      </c>
      <c r="E657" s="10" t="s">
        <v>109</v>
      </c>
      <c r="F657" s="186"/>
      <c r="G657" s="9">
        <v>5</v>
      </c>
      <c r="H657" s="9">
        <v>5</v>
      </c>
      <c r="I657" s="9">
        <v>11</v>
      </c>
      <c r="J657" s="9">
        <v>11</v>
      </c>
      <c r="K657" s="9">
        <f t="shared" si="20"/>
        <v>5</v>
      </c>
      <c r="L657" s="9">
        <v>1</v>
      </c>
      <c r="M657" s="9">
        <f t="shared" si="21"/>
        <v>11</v>
      </c>
      <c r="N657" s="9">
        <v>10</v>
      </c>
    </row>
    <row r="658" spans="1:14" ht="15" customHeight="1" x14ac:dyDescent="0.35">
      <c r="A658" s="185"/>
      <c r="B658" s="7" t="s">
        <v>15</v>
      </c>
      <c r="C658" s="8" t="s">
        <v>16</v>
      </c>
      <c r="D658" s="8">
        <v>3</v>
      </c>
      <c r="E658" s="7" t="s">
        <v>17</v>
      </c>
      <c r="F658" s="186"/>
      <c r="G658" s="9">
        <v>5</v>
      </c>
      <c r="H658" s="9">
        <v>5</v>
      </c>
      <c r="I658" s="9">
        <v>10</v>
      </c>
      <c r="J658" s="9">
        <v>10</v>
      </c>
      <c r="K658" s="9">
        <f t="shared" si="20"/>
        <v>5</v>
      </c>
      <c r="L658" s="9">
        <v>5</v>
      </c>
      <c r="M658" s="9">
        <f t="shared" si="21"/>
        <v>10</v>
      </c>
      <c r="N658" s="9">
        <v>9</v>
      </c>
    </row>
    <row r="659" spans="1:14" ht="15" customHeight="1" x14ac:dyDescent="0.35">
      <c r="A659" s="185"/>
      <c r="B659" s="7" t="s">
        <v>15</v>
      </c>
      <c r="C659" s="8" t="s">
        <v>16</v>
      </c>
      <c r="D659" s="8">
        <v>3</v>
      </c>
      <c r="E659" s="7" t="s">
        <v>109</v>
      </c>
      <c r="F659" s="186"/>
      <c r="G659" s="9">
        <v>5</v>
      </c>
      <c r="H659" s="9">
        <v>5</v>
      </c>
      <c r="I659" s="9">
        <v>12</v>
      </c>
      <c r="J659" s="9">
        <v>12</v>
      </c>
      <c r="K659" s="9">
        <f t="shared" si="20"/>
        <v>5</v>
      </c>
      <c r="L659" s="9">
        <v>1</v>
      </c>
      <c r="M659" s="9">
        <f t="shared" si="21"/>
        <v>12</v>
      </c>
      <c r="N659" s="9">
        <v>10</v>
      </c>
    </row>
    <row r="660" spans="1:14" ht="15" customHeight="1" x14ac:dyDescent="0.35">
      <c r="A660" s="185"/>
      <c r="B660" s="10" t="s">
        <v>15</v>
      </c>
      <c r="C660" s="11" t="s">
        <v>19</v>
      </c>
      <c r="D660" s="11">
        <v>1</v>
      </c>
      <c r="E660" s="10" t="s">
        <v>17</v>
      </c>
      <c r="F660" s="186"/>
      <c r="G660" s="9">
        <v>5</v>
      </c>
      <c r="H660" s="9">
        <v>5</v>
      </c>
      <c r="I660" s="9">
        <v>9</v>
      </c>
      <c r="J660" s="9">
        <v>9</v>
      </c>
      <c r="K660" s="9">
        <f t="shared" si="20"/>
        <v>5</v>
      </c>
      <c r="L660" s="9">
        <v>5</v>
      </c>
      <c r="M660" s="9">
        <f t="shared" si="21"/>
        <v>9</v>
      </c>
      <c r="N660" s="9">
        <v>8</v>
      </c>
    </row>
    <row r="661" spans="1:14" ht="15" customHeight="1" x14ac:dyDescent="0.35">
      <c r="A661" s="185"/>
      <c r="B661" s="10" t="s">
        <v>15</v>
      </c>
      <c r="C661" s="11" t="s">
        <v>19</v>
      </c>
      <c r="D661" s="11">
        <v>1</v>
      </c>
      <c r="E661" s="10" t="s">
        <v>109</v>
      </c>
      <c r="F661" s="186"/>
      <c r="G661" s="9">
        <v>5</v>
      </c>
      <c r="H661" s="9">
        <v>5</v>
      </c>
      <c r="I661" s="9">
        <v>11</v>
      </c>
      <c r="J661" s="9">
        <v>11</v>
      </c>
      <c r="K661" s="9">
        <f t="shared" si="20"/>
        <v>5</v>
      </c>
      <c r="L661" s="9">
        <v>1</v>
      </c>
      <c r="M661" s="9">
        <f t="shared" si="21"/>
        <v>11</v>
      </c>
      <c r="N661" s="9">
        <v>10</v>
      </c>
    </row>
    <row r="662" spans="1:14" ht="15" customHeight="1" x14ac:dyDescent="0.35">
      <c r="A662" s="185"/>
      <c r="B662" s="7" t="s">
        <v>15</v>
      </c>
      <c r="C662" s="8" t="s">
        <v>19</v>
      </c>
      <c r="D662" s="8">
        <v>2</v>
      </c>
      <c r="E662" s="7" t="s">
        <v>17</v>
      </c>
      <c r="F662" s="186"/>
      <c r="G662" s="9">
        <v>5</v>
      </c>
      <c r="H662" s="9">
        <v>5</v>
      </c>
      <c r="I662" s="9">
        <v>11</v>
      </c>
      <c r="J662" s="9">
        <v>11</v>
      </c>
      <c r="K662" s="9">
        <f t="shared" si="20"/>
        <v>5</v>
      </c>
      <c r="L662" s="9">
        <v>5</v>
      </c>
      <c r="M662" s="9">
        <f t="shared" si="21"/>
        <v>11</v>
      </c>
      <c r="N662" s="9">
        <v>9</v>
      </c>
    </row>
    <row r="663" spans="1:14" ht="15" customHeight="1" x14ac:dyDescent="0.35">
      <c r="A663" s="185"/>
      <c r="B663" s="7" t="s">
        <v>15</v>
      </c>
      <c r="C663" s="8" t="s">
        <v>19</v>
      </c>
      <c r="D663" s="8">
        <v>2</v>
      </c>
      <c r="E663" s="7" t="s">
        <v>109</v>
      </c>
      <c r="F663" s="186"/>
      <c r="G663" s="9">
        <v>5</v>
      </c>
      <c r="H663" s="9">
        <v>5</v>
      </c>
      <c r="I663" s="9">
        <v>11</v>
      </c>
      <c r="J663" s="9">
        <v>11</v>
      </c>
      <c r="K663" s="9">
        <f t="shared" si="20"/>
        <v>5</v>
      </c>
      <c r="L663" s="9">
        <v>1</v>
      </c>
      <c r="M663" s="9">
        <f t="shared" si="21"/>
        <v>11</v>
      </c>
      <c r="N663" s="9">
        <v>10</v>
      </c>
    </row>
    <row r="664" spans="1:14" ht="15" customHeight="1" x14ac:dyDescent="0.35">
      <c r="A664" s="185"/>
      <c r="B664" s="10" t="s">
        <v>15</v>
      </c>
      <c r="C664" s="11" t="s">
        <v>19</v>
      </c>
      <c r="D664" s="11">
        <v>3</v>
      </c>
      <c r="E664" s="10" t="s">
        <v>17</v>
      </c>
      <c r="F664" s="186"/>
      <c r="G664" s="9">
        <v>5</v>
      </c>
      <c r="H664" s="9">
        <v>5</v>
      </c>
      <c r="I664" s="9">
        <v>10</v>
      </c>
      <c r="J664" s="9">
        <v>10</v>
      </c>
      <c r="K664" s="9">
        <f t="shared" si="20"/>
        <v>5</v>
      </c>
      <c r="L664" s="9">
        <v>5</v>
      </c>
      <c r="M664" s="9">
        <f t="shared" si="21"/>
        <v>10</v>
      </c>
      <c r="N664" s="9">
        <v>9</v>
      </c>
    </row>
    <row r="665" spans="1:14" ht="15" customHeight="1" x14ac:dyDescent="0.35">
      <c r="A665" s="185"/>
      <c r="B665" s="10" t="s">
        <v>15</v>
      </c>
      <c r="C665" s="11" t="s">
        <v>19</v>
      </c>
      <c r="D665" s="11">
        <v>3</v>
      </c>
      <c r="E665" s="10" t="s">
        <v>109</v>
      </c>
      <c r="F665" s="186"/>
      <c r="G665" s="9">
        <v>5</v>
      </c>
      <c r="H665" s="9">
        <v>5</v>
      </c>
      <c r="I665" s="9">
        <v>11</v>
      </c>
      <c r="J665" s="9">
        <v>11</v>
      </c>
      <c r="K665" s="9">
        <f t="shared" si="20"/>
        <v>5</v>
      </c>
      <c r="L665" s="9">
        <v>1</v>
      </c>
      <c r="M665" s="9">
        <f t="shared" si="21"/>
        <v>11</v>
      </c>
      <c r="N665" s="9">
        <v>10</v>
      </c>
    </row>
    <row r="666" spans="1:14" ht="15" customHeight="1" x14ac:dyDescent="0.35">
      <c r="A666" s="185"/>
      <c r="B666" s="7" t="s">
        <v>15</v>
      </c>
      <c r="C666" s="8" t="s">
        <v>20</v>
      </c>
      <c r="D666" s="8">
        <v>1</v>
      </c>
      <c r="E666" s="7" t="s">
        <v>17</v>
      </c>
      <c r="F666" s="186"/>
      <c r="G666" s="9">
        <v>5</v>
      </c>
      <c r="H666" s="9">
        <v>5</v>
      </c>
      <c r="I666" s="9">
        <v>10</v>
      </c>
      <c r="J666" s="9">
        <v>10</v>
      </c>
      <c r="K666" s="9">
        <f t="shared" si="20"/>
        <v>5</v>
      </c>
      <c r="L666" s="9">
        <v>5</v>
      </c>
      <c r="M666" s="9">
        <f t="shared" si="21"/>
        <v>10</v>
      </c>
      <c r="N666" s="9">
        <v>9</v>
      </c>
    </row>
    <row r="667" spans="1:14" ht="15" customHeight="1" x14ac:dyDescent="0.35">
      <c r="A667" s="185"/>
      <c r="B667" s="7" t="s">
        <v>15</v>
      </c>
      <c r="C667" s="8" t="s">
        <v>20</v>
      </c>
      <c r="D667" s="8">
        <v>1</v>
      </c>
      <c r="E667" s="7" t="s">
        <v>109</v>
      </c>
      <c r="F667" s="186"/>
      <c r="G667" s="9">
        <v>5</v>
      </c>
      <c r="H667" s="9">
        <v>5</v>
      </c>
      <c r="I667" s="9">
        <v>12</v>
      </c>
      <c r="J667" s="9">
        <v>12</v>
      </c>
      <c r="K667" s="9">
        <f t="shared" si="20"/>
        <v>5</v>
      </c>
      <c r="L667" s="9">
        <v>1</v>
      </c>
      <c r="M667" s="9">
        <f t="shared" si="21"/>
        <v>12</v>
      </c>
      <c r="N667" s="9">
        <v>10</v>
      </c>
    </row>
    <row r="668" spans="1:14" ht="15" customHeight="1" x14ac:dyDescent="0.35">
      <c r="A668" s="185"/>
      <c r="B668" s="10" t="s">
        <v>15</v>
      </c>
      <c r="C668" s="11" t="s">
        <v>20</v>
      </c>
      <c r="D668" s="11">
        <v>2</v>
      </c>
      <c r="E668" s="10" t="s">
        <v>17</v>
      </c>
      <c r="F668" s="186"/>
      <c r="G668" s="9">
        <v>5</v>
      </c>
      <c r="H668" s="9">
        <v>5</v>
      </c>
      <c r="I668" s="9">
        <v>10</v>
      </c>
      <c r="J668" s="9">
        <v>10</v>
      </c>
      <c r="K668" s="9">
        <f t="shared" si="20"/>
        <v>5</v>
      </c>
      <c r="L668" s="9">
        <v>5</v>
      </c>
      <c r="M668" s="9">
        <f t="shared" si="21"/>
        <v>10</v>
      </c>
      <c r="N668" s="9">
        <v>9</v>
      </c>
    </row>
    <row r="669" spans="1:14" ht="15" customHeight="1" x14ac:dyDescent="0.35">
      <c r="A669" s="185"/>
      <c r="B669" s="10" t="s">
        <v>15</v>
      </c>
      <c r="C669" s="11" t="s">
        <v>20</v>
      </c>
      <c r="D669" s="11">
        <v>2</v>
      </c>
      <c r="E669" s="10" t="s">
        <v>109</v>
      </c>
      <c r="F669" s="186"/>
      <c r="G669" s="9">
        <v>5</v>
      </c>
      <c r="H669" s="9">
        <v>5</v>
      </c>
      <c r="I669" s="9">
        <v>11</v>
      </c>
      <c r="J669" s="9">
        <v>11</v>
      </c>
      <c r="K669" s="9">
        <f t="shared" si="20"/>
        <v>5</v>
      </c>
      <c r="L669" s="9">
        <v>1</v>
      </c>
      <c r="M669" s="9">
        <f t="shared" si="21"/>
        <v>11</v>
      </c>
      <c r="N669" s="9">
        <v>10</v>
      </c>
    </row>
    <row r="670" spans="1:14" ht="15" customHeight="1" x14ac:dyDescent="0.35">
      <c r="A670" s="185"/>
      <c r="B670" s="7" t="s">
        <v>15</v>
      </c>
      <c r="C670" s="8" t="s">
        <v>20</v>
      </c>
      <c r="D670" s="8">
        <v>3</v>
      </c>
      <c r="E670" s="7" t="s">
        <v>17</v>
      </c>
      <c r="F670" s="186"/>
      <c r="G670" s="9">
        <v>5</v>
      </c>
      <c r="H670" s="9">
        <v>5</v>
      </c>
      <c r="I670" s="9">
        <v>9</v>
      </c>
      <c r="J670" s="9">
        <v>9</v>
      </c>
      <c r="K670" s="9">
        <f t="shared" si="20"/>
        <v>5</v>
      </c>
      <c r="L670" s="9">
        <v>5</v>
      </c>
      <c r="M670" s="9">
        <f t="shared" si="21"/>
        <v>9</v>
      </c>
      <c r="N670" s="9">
        <v>8</v>
      </c>
    </row>
    <row r="671" spans="1:14" ht="15" customHeight="1" x14ac:dyDescent="0.35">
      <c r="A671" s="185"/>
      <c r="B671" s="7" t="s">
        <v>15</v>
      </c>
      <c r="C671" s="8" t="s">
        <v>20</v>
      </c>
      <c r="D671" s="8">
        <v>3</v>
      </c>
      <c r="E671" s="7" t="s">
        <v>109</v>
      </c>
      <c r="F671" s="186"/>
      <c r="G671" s="9">
        <v>5</v>
      </c>
      <c r="H671" s="9">
        <v>5</v>
      </c>
      <c r="I671" s="9">
        <v>11</v>
      </c>
      <c r="J671" s="9">
        <v>11</v>
      </c>
      <c r="K671" s="9">
        <f t="shared" si="20"/>
        <v>5</v>
      </c>
      <c r="L671" s="9">
        <v>1</v>
      </c>
      <c r="M671" s="9">
        <f t="shared" si="21"/>
        <v>11</v>
      </c>
      <c r="N671" s="9">
        <v>10</v>
      </c>
    </row>
    <row r="672" spans="1:14" ht="15" customHeight="1" x14ac:dyDescent="0.35">
      <c r="A672" s="185"/>
      <c r="B672" s="12" t="s">
        <v>21</v>
      </c>
      <c r="C672" s="13" t="s">
        <v>16</v>
      </c>
      <c r="D672" s="13">
        <v>1</v>
      </c>
      <c r="E672" s="12" t="s">
        <v>17</v>
      </c>
      <c r="F672" s="186"/>
      <c r="G672" s="9">
        <v>5</v>
      </c>
      <c r="H672" s="9">
        <v>4</v>
      </c>
      <c r="I672" s="9">
        <v>9</v>
      </c>
      <c r="J672" s="9">
        <v>8</v>
      </c>
      <c r="K672" s="9">
        <f t="shared" si="20"/>
        <v>5</v>
      </c>
      <c r="L672" s="9">
        <v>1</v>
      </c>
      <c r="M672" s="9">
        <f t="shared" si="21"/>
        <v>9</v>
      </c>
      <c r="N672" s="9">
        <v>3</v>
      </c>
    </row>
    <row r="673" spans="1:14" ht="15" customHeight="1" x14ac:dyDescent="0.35">
      <c r="A673" s="185"/>
      <c r="B673" s="12" t="s">
        <v>21</v>
      </c>
      <c r="C673" s="13" t="s">
        <v>16</v>
      </c>
      <c r="D673" s="13">
        <v>1</v>
      </c>
      <c r="E673" s="12" t="s">
        <v>109</v>
      </c>
      <c r="F673" s="186"/>
      <c r="G673" s="9">
        <v>4</v>
      </c>
      <c r="H673" s="9">
        <v>4</v>
      </c>
      <c r="I673" s="9">
        <v>9</v>
      </c>
      <c r="J673" s="9">
        <v>7</v>
      </c>
      <c r="K673" s="9">
        <f t="shared" si="20"/>
        <v>4</v>
      </c>
      <c r="L673" s="9">
        <v>0</v>
      </c>
      <c r="M673" s="9">
        <f t="shared" si="21"/>
        <v>9</v>
      </c>
      <c r="N673" s="9">
        <v>3</v>
      </c>
    </row>
    <row r="674" spans="1:14" ht="15" customHeight="1" x14ac:dyDescent="0.35">
      <c r="A674" s="185"/>
      <c r="B674" s="14" t="s">
        <v>21</v>
      </c>
      <c r="C674" s="15" t="s">
        <v>16</v>
      </c>
      <c r="D674" s="15">
        <v>2</v>
      </c>
      <c r="E674" s="14" t="s">
        <v>17</v>
      </c>
      <c r="F674" s="186"/>
      <c r="G674" s="9">
        <v>5</v>
      </c>
      <c r="H674" s="9">
        <v>5</v>
      </c>
      <c r="I674" s="9">
        <v>8</v>
      </c>
      <c r="J674" s="9">
        <v>7</v>
      </c>
      <c r="K674" s="9">
        <f t="shared" si="20"/>
        <v>5</v>
      </c>
      <c r="L674" s="9">
        <v>1</v>
      </c>
      <c r="M674" s="9">
        <f t="shared" si="21"/>
        <v>8</v>
      </c>
      <c r="N674" s="9">
        <v>3</v>
      </c>
    </row>
    <row r="675" spans="1:14" ht="15" customHeight="1" x14ac:dyDescent="0.35">
      <c r="A675" s="185"/>
      <c r="B675" s="14" t="s">
        <v>21</v>
      </c>
      <c r="C675" s="15" t="s">
        <v>16</v>
      </c>
      <c r="D675" s="15">
        <v>2</v>
      </c>
      <c r="E675" s="14" t="s">
        <v>109</v>
      </c>
      <c r="F675" s="186"/>
      <c r="G675" s="9">
        <v>3</v>
      </c>
      <c r="H675" s="9">
        <v>3</v>
      </c>
      <c r="I675" s="9">
        <v>9</v>
      </c>
      <c r="J675" s="9">
        <v>7</v>
      </c>
      <c r="K675" s="9">
        <f t="shared" si="20"/>
        <v>3</v>
      </c>
      <c r="L675" s="9">
        <v>0</v>
      </c>
      <c r="M675" s="9">
        <f t="shared" si="21"/>
        <v>9</v>
      </c>
      <c r="N675" s="9">
        <v>2</v>
      </c>
    </row>
    <row r="676" spans="1:14" ht="15" customHeight="1" x14ac:dyDescent="0.35">
      <c r="A676" s="185"/>
      <c r="B676" s="12" t="s">
        <v>21</v>
      </c>
      <c r="C676" s="13" t="s">
        <v>16</v>
      </c>
      <c r="D676" s="13">
        <v>3</v>
      </c>
      <c r="E676" s="12" t="s">
        <v>17</v>
      </c>
      <c r="F676" s="186"/>
      <c r="G676" s="9">
        <v>7</v>
      </c>
      <c r="H676" s="9">
        <v>7</v>
      </c>
      <c r="I676" s="9">
        <v>9</v>
      </c>
      <c r="J676" s="9">
        <v>6</v>
      </c>
      <c r="K676" s="9">
        <f t="shared" si="20"/>
        <v>7</v>
      </c>
      <c r="L676" s="9">
        <v>0</v>
      </c>
      <c r="M676" s="9">
        <f t="shared" si="21"/>
        <v>9</v>
      </c>
      <c r="N676" s="9">
        <v>2</v>
      </c>
    </row>
    <row r="677" spans="1:14" ht="15" customHeight="1" x14ac:dyDescent="0.35">
      <c r="A677" s="185"/>
      <c r="B677" s="12" t="s">
        <v>21</v>
      </c>
      <c r="C677" s="13" t="s">
        <v>16</v>
      </c>
      <c r="D677" s="13">
        <v>3</v>
      </c>
      <c r="E677" s="12" t="s">
        <v>109</v>
      </c>
      <c r="F677" s="186"/>
      <c r="G677" s="9">
        <v>4</v>
      </c>
      <c r="H677" s="9">
        <v>4</v>
      </c>
      <c r="I677" s="9">
        <v>9</v>
      </c>
      <c r="J677" s="9">
        <v>7</v>
      </c>
      <c r="K677" s="9">
        <f t="shared" si="20"/>
        <v>4</v>
      </c>
      <c r="L677" s="9">
        <v>0</v>
      </c>
      <c r="M677" s="9">
        <f t="shared" si="21"/>
        <v>9</v>
      </c>
      <c r="N677" s="9">
        <v>3</v>
      </c>
    </row>
    <row r="678" spans="1:14" ht="15" customHeight="1" x14ac:dyDescent="0.35">
      <c r="A678" s="185"/>
      <c r="B678" s="14" t="s">
        <v>21</v>
      </c>
      <c r="C678" s="15" t="s">
        <v>19</v>
      </c>
      <c r="D678" s="15">
        <v>1</v>
      </c>
      <c r="E678" s="14" t="s">
        <v>17</v>
      </c>
      <c r="F678" s="186"/>
      <c r="G678" s="9">
        <v>3</v>
      </c>
      <c r="H678" s="9">
        <v>2</v>
      </c>
      <c r="I678" s="9">
        <v>8</v>
      </c>
      <c r="J678" s="9">
        <v>6</v>
      </c>
      <c r="K678" s="9">
        <f t="shared" si="20"/>
        <v>3</v>
      </c>
      <c r="L678" s="9">
        <v>0</v>
      </c>
      <c r="M678" s="9">
        <f t="shared" si="21"/>
        <v>8</v>
      </c>
      <c r="N678" s="9">
        <v>2</v>
      </c>
    </row>
    <row r="679" spans="1:14" ht="15" customHeight="1" x14ac:dyDescent="0.35">
      <c r="A679" s="185"/>
      <c r="B679" s="14" t="s">
        <v>21</v>
      </c>
      <c r="C679" s="15" t="s">
        <v>19</v>
      </c>
      <c r="D679" s="15">
        <v>1</v>
      </c>
      <c r="E679" s="14" t="s">
        <v>109</v>
      </c>
      <c r="F679" s="186"/>
      <c r="G679" s="9">
        <v>3</v>
      </c>
      <c r="H679" s="9">
        <v>3</v>
      </c>
      <c r="I679" s="9">
        <v>8</v>
      </c>
      <c r="J679" s="9">
        <v>6</v>
      </c>
      <c r="K679" s="9">
        <f t="shared" si="20"/>
        <v>3</v>
      </c>
      <c r="L679" s="9">
        <v>0</v>
      </c>
      <c r="M679" s="9">
        <f t="shared" si="21"/>
        <v>8</v>
      </c>
      <c r="N679" s="9">
        <v>2</v>
      </c>
    </row>
    <row r="680" spans="1:14" ht="15" customHeight="1" x14ac:dyDescent="0.35">
      <c r="A680" s="185"/>
      <c r="B680" s="12" t="s">
        <v>21</v>
      </c>
      <c r="C680" s="13" t="s">
        <v>19</v>
      </c>
      <c r="D680" s="13">
        <v>2</v>
      </c>
      <c r="E680" s="12" t="s">
        <v>17</v>
      </c>
      <c r="F680" s="186"/>
      <c r="G680" s="9">
        <v>5</v>
      </c>
      <c r="H680" s="9">
        <v>4</v>
      </c>
      <c r="I680" s="9">
        <v>8</v>
      </c>
      <c r="J680" s="9">
        <v>7</v>
      </c>
      <c r="K680" s="9">
        <f t="shared" si="20"/>
        <v>5</v>
      </c>
      <c r="L680" s="9">
        <v>1</v>
      </c>
      <c r="M680" s="9">
        <f t="shared" si="21"/>
        <v>8</v>
      </c>
      <c r="N680" s="9">
        <v>3</v>
      </c>
    </row>
    <row r="681" spans="1:14" ht="15" customHeight="1" x14ac:dyDescent="0.35">
      <c r="A681" s="185"/>
      <c r="B681" s="12" t="s">
        <v>21</v>
      </c>
      <c r="C681" s="13" t="s">
        <v>19</v>
      </c>
      <c r="D681" s="13">
        <v>2</v>
      </c>
      <c r="E681" s="12" t="s">
        <v>109</v>
      </c>
      <c r="F681" s="186"/>
      <c r="G681" s="9">
        <v>3</v>
      </c>
      <c r="H681" s="9">
        <v>3</v>
      </c>
      <c r="I681" s="9">
        <v>9</v>
      </c>
      <c r="J681" s="9">
        <v>7</v>
      </c>
      <c r="K681" s="9">
        <f t="shared" si="20"/>
        <v>3</v>
      </c>
      <c r="L681" s="9">
        <v>1</v>
      </c>
      <c r="M681" s="9">
        <f t="shared" si="21"/>
        <v>9</v>
      </c>
      <c r="N681" s="9">
        <v>3</v>
      </c>
    </row>
    <row r="682" spans="1:14" ht="15" customHeight="1" x14ac:dyDescent="0.35">
      <c r="A682" s="185"/>
      <c r="B682" s="14" t="s">
        <v>21</v>
      </c>
      <c r="C682" s="15" t="s">
        <v>19</v>
      </c>
      <c r="D682" s="15">
        <v>3</v>
      </c>
      <c r="E682" s="14" t="s">
        <v>17</v>
      </c>
      <c r="F682" s="186"/>
      <c r="G682" s="9">
        <v>7</v>
      </c>
      <c r="H682" s="9">
        <v>7</v>
      </c>
      <c r="I682" s="9">
        <v>10</v>
      </c>
      <c r="J682" s="9">
        <v>7</v>
      </c>
      <c r="K682" s="9">
        <f t="shared" si="20"/>
        <v>7</v>
      </c>
      <c r="L682" s="9">
        <v>1</v>
      </c>
      <c r="M682" s="9">
        <f t="shared" si="21"/>
        <v>10</v>
      </c>
      <c r="N682" s="9">
        <v>3</v>
      </c>
    </row>
    <row r="683" spans="1:14" ht="15" customHeight="1" x14ac:dyDescent="0.35">
      <c r="A683" s="185"/>
      <c r="B683" s="14" t="s">
        <v>21</v>
      </c>
      <c r="C683" s="15" t="s">
        <v>19</v>
      </c>
      <c r="D683" s="15">
        <v>3</v>
      </c>
      <c r="E683" s="14" t="s">
        <v>109</v>
      </c>
      <c r="F683" s="186"/>
      <c r="G683" s="9">
        <v>3</v>
      </c>
      <c r="H683" s="9">
        <v>3</v>
      </c>
      <c r="I683" s="9">
        <v>8</v>
      </c>
      <c r="J683" s="9">
        <v>8</v>
      </c>
      <c r="K683" s="9">
        <f t="shared" si="20"/>
        <v>3</v>
      </c>
      <c r="L683" s="9">
        <v>1</v>
      </c>
      <c r="M683" s="9">
        <f t="shared" si="21"/>
        <v>8</v>
      </c>
      <c r="N683" s="9">
        <v>4</v>
      </c>
    </row>
    <row r="684" spans="1:14" ht="15" customHeight="1" x14ac:dyDescent="0.35">
      <c r="A684" s="185"/>
      <c r="B684" s="12" t="s">
        <v>21</v>
      </c>
      <c r="C684" s="13" t="s">
        <v>20</v>
      </c>
      <c r="D684" s="13">
        <v>1</v>
      </c>
      <c r="E684" s="12" t="s">
        <v>17</v>
      </c>
      <c r="F684" s="186"/>
      <c r="G684" s="9">
        <v>7</v>
      </c>
      <c r="H684" s="9">
        <v>7</v>
      </c>
      <c r="I684" s="9">
        <v>3</v>
      </c>
      <c r="J684" s="9">
        <v>3</v>
      </c>
      <c r="K684" s="9">
        <f t="shared" si="20"/>
        <v>7</v>
      </c>
      <c r="L684" s="9">
        <v>0</v>
      </c>
      <c r="M684" s="9">
        <f t="shared" si="21"/>
        <v>3</v>
      </c>
      <c r="N684" s="9">
        <v>2</v>
      </c>
    </row>
    <row r="685" spans="1:14" ht="15" customHeight="1" x14ac:dyDescent="0.35">
      <c r="A685" s="185"/>
      <c r="B685" s="12" t="s">
        <v>21</v>
      </c>
      <c r="C685" s="13" t="s">
        <v>20</v>
      </c>
      <c r="D685" s="13">
        <v>1</v>
      </c>
      <c r="E685" s="12" t="s">
        <v>109</v>
      </c>
      <c r="F685" s="186"/>
      <c r="G685" s="9">
        <v>3</v>
      </c>
      <c r="H685" s="9">
        <v>3</v>
      </c>
      <c r="I685" s="9">
        <v>9</v>
      </c>
      <c r="J685" s="9">
        <v>7</v>
      </c>
      <c r="K685" s="9">
        <f t="shared" si="20"/>
        <v>3</v>
      </c>
      <c r="L685" s="9">
        <v>1</v>
      </c>
      <c r="M685" s="9">
        <f t="shared" si="21"/>
        <v>9</v>
      </c>
      <c r="N685" s="9">
        <v>3</v>
      </c>
    </row>
    <row r="686" spans="1:14" ht="15" customHeight="1" x14ac:dyDescent="0.35">
      <c r="A686" s="185"/>
      <c r="B686" s="14" t="s">
        <v>21</v>
      </c>
      <c r="C686" s="15" t="s">
        <v>20</v>
      </c>
      <c r="D686" s="15">
        <v>2</v>
      </c>
      <c r="E686" s="14" t="s">
        <v>17</v>
      </c>
      <c r="F686" s="186"/>
      <c r="G686" s="9">
        <v>3</v>
      </c>
      <c r="H686" s="9">
        <v>2</v>
      </c>
      <c r="I686" s="9">
        <v>6</v>
      </c>
      <c r="J686" s="9">
        <v>4</v>
      </c>
      <c r="K686" s="9">
        <f t="shared" si="20"/>
        <v>3</v>
      </c>
      <c r="L686" s="9">
        <v>0</v>
      </c>
      <c r="M686" s="9">
        <f t="shared" si="21"/>
        <v>6</v>
      </c>
      <c r="N686" s="9">
        <v>1</v>
      </c>
    </row>
    <row r="687" spans="1:14" ht="15" customHeight="1" x14ac:dyDescent="0.35">
      <c r="A687" s="185"/>
      <c r="B687" s="14" t="s">
        <v>21</v>
      </c>
      <c r="C687" s="15" t="s">
        <v>20</v>
      </c>
      <c r="D687" s="15">
        <v>2</v>
      </c>
      <c r="E687" s="14" t="s">
        <v>109</v>
      </c>
      <c r="F687" s="186"/>
      <c r="G687" s="9">
        <v>3</v>
      </c>
      <c r="H687" s="9">
        <v>3</v>
      </c>
      <c r="I687" s="9">
        <v>9</v>
      </c>
      <c r="J687" s="9">
        <v>7</v>
      </c>
      <c r="K687" s="9">
        <f t="shared" si="20"/>
        <v>3</v>
      </c>
      <c r="L687" s="9">
        <v>1</v>
      </c>
      <c r="M687" s="9">
        <f t="shared" si="21"/>
        <v>9</v>
      </c>
      <c r="N687" s="9">
        <v>3</v>
      </c>
    </row>
    <row r="688" spans="1:14" ht="15" customHeight="1" x14ac:dyDescent="0.35">
      <c r="A688" s="185"/>
      <c r="B688" s="12" t="s">
        <v>21</v>
      </c>
      <c r="C688" s="13" t="s">
        <v>20</v>
      </c>
      <c r="D688" s="13">
        <v>3</v>
      </c>
      <c r="E688" s="12" t="s">
        <v>17</v>
      </c>
      <c r="F688" s="186"/>
      <c r="G688" s="9">
        <v>5</v>
      </c>
      <c r="H688" s="9">
        <v>5</v>
      </c>
      <c r="I688" s="9">
        <v>8</v>
      </c>
      <c r="J688" s="9">
        <v>7</v>
      </c>
      <c r="K688" s="9">
        <f t="shared" si="20"/>
        <v>5</v>
      </c>
      <c r="L688" s="9">
        <v>1</v>
      </c>
      <c r="M688" s="9">
        <f t="shared" si="21"/>
        <v>8</v>
      </c>
      <c r="N688" s="9">
        <v>3</v>
      </c>
    </row>
    <row r="689" spans="1:14" ht="15" customHeight="1" x14ac:dyDescent="0.35">
      <c r="A689" s="185"/>
      <c r="B689" s="12" t="s">
        <v>21</v>
      </c>
      <c r="C689" s="13" t="s">
        <v>20</v>
      </c>
      <c r="D689" s="13">
        <v>3</v>
      </c>
      <c r="E689" s="12" t="s">
        <v>109</v>
      </c>
      <c r="F689" s="186"/>
      <c r="G689" s="9">
        <v>3</v>
      </c>
      <c r="H689" s="9">
        <v>3</v>
      </c>
      <c r="I689" s="9">
        <v>5</v>
      </c>
      <c r="J689" s="9">
        <v>5</v>
      </c>
      <c r="K689" s="9">
        <f t="shared" si="20"/>
        <v>3</v>
      </c>
      <c r="L689" s="9">
        <v>0</v>
      </c>
      <c r="M689" s="9">
        <f t="shared" si="21"/>
        <v>5</v>
      </c>
      <c r="N689" s="9">
        <v>4</v>
      </c>
    </row>
    <row r="690" spans="1:14" ht="15" customHeight="1" x14ac:dyDescent="0.35">
      <c r="A690" s="185"/>
      <c r="B690" s="16" t="s">
        <v>22</v>
      </c>
      <c r="C690" s="17" t="s">
        <v>16</v>
      </c>
      <c r="D690" s="17">
        <v>1</v>
      </c>
      <c r="E690" s="16" t="s">
        <v>17</v>
      </c>
      <c r="F690" s="186"/>
      <c r="G690" s="9">
        <v>3</v>
      </c>
      <c r="H690" s="9">
        <v>3</v>
      </c>
      <c r="I690" s="9">
        <v>9</v>
      </c>
      <c r="J690" s="9">
        <v>9</v>
      </c>
      <c r="K690" s="9">
        <f t="shared" si="20"/>
        <v>3</v>
      </c>
      <c r="L690" s="9">
        <v>3</v>
      </c>
      <c r="M690" s="9">
        <f t="shared" si="21"/>
        <v>9</v>
      </c>
      <c r="N690" s="9">
        <v>5</v>
      </c>
    </row>
    <row r="691" spans="1:14" ht="15" customHeight="1" x14ac:dyDescent="0.35">
      <c r="A691" s="185"/>
      <c r="B691" s="16" t="s">
        <v>22</v>
      </c>
      <c r="C691" s="17" t="s">
        <v>16</v>
      </c>
      <c r="D691" s="17">
        <v>1</v>
      </c>
      <c r="E691" s="16" t="s">
        <v>109</v>
      </c>
      <c r="F691" s="186"/>
      <c r="G691" s="9">
        <v>5</v>
      </c>
      <c r="H691" s="9">
        <v>5</v>
      </c>
      <c r="I691" s="9">
        <v>11</v>
      </c>
      <c r="J691" s="9">
        <v>11</v>
      </c>
      <c r="K691" s="9">
        <f t="shared" si="20"/>
        <v>5</v>
      </c>
      <c r="L691" s="9">
        <v>3</v>
      </c>
      <c r="M691" s="9">
        <f t="shared" si="21"/>
        <v>11</v>
      </c>
      <c r="N691" s="9">
        <v>6</v>
      </c>
    </row>
    <row r="692" spans="1:14" ht="15" customHeight="1" x14ac:dyDescent="0.35">
      <c r="A692" s="185"/>
      <c r="B692" s="18" t="s">
        <v>22</v>
      </c>
      <c r="C692" s="19" t="s">
        <v>16</v>
      </c>
      <c r="D692" s="19">
        <v>2</v>
      </c>
      <c r="E692" s="18" t="s">
        <v>17</v>
      </c>
      <c r="F692" s="186"/>
      <c r="G692" s="9">
        <v>5</v>
      </c>
      <c r="H692" s="9">
        <v>5</v>
      </c>
      <c r="I692" s="9">
        <v>8</v>
      </c>
      <c r="J692" s="9">
        <v>8</v>
      </c>
      <c r="K692" s="9">
        <f t="shared" si="20"/>
        <v>5</v>
      </c>
      <c r="L692" s="9">
        <v>5</v>
      </c>
      <c r="M692" s="9">
        <f t="shared" si="21"/>
        <v>8</v>
      </c>
      <c r="N692" s="9">
        <v>4</v>
      </c>
    </row>
    <row r="693" spans="1:14" ht="15" customHeight="1" x14ac:dyDescent="0.35">
      <c r="A693" s="185"/>
      <c r="B693" s="18" t="s">
        <v>22</v>
      </c>
      <c r="C693" s="19" t="s">
        <v>16</v>
      </c>
      <c r="D693" s="19">
        <v>2</v>
      </c>
      <c r="E693" s="18" t="s">
        <v>109</v>
      </c>
      <c r="F693" s="186"/>
      <c r="G693" s="9">
        <v>5</v>
      </c>
      <c r="H693" s="9">
        <v>5</v>
      </c>
      <c r="I693" s="9">
        <v>11</v>
      </c>
      <c r="J693" s="9">
        <v>11</v>
      </c>
      <c r="K693" s="9">
        <f t="shared" si="20"/>
        <v>5</v>
      </c>
      <c r="L693" s="9">
        <v>3</v>
      </c>
      <c r="M693" s="9">
        <f t="shared" si="21"/>
        <v>11</v>
      </c>
      <c r="N693" s="9">
        <v>6</v>
      </c>
    </row>
    <row r="694" spans="1:14" ht="15" customHeight="1" x14ac:dyDescent="0.35">
      <c r="A694" s="185"/>
      <c r="B694" s="16" t="s">
        <v>22</v>
      </c>
      <c r="C694" s="17" t="s">
        <v>16</v>
      </c>
      <c r="D694" s="17">
        <v>3</v>
      </c>
      <c r="E694" s="16" t="s">
        <v>17</v>
      </c>
      <c r="F694" s="186"/>
      <c r="G694" s="9">
        <v>3</v>
      </c>
      <c r="H694" s="9">
        <v>3</v>
      </c>
      <c r="I694" s="9">
        <v>9</v>
      </c>
      <c r="J694" s="9">
        <v>9</v>
      </c>
      <c r="K694" s="9">
        <f t="shared" si="20"/>
        <v>3</v>
      </c>
      <c r="L694" s="9">
        <v>3</v>
      </c>
      <c r="M694" s="9">
        <f t="shared" si="21"/>
        <v>9</v>
      </c>
      <c r="N694" s="9">
        <v>5</v>
      </c>
    </row>
    <row r="695" spans="1:14" ht="15" customHeight="1" x14ac:dyDescent="0.35">
      <c r="A695" s="185"/>
      <c r="B695" s="16" t="s">
        <v>22</v>
      </c>
      <c r="C695" s="17" t="s">
        <v>16</v>
      </c>
      <c r="D695" s="17">
        <v>3</v>
      </c>
      <c r="E695" s="16" t="s">
        <v>109</v>
      </c>
      <c r="F695" s="186"/>
      <c r="G695" s="9">
        <v>5</v>
      </c>
      <c r="H695" s="9">
        <v>5</v>
      </c>
      <c r="I695" s="9">
        <v>11</v>
      </c>
      <c r="J695" s="9">
        <v>11</v>
      </c>
      <c r="K695" s="9">
        <f t="shared" si="20"/>
        <v>5</v>
      </c>
      <c r="L695" s="9">
        <v>3</v>
      </c>
      <c r="M695" s="9">
        <f t="shared" si="21"/>
        <v>11</v>
      </c>
      <c r="N695" s="9">
        <v>6</v>
      </c>
    </row>
    <row r="696" spans="1:14" ht="15" customHeight="1" x14ac:dyDescent="0.35">
      <c r="A696" s="185"/>
      <c r="B696" s="18" t="s">
        <v>22</v>
      </c>
      <c r="C696" s="19" t="s">
        <v>19</v>
      </c>
      <c r="D696" s="19">
        <v>1</v>
      </c>
      <c r="E696" s="18" t="s">
        <v>17</v>
      </c>
      <c r="F696" s="186"/>
      <c r="G696" s="9">
        <v>3</v>
      </c>
      <c r="H696" s="9">
        <v>3</v>
      </c>
      <c r="I696" s="9">
        <v>9</v>
      </c>
      <c r="J696" s="9">
        <v>9</v>
      </c>
      <c r="K696" s="9">
        <f t="shared" si="20"/>
        <v>3</v>
      </c>
      <c r="L696" s="9">
        <v>3</v>
      </c>
      <c r="M696" s="9">
        <f t="shared" si="21"/>
        <v>9</v>
      </c>
      <c r="N696" s="9">
        <v>5</v>
      </c>
    </row>
    <row r="697" spans="1:14" ht="15" customHeight="1" x14ac:dyDescent="0.35">
      <c r="A697" s="185"/>
      <c r="B697" s="18" t="s">
        <v>22</v>
      </c>
      <c r="C697" s="19" t="s">
        <v>19</v>
      </c>
      <c r="D697" s="19">
        <v>1</v>
      </c>
      <c r="E697" s="18" t="s">
        <v>109</v>
      </c>
      <c r="F697" s="186"/>
      <c r="G697" s="9">
        <v>5</v>
      </c>
      <c r="H697" s="9">
        <v>5</v>
      </c>
      <c r="I697" s="9">
        <v>11</v>
      </c>
      <c r="J697" s="9">
        <v>11</v>
      </c>
      <c r="K697" s="9">
        <f t="shared" si="20"/>
        <v>5</v>
      </c>
      <c r="L697" s="9">
        <v>3</v>
      </c>
      <c r="M697" s="9">
        <f t="shared" si="21"/>
        <v>11</v>
      </c>
      <c r="N697" s="9">
        <v>6</v>
      </c>
    </row>
    <row r="698" spans="1:14" ht="15" customHeight="1" x14ac:dyDescent="0.35">
      <c r="A698" s="185"/>
      <c r="B698" s="16" t="s">
        <v>22</v>
      </c>
      <c r="C698" s="17" t="s">
        <v>19</v>
      </c>
      <c r="D698" s="17">
        <v>2</v>
      </c>
      <c r="E698" s="16" t="s">
        <v>17</v>
      </c>
      <c r="F698" s="186"/>
      <c r="G698" s="9">
        <v>3</v>
      </c>
      <c r="H698" s="9">
        <v>3</v>
      </c>
      <c r="I698" s="9">
        <v>9</v>
      </c>
      <c r="J698" s="9">
        <v>9</v>
      </c>
      <c r="K698" s="9">
        <f t="shared" si="20"/>
        <v>3</v>
      </c>
      <c r="L698" s="9">
        <v>3</v>
      </c>
      <c r="M698" s="9">
        <f t="shared" si="21"/>
        <v>9</v>
      </c>
      <c r="N698" s="9">
        <v>5</v>
      </c>
    </row>
    <row r="699" spans="1:14" ht="15" customHeight="1" x14ac:dyDescent="0.35">
      <c r="A699" s="185"/>
      <c r="B699" s="16" t="s">
        <v>22</v>
      </c>
      <c r="C699" s="17" t="s">
        <v>19</v>
      </c>
      <c r="D699" s="17">
        <v>2</v>
      </c>
      <c r="E699" s="16" t="s">
        <v>109</v>
      </c>
      <c r="F699" s="186"/>
      <c r="G699" s="9">
        <v>5</v>
      </c>
      <c r="H699" s="9">
        <v>5</v>
      </c>
      <c r="I699" s="9">
        <v>11</v>
      </c>
      <c r="J699" s="9">
        <v>11</v>
      </c>
      <c r="K699" s="9">
        <f t="shared" si="20"/>
        <v>5</v>
      </c>
      <c r="L699" s="9">
        <v>3</v>
      </c>
      <c r="M699" s="9">
        <f t="shared" si="21"/>
        <v>11</v>
      </c>
      <c r="N699" s="9">
        <v>6</v>
      </c>
    </row>
    <row r="700" spans="1:14" ht="15" customHeight="1" x14ac:dyDescent="0.35">
      <c r="A700" s="185"/>
      <c r="B700" s="18" t="s">
        <v>22</v>
      </c>
      <c r="C700" s="19" t="s">
        <v>19</v>
      </c>
      <c r="D700" s="19">
        <v>3</v>
      </c>
      <c r="E700" s="18" t="s">
        <v>17</v>
      </c>
      <c r="F700" s="186"/>
      <c r="G700" s="9">
        <v>5</v>
      </c>
      <c r="H700" s="9">
        <v>5</v>
      </c>
      <c r="I700" s="9">
        <v>8</v>
      </c>
      <c r="J700" s="9">
        <v>8</v>
      </c>
      <c r="K700" s="9">
        <f t="shared" si="20"/>
        <v>5</v>
      </c>
      <c r="L700" s="9">
        <v>5</v>
      </c>
      <c r="M700" s="9">
        <f t="shared" si="21"/>
        <v>8</v>
      </c>
      <c r="N700" s="9">
        <v>4</v>
      </c>
    </row>
    <row r="701" spans="1:14" ht="15" customHeight="1" x14ac:dyDescent="0.35">
      <c r="A701" s="185"/>
      <c r="B701" s="18" t="s">
        <v>22</v>
      </c>
      <c r="C701" s="19" t="s">
        <v>19</v>
      </c>
      <c r="D701" s="19">
        <v>3</v>
      </c>
      <c r="E701" s="18" t="s">
        <v>109</v>
      </c>
      <c r="F701" s="186"/>
      <c r="G701" s="9">
        <v>5</v>
      </c>
      <c r="H701" s="9">
        <v>5</v>
      </c>
      <c r="I701" s="9">
        <v>11</v>
      </c>
      <c r="J701" s="9">
        <v>11</v>
      </c>
      <c r="K701" s="9">
        <f t="shared" si="20"/>
        <v>5</v>
      </c>
      <c r="L701" s="9">
        <v>3</v>
      </c>
      <c r="M701" s="9">
        <f t="shared" si="21"/>
        <v>11</v>
      </c>
      <c r="N701" s="9">
        <v>6</v>
      </c>
    </row>
    <row r="702" spans="1:14" ht="15" customHeight="1" x14ac:dyDescent="0.35">
      <c r="A702" s="185"/>
      <c r="B702" s="16" t="s">
        <v>22</v>
      </c>
      <c r="C702" s="17" t="s">
        <v>20</v>
      </c>
      <c r="D702" s="17">
        <v>1</v>
      </c>
      <c r="E702" s="16" t="s">
        <v>17</v>
      </c>
      <c r="F702" s="186"/>
      <c r="G702" s="9">
        <v>5</v>
      </c>
      <c r="H702" s="9">
        <v>5</v>
      </c>
      <c r="I702" s="9">
        <v>8</v>
      </c>
      <c r="J702" s="9">
        <v>8</v>
      </c>
      <c r="K702" s="9">
        <f t="shared" si="20"/>
        <v>5</v>
      </c>
      <c r="L702" s="9">
        <v>5</v>
      </c>
      <c r="M702" s="9">
        <f t="shared" si="21"/>
        <v>8</v>
      </c>
      <c r="N702" s="9">
        <v>4</v>
      </c>
    </row>
    <row r="703" spans="1:14" ht="15" customHeight="1" x14ac:dyDescent="0.35">
      <c r="A703" s="185"/>
      <c r="B703" s="16" t="s">
        <v>22</v>
      </c>
      <c r="C703" s="17" t="s">
        <v>20</v>
      </c>
      <c r="D703" s="17">
        <v>1</v>
      </c>
      <c r="E703" s="16" t="s">
        <v>109</v>
      </c>
      <c r="F703" s="186"/>
      <c r="G703" s="9">
        <v>5</v>
      </c>
      <c r="H703" s="9">
        <v>5</v>
      </c>
      <c r="I703" s="9">
        <v>11</v>
      </c>
      <c r="J703" s="9">
        <v>11</v>
      </c>
      <c r="K703" s="9">
        <f t="shared" si="20"/>
        <v>5</v>
      </c>
      <c r="L703" s="9">
        <v>3</v>
      </c>
      <c r="M703" s="9">
        <f t="shared" si="21"/>
        <v>11</v>
      </c>
      <c r="N703" s="9">
        <v>6</v>
      </c>
    </row>
    <row r="704" spans="1:14" ht="15" customHeight="1" x14ac:dyDescent="0.35">
      <c r="A704" s="185"/>
      <c r="B704" s="18" t="s">
        <v>22</v>
      </c>
      <c r="C704" s="19" t="s">
        <v>20</v>
      </c>
      <c r="D704" s="19">
        <v>2</v>
      </c>
      <c r="E704" s="18" t="s">
        <v>17</v>
      </c>
      <c r="F704" s="186"/>
      <c r="G704" s="9">
        <v>5</v>
      </c>
      <c r="H704" s="9">
        <v>5</v>
      </c>
      <c r="I704" s="9">
        <v>15</v>
      </c>
      <c r="J704" s="9">
        <v>15</v>
      </c>
      <c r="K704" s="9">
        <f t="shared" si="20"/>
        <v>5</v>
      </c>
      <c r="L704" s="9">
        <v>5</v>
      </c>
      <c r="M704" s="9">
        <f t="shared" si="21"/>
        <v>15</v>
      </c>
      <c r="N704" s="9">
        <v>11</v>
      </c>
    </row>
    <row r="705" spans="1:14" ht="15" customHeight="1" x14ac:dyDescent="0.35">
      <c r="A705" s="185"/>
      <c r="B705" s="18" t="s">
        <v>22</v>
      </c>
      <c r="C705" s="19" t="s">
        <v>20</v>
      </c>
      <c r="D705" s="19">
        <v>2</v>
      </c>
      <c r="E705" s="18" t="s">
        <v>109</v>
      </c>
      <c r="F705" s="186"/>
      <c r="G705" s="9">
        <v>5</v>
      </c>
      <c r="H705" s="9">
        <v>5</v>
      </c>
      <c r="I705" s="9">
        <v>11</v>
      </c>
      <c r="J705" s="9">
        <v>11</v>
      </c>
      <c r="K705" s="9">
        <f t="shared" si="20"/>
        <v>5</v>
      </c>
      <c r="L705" s="9">
        <v>3</v>
      </c>
      <c r="M705" s="9">
        <f t="shared" si="21"/>
        <v>11</v>
      </c>
      <c r="N705" s="9">
        <v>6</v>
      </c>
    </row>
    <row r="706" spans="1:14" ht="15" customHeight="1" x14ac:dyDescent="0.35">
      <c r="A706" s="185"/>
      <c r="B706" s="16" t="s">
        <v>22</v>
      </c>
      <c r="C706" s="17" t="s">
        <v>20</v>
      </c>
      <c r="D706" s="17">
        <v>3</v>
      </c>
      <c r="E706" s="16" t="s">
        <v>17</v>
      </c>
      <c r="F706" s="186"/>
      <c r="G706" s="9">
        <v>5</v>
      </c>
      <c r="H706" s="9">
        <v>5</v>
      </c>
      <c r="I706" s="9">
        <v>9</v>
      </c>
      <c r="J706" s="9">
        <v>9</v>
      </c>
      <c r="K706" s="9">
        <f t="shared" si="20"/>
        <v>5</v>
      </c>
      <c r="L706" s="9">
        <v>5</v>
      </c>
      <c r="M706" s="9">
        <f t="shared" si="21"/>
        <v>9</v>
      </c>
      <c r="N706" s="9">
        <v>5</v>
      </c>
    </row>
    <row r="707" spans="1:14" ht="15" customHeight="1" x14ac:dyDescent="0.35">
      <c r="A707" s="185"/>
      <c r="B707" s="20" t="s">
        <v>22</v>
      </c>
      <c r="C707" s="21" t="s">
        <v>20</v>
      </c>
      <c r="D707" s="21">
        <v>3</v>
      </c>
      <c r="E707" s="20" t="s">
        <v>109</v>
      </c>
      <c r="F707" s="186"/>
      <c r="G707" s="22">
        <v>5</v>
      </c>
      <c r="H707" s="22">
        <v>5</v>
      </c>
      <c r="I707" s="22">
        <v>11</v>
      </c>
      <c r="J707" s="22">
        <v>11</v>
      </c>
      <c r="K707" s="95">
        <f t="shared" si="20"/>
        <v>5</v>
      </c>
      <c r="L707" s="95">
        <v>3</v>
      </c>
      <c r="M707" s="95">
        <f t="shared" si="21"/>
        <v>11</v>
      </c>
      <c r="N707" s="22">
        <v>6</v>
      </c>
    </row>
    <row r="708" spans="1:14" ht="15" customHeight="1" x14ac:dyDescent="0.35">
      <c r="A708" s="185" t="s">
        <v>35</v>
      </c>
      <c r="B708" s="7" t="s">
        <v>15</v>
      </c>
      <c r="C708" s="8" t="s">
        <v>16</v>
      </c>
      <c r="D708" s="8">
        <v>1</v>
      </c>
      <c r="E708" s="7" t="s">
        <v>17</v>
      </c>
      <c r="F708" s="186">
        <v>82</v>
      </c>
      <c r="G708" s="9">
        <v>7</v>
      </c>
      <c r="H708" s="9">
        <v>7</v>
      </c>
      <c r="I708" s="9">
        <v>12</v>
      </c>
      <c r="J708" s="9">
        <v>12</v>
      </c>
      <c r="K708" s="94">
        <f t="shared" si="20"/>
        <v>7</v>
      </c>
      <c r="L708" s="94">
        <v>5</v>
      </c>
      <c r="M708" s="94">
        <f t="shared" si="21"/>
        <v>12</v>
      </c>
      <c r="N708" s="9">
        <v>6</v>
      </c>
    </row>
    <row r="709" spans="1:14" ht="15" customHeight="1" x14ac:dyDescent="0.35">
      <c r="A709" s="185"/>
      <c r="B709" s="7" t="s">
        <v>15</v>
      </c>
      <c r="C709" s="8" t="s">
        <v>16</v>
      </c>
      <c r="D709" s="8">
        <v>1</v>
      </c>
      <c r="E709" s="7" t="s">
        <v>109</v>
      </c>
      <c r="F709" s="186"/>
      <c r="G709" s="9">
        <v>7</v>
      </c>
      <c r="H709" s="9">
        <v>7</v>
      </c>
      <c r="I709" s="9">
        <v>13</v>
      </c>
      <c r="J709" s="9">
        <v>13</v>
      </c>
      <c r="K709" s="9">
        <f t="shared" si="20"/>
        <v>7</v>
      </c>
      <c r="L709" s="9">
        <v>5</v>
      </c>
      <c r="M709" s="9">
        <f t="shared" si="21"/>
        <v>13</v>
      </c>
      <c r="N709" s="9">
        <v>6</v>
      </c>
    </row>
    <row r="710" spans="1:14" ht="15" customHeight="1" x14ac:dyDescent="0.35">
      <c r="A710" s="185"/>
      <c r="B710" s="10" t="s">
        <v>15</v>
      </c>
      <c r="C710" s="11" t="s">
        <v>16</v>
      </c>
      <c r="D710" s="11">
        <v>2</v>
      </c>
      <c r="E710" s="10" t="s">
        <v>17</v>
      </c>
      <c r="F710" s="186"/>
      <c r="G710" s="9">
        <v>7</v>
      </c>
      <c r="H710" s="9">
        <v>7</v>
      </c>
      <c r="I710" s="9">
        <v>13</v>
      </c>
      <c r="J710" s="9">
        <v>13</v>
      </c>
      <c r="K710" s="9">
        <f t="shared" si="20"/>
        <v>7</v>
      </c>
      <c r="L710" s="9">
        <v>5</v>
      </c>
      <c r="M710" s="9">
        <f t="shared" si="21"/>
        <v>13</v>
      </c>
      <c r="N710" s="9">
        <v>6</v>
      </c>
    </row>
    <row r="711" spans="1:14" ht="15" customHeight="1" x14ac:dyDescent="0.35">
      <c r="A711" s="185"/>
      <c r="B711" s="10" t="s">
        <v>15</v>
      </c>
      <c r="C711" s="11" t="s">
        <v>16</v>
      </c>
      <c r="D711" s="11">
        <v>2</v>
      </c>
      <c r="E711" s="10" t="s">
        <v>109</v>
      </c>
      <c r="F711" s="186"/>
      <c r="G711" s="9">
        <v>7</v>
      </c>
      <c r="H711" s="9">
        <v>7</v>
      </c>
      <c r="I711" s="9">
        <v>13</v>
      </c>
      <c r="J711" s="9">
        <v>13</v>
      </c>
      <c r="K711" s="9">
        <f t="shared" ref="K711:K761" si="22">G711</f>
        <v>7</v>
      </c>
      <c r="L711" s="9">
        <v>5</v>
      </c>
      <c r="M711" s="9">
        <f t="shared" ref="M711:M761" si="23">I711</f>
        <v>13</v>
      </c>
      <c r="N711" s="9">
        <v>6</v>
      </c>
    </row>
    <row r="712" spans="1:14" ht="15" customHeight="1" x14ac:dyDescent="0.35">
      <c r="A712" s="185"/>
      <c r="B712" s="7" t="s">
        <v>15</v>
      </c>
      <c r="C712" s="8" t="s">
        <v>16</v>
      </c>
      <c r="D712" s="8">
        <v>3</v>
      </c>
      <c r="E712" s="7" t="s">
        <v>17</v>
      </c>
      <c r="F712" s="186"/>
      <c r="G712" s="9">
        <v>7</v>
      </c>
      <c r="H712" s="9">
        <v>7</v>
      </c>
      <c r="I712" s="9">
        <v>13</v>
      </c>
      <c r="J712" s="9">
        <v>13</v>
      </c>
      <c r="K712" s="9">
        <f t="shared" si="22"/>
        <v>7</v>
      </c>
      <c r="L712" s="9">
        <v>5</v>
      </c>
      <c r="M712" s="9">
        <f t="shared" si="23"/>
        <v>13</v>
      </c>
      <c r="N712" s="9">
        <v>6</v>
      </c>
    </row>
    <row r="713" spans="1:14" ht="15" customHeight="1" x14ac:dyDescent="0.35">
      <c r="A713" s="185"/>
      <c r="B713" s="7" t="s">
        <v>15</v>
      </c>
      <c r="C713" s="8" t="s">
        <v>16</v>
      </c>
      <c r="D713" s="8">
        <v>3</v>
      </c>
      <c r="E713" s="7" t="s">
        <v>109</v>
      </c>
      <c r="F713" s="186"/>
      <c r="G713" s="9">
        <v>7</v>
      </c>
      <c r="H713" s="9">
        <v>7</v>
      </c>
      <c r="I713" s="9">
        <v>13</v>
      </c>
      <c r="J713" s="9">
        <v>13</v>
      </c>
      <c r="K713" s="9">
        <f t="shared" si="22"/>
        <v>7</v>
      </c>
      <c r="L713" s="9">
        <v>5</v>
      </c>
      <c r="M713" s="9">
        <f t="shared" si="23"/>
        <v>13</v>
      </c>
      <c r="N713" s="9">
        <v>6</v>
      </c>
    </row>
    <row r="714" spans="1:14" ht="15" customHeight="1" x14ac:dyDescent="0.35">
      <c r="A714" s="185"/>
      <c r="B714" s="10" t="s">
        <v>15</v>
      </c>
      <c r="C714" s="11" t="s">
        <v>19</v>
      </c>
      <c r="D714" s="11">
        <v>1</v>
      </c>
      <c r="E714" s="10" t="s">
        <v>17</v>
      </c>
      <c r="F714" s="186"/>
      <c r="G714" s="9">
        <v>7</v>
      </c>
      <c r="H714" s="9">
        <v>7</v>
      </c>
      <c r="I714" s="9">
        <v>13</v>
      </c>
      <c r="J714" s="9">
        <v>13</v>
      </c>
      <c r="K714" s="9">
        <f t="shared" si="22"/>
        <v>7</v>
      </c>
      <c r="L714" s="9">
        <v>5</v>
      </c>
      <c r="M714" s="9">
        <f t="shared" si="23"/>
        <v>13</v>
      </c>
      <c r="N714" s="9">
        <v>6</v>
      </c>
    </row>
    <row r="715" spans="1:14" ht="15" customHeight="1" x14ac:dyDescent="0.35">
      <c r="A715" s="185"/>
      <c r="B715" s="10" t="s">
        <v>15</v>
      </c>
      <c r="C715" s="11" t="s">
        <v>19</v>
      </c>
      <c r="D715" s="11">
        <v>1</v>
      </c>
      <c r="E715" s="10" t="s">
        <v>109</v>
      </c>
      <c r="F715" s="186"/>
      <c r="G715" s="9">
        <v>7</v>
      </c>
      <c r="H715" s="9">
        <v>7</v>
      </c>
      <c r="I715" s="9">
        <v>13</v>
      </c>
      <c r="J715" s="9">
        <v>13</v>
      </c>
      <c r="K715" s="9">
        <f t="shared" si="22"/>
        <v>7</v>
      </c>
      <c r="L715" s="9">
        <v>5</v>
      </c>
      <c r="M715" s="9">
        <f t="shared" si="23"/>
        <v>13</v>
      </c>
      <c r="N715" s="9">
        <v>6</v>
      </c>
    </row>
    <row r="716" spans="1:14" ht="15" customHeight="1" x14ac:dyDescent="0.35">
      <c r="A716" s="185"/>
      <c r="B716" s="7" t="s">
        <v>15</v>
      </c>
      <c r="C716" s="8" t="s">
        <v>19</v>
      </c>
      <c r="D716" s="8">
        <v>2</v>
      </c>
      <c r="E716" s="7" t="s">
        <v>17</v>
      </c>
      <c r="F716" s="186"/>
      <c r="G716" s="9">
        <v>7</v>
      </c>
      <c r="H716" s="9">
        <v>7</v>
      </c>
      <c r="I716" s="9">
        <v>13</v>
      </c>
      <c r="J716" s="9">
        <v>13</v>
      </c>
      <c r="K716" s="9">
        <f t="shared" si="22"/>
        <v>7</v>
      </c>
      <c r="L716" s="9">
        <v>5</v>
      </c>
      <c r="M716" s="9">
        <f t="shared" si="23"/>
        <v>13</v>
      </c>
      <c r="N716" s="9">
        <v>6</v>
      </c>
    </row>
    <row r="717" spans="1:14" ht="15" customHeight="1" x14ac:dyDescent="0.35">
      <c r="A717" s="185"/>
      <c r="B717" s="7" t="s">
        <v>15</v>
      </c>
      <c r="C717" s="8" t="s">
        <v>19</v>
      </c>
      <c r="D717" s="8">
        <v>2</v>
      </c>
      <c r="E717" s="7" t="s">
        <v>109</v>
      </c>
      <c r="F717" s="186"/>
      <c r="G717" s="9">
        <v>7</v>
      </c>
      <c r="H717" s="9">
        <v>7</v>
      </c>
      <c r="I717" s="9">
        <v>13</v>
      </c>
      <c r="J717" s="9">
        <v>13</v>
      </c>
      <c r="K717" s="9">
        <f t="shared" si="22"/>
        <v>7</v>
      </c>
      <c r="L717" s="9">
        <v>5</v>
      </c>
      <c r="M717" s="9">
        <f t="shared" si="23"/>
        <v>13</v>
      </c>
      <c r="N717" s="9">
        <v>6</v>
      </c>
    </row>
    <row r="718" spans="1:14" ht="15" customHeight="1" x14ac:dyDescent="0.35">
      <c r="A718" s="185"/>
      <c r="B718" s="10" t="s">
        <v>15</v>
      </c>
      <c r="C718" s="11" t="s">
        <v>19</v>
      </c>
      <c r="D718" s="11">
        <v>3</v>
      </c>
      <c r="E718" s="10" t="s">
        <v>17</v>
      </c>
      <c r="F718" s="186"/>
      <c r="G718" s="9">
        <v>7</v>
      </c>
      <c r="H718" s="9">
        <v>7</v>
      </c>
      <c r="I718" s="9">
        <v>13</v>
      </c>
      <c r="J718" s="9">
        <v>13</v>
      </c>
      <c r="K718" s="9">
        <f t="shared" si="22"/>
        <v>7</v>
      </c>
      <c r="L718" s="9">
        <v>5</v>
      </c>
      <c r="M718" s="9">
        <f t="shared" si="23"/>
        <v>13</v>
      </c>
      <c r="N718" s="9">
        <v>6</v>
      </c>
    </row>
    <row r="719" spans="1:14" ht="15" customHeight="1" x14ac:dyDescent="0.35">
      <c r="A719" s="185"/>
      <c r="B719" s="10" t="s">
        <v>15</v>
      </c>
      <c r="C719" s="11" t="s">
        <v>19</v>
      </c>
      <c r="D719" s="11">
        <v>3</v>
      </c>
      <c r="E719" s="10" t="s">
        <v>109</v>
      </c>
      <c r="F719" s="186"/>
      <c r="G719" s="9">
        <v>7</v>
      </c>
      <c r="H719" s="9">
        <v>7</v>
      </c>
      <c r="I719" s="9">
        <v>13</v>
      </c>
      <c r="J719" s="9">
        <v>13</v>
      </c>
      <c r="K719" s="9">
        <f t="shared" si="22"/>
        <v>7</v>
      </c>
      <c r="L719" s="9">
        <v>5</v>
      </c>
      <c r="M719" s="9">
        <f t="shared" si="23"/>
        <v>13</v>
      </c>
      <c r="N719" s="9">
        <v>6</v>
      </c>
    </row>
    <row r="720" spans="1:14" ht="15" customHeight="1" x14ac:dyDescent="0.35">
      <c r="A720" s="185"/>
      <c r="B720" s="7" t="s">
        <v>15</v>
      </c>
      <c r="C720" s="8" t="s">
        <v>20</v>
      </c>
      <c r="D720" s="8">
        <v>1</v>
      </c>
      <c r="E720" s="7" t="s">
        <v>17</v>
      </c>
      <c r="F720" s="186"/>
      <c r="G720" s="9">
        <v>7</v>
      </c>
      <c r="H720" s="9">
        <v>7</v>
      </c>
      <c r="I720" s="9">
        <v>13</v>
      </c>
      <c r="J720" s="9">
        <v>13</v>
      </c>
      <c r="K720" s="9">
        <f t="shared" si="22"/>
        <v>7</v>
      </c>
      <c r="L720" s="9">
        <v>5</v>
      </c>
      <c r="M720" s="9">
        <f t="shared" si="23"/>
        <v>13</v>
      </c>
      <c r="N720" s="9">
        <v>6</v>
      </c>
    </row>
    <row r="721" spans="1:14" ht="15" customHeight="1" x14ac:dyDescent="0.35">
      <c r="A721" s="185"/>
      <c r="B721" s="7" t="s">
        <v>15</v>
      </c>
      <c r="C721" s="8" t="s">
        <v>20</v>
      </c>
      <c r="D721" s="8">
        <v>1</v>
      </c>
      <c r="E721" s="7" t="s">
        <v>109</v>
      </c>
      <c r="F721" s="186"/>
      <c r="G721" s="9">
        <v>9</v>
      </c>
      <c r="H721" s="9">
        <v>9</v>
      </c>
      <c r="I721" s="9">
        <v>21</v>
      </c>
      <c r="J721" s="9">
        <v>21</v>
      </c>
      <c r="K721" s="9">
        <f t="shared" si="22"/>
        <v>9</v>
      </c>
      <c r="L721" s="9">
        <v>9</v>
      </c>
      <c r="M721" s="9">
        <f t="shared" si="23"/>
        <v>21</v>
      </c>
      <c r="N721" s="9">
        <v>21</v>
      </c>
    </row>
    <row r="722" spans="1:14" ht="15" customHeight="1" x14ac:dyDescent="0.35">
      <c r="A722" s="185"/>
      <c r="B722" s="10" t="s">
        <v>15</v>
      </c>
      <c r="C722" s="11" t="s">
        <v>20</v>
      </c>
      <c r="D722" s="11">
        <v>2</v>
      </c>
      <c r="E722" s="10" t="s">
        <v>17</v>
      </c>
      <c r="F722" s="186"/>
      <c r="G722" s="9">
        <v>7</v>
      </c>
      <c r="H722" s="9">
        <v>7</v>
      </c>
      <c r="I722" s="9">
        <v>13</v>
      </c>
      <c r="J722" s="9">
        <v>13</v>
      </c>
      <c r="K722" s="9">
        <f t="shared" si="22"/>
        <v>7</v>
      </c>
      <c r="L722" s="9">
        <v>5</v>
      </c>
      <c r="M722" s="9">
        <f t="shared" si="23"/>
        <v>13</v>
      </c>
      <c r="N722" s="9">
        <v>6</v>
      </c>
    </row>
    <row r="723" spans="1:14" ht="15" customHeight="1" x14ac:dyDescent="0.35">
      <c r="A723" s="185"/>
      <c r="B723" s="10" t="s">
        <v>15</v>
      </c>
      <c r="C723" s="11" t="s">
        <v>20</v>
      </c>
      <c r="D723" s="11">
        <v>2</v>
      </c>
      <c r="E723" s="10" t="s">
        <v>109</v>
      </c>
      <c r="F723" s="186"/>
      <c r="G723" s="9">
        <v>9</v>
      </c>
      <c r="H723" s="9">
        <v>9</v>
      </c>
      <c r="I723" s="9">
        <v>21</v>
      </c>
      <c r="J723" s="9">
        <v>21</v>
      </c>
      <c r="K723" s="9">
        <f t="shared" si="22"/>
        <v>9</v>
      </c>
      <c r="L723" s="9">
        <v>9</v>
      </c>
      <c r="M723" s="9">
        <f t="shared" si="23"/>
        <v>21</v>
      </c>
      <c r="N723" s="9">
        <v>21</v>
      </c>
    </row>
    <row r="724" spans="1:14" ht="15" customHeight="1" x14ac:dyDescent="0.35">
      <c r="A724" s="185"/>
      <c r="B724" s="7" t="s">
        <v>15</v>
      </c>
      <c r="C724" s="8" t="s">
        <v>20</v>
      </c>
      <c r="D724" s="8">
        <v>3</v>
      </c>
      <c r="E724" s="7" t="s">
        <v>17</v>
      </c>
      <c r="F724" s="186"/>
      <c r="G724" s="9">
        <v>7</v>
      </c>
      <c r="H724" s="9">
        <v>7</v>
      </c>
      <c r="I724" s="9">
        <v>13</v>
      </c>
      <c r="J724" s="9">
        <v>13</v>
      </c>
      <c r="K724" s="9">
        <f t="shared" si="22"/>
        <v>7</v>
      </c>
      <c r="L724" s="9">
        <v>5</v>
      </c>
      <c r="M724" s="9">
        <f t="shared" si="23"/>
        <v>13</v>
      </c>
      <c r="N724" s="9">
        <v>6</v>
      </c>
    </row>
    <row r="725" spans="1:14" ht="15" customHeight="1" x14ac:dyDescent="0.35">
      <c r="A725" s="185"/>
      <c r="B725" s="7" t="s">
        <v>15</v>
      </c>
      <c r="C725" s="8" t="s">
        <v>20</v>
      </c>
      <c r="D725" s="8">
        <v>3</v>
      </c>
      <c r="E725" s="7" t="s">
        <v>109</v>
      </c>
      <c r="F725" s="186"/>
      <c r="G725" s="9">
        <v>7</v>
      </c>
      <c r="H725" s="9">
        <v>7</v>
      </c>
      <c r="I725" s="9">
        <v>13</v>
      </c>
      <c r="J725" s="9">
        <v>13</v>
      </c>
      <c r="K725" s="9">
        <f t="shared" si="22"/>
        <v>7</v>
      </c>
      <c r="L725" s="9">
        <v>5</v>
      </c>
      <c r="M725" s="9">
        <f t="shared" si="23"/>
        <v>13</v>
      </c>
      <c r="N725" s="9">
        <v>6</v>
      </c>
    </row>
    <row r="726" spans="1:14" ht="15" customHeight="1" x14ac:dyDescent="0.35">
      <c r="A726" s="185"/>
      <c r="B726" s="12" t="s">
        <v>21</v>
      </c>
      <c r="C726" s="13" t="s">
        <v>16</v>
      </c>
      <c r="D726" s="13">
        <v>1</v>
      </c>
      <c r="E726" s="12" t="s">
        <v>17</v>
      </c>
      <c r="F726" s="186"/>
      <c r="G726" s="9">
        <v>7</v>
      </c>
      <c r="H726" s="9">
        <v>7</v>
      </c>
      <c r="I726" s="9">
        <v>13</v>
      </c>
      <c r="J726" s="9">
        <v>13</v>
      </c>
      <c r="K726" s="9">
        <f t="shared" si="22"/>
        <v>7</v>
      </c>
      <c r="L726" s="9">
        <v>5</v>
      </c>
      <c r="M726" s="9">
        <f t="shared" si="23"/>
        <v>13</v>
      </c>
      <c r="N726" s="9">
        <v>6</v>
      </c>
    </row>
    <row r="727" spans="1:14" ht="15" customHeight="1" x14ac:dyDescent="0.35">
      <c r="A727" s="185"/>
      <c r="B727" s="12" t="s">
        <v>21</v>
      </c>
      <c r="C727" s="13" t="s">
        <v>16</v>
      </c>
      <c r="D727" s="13">
        <v>1</v>
      </c>
      <c r="E727" s="12" t="s">
        <v>109</v>
      </c>
      <c r="F727" s="186"/>
      <c r="G727" s="9">
        <v>7</v>
      </c>
      <c r="H727" s="9">
        <v>7</v>
      </c>
      <c r="I727" s="9">
        <v>12</v>
      </c>
      <c r="J727" s="9">
        <v>12</v>
      </c>
      <c r="K727" s="9">
        <f t="shared" si="22"/>
        <v>7</v>
      </c>
      <c r="L727" s="9">
        <v>5</v>
      </c>
      <c r="M727" s="9">
        <f t="shared" si="23"/>
        <v>12</v>
      </c>
      <c r="N727" s="9">
        <v>6</v>
      </c>
    </row>
    <row r="728" spans="1:14" ht="15" customHeight="1" x14ac:dyDescent="0.35">
      <c r="A728" s="185"/>
      <c r="B728" s="14" t="s">
        <v>21</v>
      </c>
      <c r="C728" s="15" t="s">
        <v>16</v>
      </c>
      <c r="D728" s="15">
        <v>2</v>
      </c>
      <c r="E728" s="14" t="s">
        <v>17</v>
      </c>
      <c r="F728" s="186"/>
      <c r="G728" s="9">
        <v>7</v>
      </c>
      <c r="H728" s="9">
        <v>4</v>
      </c>
      <c r="I728" s="9">
        <v>13</v>
      </c>
      <c r="J728" s="9">
        <v>13</v>
      </c>
      <c r="K728" s="9">
        <f t="shared" si="22"/>
        <v>7</v>
      </c>
      <c r="L728" s="9">
        <v>4</v>
      </c>
      <c r="M728" s="9">
        <f t="shared" si="23"/>
        <v>13</v>
      </c>
      <c r="N728" s="9">
        <v>6</v>
      </c>
    </row>
    <row r="729" spans="1:14" ht="15" customHeight="1" x14ac:dyDescent="0.35">
      <c r="A729" s="185"/>
      <c r="B729" s="14" t="s">
        <v>21</v>
      </c>
      <c r="C729" s="15" t="s">
        <v>16</v>
      </c>
      <c r="D729" s="15">
        <v>2</v>
      </c>
      <c r="E729" s="14" t="s">
        <v>109</v>
      </c>
      <c r="F729" s="186"/>
      <c r="G729" s="9">
        <v>7</v>
      </c>
      <c r="H729" s="9">
        <v>7</v>
      </c>
      <c r="I729" s="9">
        <v>14</v>
      </c>
      <c r="J729" s="9">
        <v>14</v>
      </c>
      <c r="K729" s="9">
        <f t="shared" si="22"/>
        <v>7</v>
      </c>
      <c r="L729" s="9">
        <v>5</v>
      </c>
      <c r="M729" s="9">
        <f t="shared" si="23"/>
        <v>14</v>
      </c>
      <c r="N729" s="9">
        <v>6</v>
      </c>
    </row>
    <row r="730" spans="1:14" ht="15" customHeight="1" x14ac:dyDescent="0.35">
      <c r="A730" s="185"/>
      <c r="B730" s="12" t="s">
        <v>21</v>
      </c>
      <c r="C730" s="13" t="s">
        <v>16</v>
      </c>
      <c r="D730" s="13">
        <v>3</v>
      </c>
      <c r="E730" s="12" t="s">
        <v>17</v>
      </c>
      <c r="F730" s="186"/>
      <c r="G730" s="9">
        <v>7</v>
      </c>
      <c r="H730" s="9">
        <v>7</v>
      </c>
      <c r="I730" s="9">
        <v>13</v>
      </c>
      <c r="J730" s="9">
        <v>13</v>
      </c>
      <c r="K730" s="9">
        <f t="shared" si="22"/>
        <v>7</v>
      </c>
      <c r="L730" s="9">
        <v>5</v>
      </c>
      <c r="M730" s="9">
        <f t="shared" si="23"/>
        <v>13</v>
      </c>
      <c r="N730" s="9">
        <v>6</v>
      </c>
    </row>
    <row r="731" spans="1:14" ht="15" customHeight="1" x14ac:dyDescent="0.35">
      <c r="A731" s="185"/>
      <c r="B731" s="12" t="s">
        <v>21</v>
      </c>
      <c r="C731" s="13" t="s">
        <v>16</v>
      </c>
      <c r="D731" s="13">
        <v>3</v>
      </c>
      <c r="E731" s="12" t="s">
        <v>109</v>
      </c>
      <c r="F731" s="186"/>
      <c r="G731" s="9">
        <v>7</v>
      </c>
      <c r="H731" s="9">
        <v>7</v>
      </c>
      <c r="I731" s="9">
        <v>12</v>
      </c>
      <c r="J731" s="9">
        <v>12</v>
      </c>
      <c r="K731" s="9">
        <f t="shared" si="22"/>
        <v>7</v>
      </c>
      <c r="L731" s="9">
        <v>5</v>
      </c>
      <c r="M731" s="9">
        <f t="shared" si="23"/>
        <v>12</v>
      </c>
      <c r="N731" s="9">
        <v>6</v>
      </c>
    </row>
    <row r="732" spans="1:14" ht="15" customHeight="1" x14ac:dyDescent="0.35">
      <c r="A732" s="185"/>
      <c r="B732" s="14" t="s">
        <v>21</v>
      </c>
      <c r="C732" s="15" t="s">
        <v>19</v>
      </c>
      <c r="D732" s="15">
        <v>1</v>
      </c>
      <c r="E732" s="14" t="s">
        <v>17</v>
      </c>
      <c r="F732" s="186"/>
      <c r="G732" s="9">
        <v>7</v>
      </c>
      <c r="H732" s="9">
        <v>7</v>
      </c>
      <c r="I732" s="9">
        <v>13</v>
      </c>
      <c r="J732" s="9">
        <v>13</v>
      </c>
      <c r="K732" s="9">
        <f t="shared" si="22"/>
        <v>7</v>
      </c>
      <c r="L732" s="9">
        <v>5</v>
      </c>
      <c r="M732" s="9">
        <f t="shared" si="23"/>
        <v>13</v>
      </c>
      <c r="N732" s="9">
        <v>6</v>
      </c>
    </row>
    <row r="733" spans="1:14" ht="15" customHeight="1" x14ac:dyDescent="0.35">
      <c r="A733" s="185"/>
      <c r="B733" s="14" t="s">
        <v>21</v>
      </c>
      <c r="C733" s="15" t="s">
        <v>19</v>
      </c>
      <c r="D733" s="15">
        <v>1</v>
      </c>
      <c r="E733" s="14" t="s">
        <v>109</v>
      </c>
      <c r="F733" s="186"/>
      <c r="G733" s="9">
        <v>7</v>
      </c>
      <c r="H733" s="9">
        <v>7</v>
      </c>
      <c r="I733" s="9">
        <v>12</v>
      </c>
      <c r="J733" s="9">
        <v>12</v>
      </c>
      <c r="K733" s="9">
        <f t="shared" si="22"/>
        <v>7</v>
      </c>
      <c r="L733" s="9">
        <v>5</v>
      </c>
      <c r="M733" s="9">
        <f t="shared" si="23"/>
        <v>12</v>
      </c>
      <c r="N733" s="9">
        <v>6</v>
      </c>
    </row>
    <row r="734" spans="1:14" ht="15" customHeight="1" x14ac:dyDescent="0.35">
      <c r="A734" s="185"/>
      <c r="B734" s="12" t="s">
        <v>21</v>
      </c>
      <c r="C734" s="13" t="s">
        <v>19</v>
      </c>
      <c r="D734" s="13">
        <v>2</v>
      </c>
      <c r="E734" s="12" t="s">
        <v>17</v>
      </c>
      <c r="F734" s="186"/>
      <c r="G734" s="9">
        <v>7</v>
      </c>
      <c r="H734" s="9">
        <v>4</v>
      </c>
      <c r="I734" s="9">
        <v>13</v>
      </c>
      <c r="J734" s="9">
        <v>13</v>
      </c>
      <c r="K734" s="9">
        <f t="shared" si="22"/>
        <v>7</v>
      </c>
      <c r="L734" s="9">
        <v>4</v>
      </c>
      <c r="M734" s="9">
        <f t="shared" si="23"/>
        <v>13</v>
      </c>
      <c r="N734" s="9">
        <v>6</v>
      </c>
    </row>
    <row r="735" spans="1:14" ht="15" customHeight="1" x14ac:dyDescent="0.35">
      <c r="A735" s="185"/>
      <c r="B735" s="12" t="s">
        <v>21</v>
      </c>
      <c r="C735" s="13" t="s">
        <v>19</v>
      </c>
      <c r="D735" s="13">
        <v>2</v>
      </c>
      <c r="E735" s="12" t="s">
        <v>109</v>
      </c>
      <c r="F735" s="186"/>
      <c r="G735" s="9">
        <v>7</v>
      </c>
      <c r="H735" s="9">
        <v>7</v>
      </c>
      <c r="I735" s="9">
        <v>12</v>
      </c>
      <c r="J735" s="9">
        <v>12</v>
      </c>
      <c r="K735" s="9">
        <f t="shared" si="22"/>
        <v>7</v>
      </c>
      <c r="L735" s="9">
        <v>5</v>
      </c>
      <c r="M735" s="9">
        <f t="shared" si="23"/>
        <v>12</v>
      </c>
      <c r="N735" s="9">
        <v>6</v>
      </c>
    </row>
    <row r="736" spans="1:14" ht="15" customHeight="1" x14ac:dyDescent="0.35">
      <c r="A736" s="185"/>
      <c r="B736" s="14" t="s">
        <v>21</v>
      </c>
      <c r="C736" s="15" t="s">
        <v>19</v>
      </c>
      <c r="D736" s="15">
        <v>3</v>
      </c>
      <c r="E736" s="14" t="s">
        <v>17</v>
      </c>
      <c r="F736" s="186"/>
      <c r="G736" s="9">
        <v>7</v>
      </c>
      <c r="H736" s="9">
        <v>7</v>
      </c>
      <c r="I736" s="9">
        <v>13</v>
      </c>
      <c r="J736" s="9">
        <v>13</v>
      </c>
      <c r="K736" s="9">
        <f t="shared" si="22"/>
        <v>7</v>
      </c>
      <c r="L736" s="9">
        <v>5</v>
      </c>
      <c r="M736" s="9">
        <f t="shared" si="23"/>
        <v>13</v>
      </c>
      <c r="N736" s="9">
        <v>6</v>
      </c>
    </row>
    <row r="737" spans="1:14" ht="15" customHeight="1" x14ac:dyDescent="0.35">
      <c r="A737" s="185"/>
      <c r="B737" s="14" t="s">
        <v>21</v>
      </c>
      <c r="C737" s="15" t="s">
        <v>19</v>
      </c>
      <c r="D737" s="15">
        <v>3</v>
      </c>
      <c r="E737" s="14" t="s">
        <v>109</v>
      </c>
      <c r="F737" s="186"/>
      <c r="G737" s="9">
        <v>7</v>
      </c>
      <c r="H737" s="9">
        <v>7</v>
      </c>
      <c r="I737" s="9">
        <v>12</v>
      </c>
      <c r="J737" s="9">
        <v>12</v>
      </c>
      <c r="K737" s="9">
        <f t="shared" si="22"/>
        <v>7</v>
      </c>
      <c r="L737" s="9">
        <v>5</v>
      </c>
      <c r="M737" s="9">
        <f t="shared" si="23"/>
        <v>12</v>
      </c>
      <c r="N737" s="9">
        <v>6</v>
      </c>
    </row>
    <row r="738" spans="1:14" ht="15" customHeight="1" x14ac:dyDescent="0.35">
      <c r="A738" s="185"/>
      <c r="B738" s="12" t="s">
        <v>21</v>
      </c>
      <c r="C738" s="13" t="s">
        <v>20</v>
      </c>
      <c r="D738" s="13">
        <v>1</v>
      </c>
      <c r="E738" s="12" t="s">
        <v>17</v>
      </c>
      <c r="F738" s="186"/>
      <c r="G738" s="9">
        <v>7</v>
      </c>
      <c r="H738" s="9">
        <v>4</v>
      </c>
      <c r="I738" s="9">
        <v>11</v>
      </c>
      <c r="J738" s="9">
        <v>11</v>
      </c>
      <c r="K738" s="9">
        <f t="shared" si="22"/>
        <v>7</v>
      </c>
      <c r="L738" s="9">
        <v>4</v>
      </c>
      <c r="M738" s="9">
        <f t="shared" si="23"/>
        <v>11</v>
      </c>
      <c r="N738" s="9">
        <v>6</v>
      </c>
    </row>
    <row r="739" spans="1:14" ht="15" customHeight="1" x14ac:dyDescent="0.35">
      <c r="A739" s="185"/>
      <c r="B739" s="12" t="s">
        <v>21</v>
      </c>
      <c r="C739" s="13" t="s">
        <v>20</v>
      </c>
      <c r="D739" s="13">
        <v>1</v>
      </c>
      <c r="E739" s="12" t="s">
        <v>109</v>
      </c>
      <c r="F739" s="186"/>
      <c r="G739" s="9">
        <v>7</v>
      </c>
      <c r="H739" s="9">
        <v>7</v>
      </c>
      <c r="I739" s="9">
        <v>13</v>
      </c>
      <c r="J739" s="9">
        <v>13</v>
      </c>
      <c r="K739" s="9">
        <f t="shared" si="22"/>
        <v>7</v>
      </c>
      <c r="L739" s="9">
        <v>5</v>
      </c>
      <c r="M739" s="9">
        <f t="shared" si="23"/>
        <v>13</v>
      </c>
      <c r="N739" s="9">
        <v>6</v>
      </c>
    </row>
    <row r="740" spans="1:14" ht="15" customHeight="1" x14ac:dyDescent="0.35">
      <c r="A740" s="185"/>
      <c r="B740" s="14" t="s">
        <v>21</v>
      </c>
      <c r="C740" s="15" t="s">
        <v>20</v>
      </c>
      <c r="D740" s="15">
        <v>2</v>
      </c>
      <c r="E740" s="14" t="s">
        <v>17</v>
      </c>
      <c r="F740" s="186"/>
      <c r="G740" s="9">
        <v>7</v>
      </c>
      <c r="H740" s="9">
        <v>7</v>
      </c>
      <c r="I740" s="9">
        <v>13</v>
      </c>
      <c r="J740" s="9">
        <v>13</v>
      </c>
      <c r="K740" s="9">
        <f t="shared" si="22"/>
        <v>7</v>
      </c>
      <c r="L740" s="9">
        <v>5</v>
      </c>
      <c r="M740" s="9">
        <f t="shared" si="23"/>
        <v>13</v>
      </c>
      <c r="N740" s="9">
        <v>6</v>
      </c>
    </row>
    <row r="741" spans="1:14" ht="15" customHeight="1" x14ac:dyDescent="0.35">
      <c r="A741" s="185"/>
      <c r="B741" s="14" t="s">
        <v>21</v>
      </c>
      <c r="C741" s="15" t="s">
        <v>20</v>
      </c>
      <c r="D741" s="15">
        <v>2</v>
      </c>
      <c r="E741" s="14" t="s">
        <v>109</v>
      </c>
      <c r="F741" s="186"/>
      <c r="G741" s="9">
        <v>7</v>
      </c>
      <c r="H741" s="9">
        <v>7</v>
      </c>
      <c r="I741" s="9">
        <v>12</v>
      </c>
      <c r="J741" s="9">
        <v>12</v>
      </c>
      <c r="K741" s="9">
        <f t="shared" si="22"/>
        <v>7</v>
      </c>
      <c r="L741" s="9">
        <v>5</v>
      </c>
      <c r="M741" s="9">
        <f t="shared" si="23"/>
        <v>12</v>
      </c>
      <c r="N741" s="9">
        <v>6</v>
      </c>
    </row>
    <row r="742" spans="1:14" ht="15" customHeight="1" x14ac:dyDescent="0.35">
      <c r="A742" s="185"/>
      <c r="B742" s="12" t="s">
        <v>21</v>
      </c>
      <c r="C742" s="13" t="s">
        <v>20</v>
      </c>
      <c r="D742" s="13">
        <v>3</v>
      </c>
      <c r="E742" s="12" t="s">
        <v>17</v>
      </c>
      <c r="F742" s="186"/>
      <c r="G742" s="9">
        <v>7</v>
      </c>
      <c r="H742" s="9">
        <v>7</v>
      </c>
      <c r="I742" s="9">
        <v>13</v>
      </c>
      <c r="J742" s="9">
        <v>13</v>
      </c>
      <c r="K742" s="9">
        <f t="shared" si="22"/>
        <v>7</v>
      </c>
      <c r="L742" s="9">
        <v>5</v>
      </c>
      <c r="M742" s="9">
        <f t="shared" si="23"/>
        <v>13</v>
      </c>
      <c r="N742" s="9">
        <v>6</v>
      </c>
    </row>
    <row r="743" spans="1:14" ht="15" customHeight="1" x14ac:dyDescent="0.35">
      <c r="A743" s="185"/>
      <c r="B743" s="12" t="s">
        <v>21</v>
      </c>
      <c r="C743" s="13" t="s">
        <v>20</v>
      </c>
      <c r="D743" s="13">
        <v>3</v>
      </c>
      <c r="E743" s="12" t="s">
        <v>109</v>
      </c>
      <c r="F743" s="186"/>
      <c r="G743" s="9">
        <v>7</v>
      </c>
      <c r="H743" s="9">
        <v>7</v>
      </c>
      <c r="I743" s="9">
        <v>13</v>
      </c>
      <c r="J743" s="9">
        <v>13</v>
      </c>
      <c r="K743" s="9">
        <f t="shared" si="22"/>
        <v>7</v>
      </c>
      <c r="L743" s="9">
        <v>5</v>
      </c>
      <c r="M743" s="9">
        <f t="shared" si="23"/>
        <v>13</v>
      </c>
      <c r="N743" s="9">
        <v>6</v>
      </c>
    </row>
    <row r="744" spans="1:14" ht="15" customHeight="1" x14ac:dyDescent="0.35">
      <c r="A744" s="185"/>
      <c r="B744" s="16" t="s">
        <v>22</v>
      </c>
      <c r="C744" s="17" t="s">
        <v>16</v>
      </c>
      <c r="D744" s="17">
        <v>1</v>
      </c>
      <c r="E744" s="16" t="s">
        <v>17</v>
      </c>
      <c r="F744" s="186"/>
      <c r="G744" s="9">
        <v>9</v>
      </c>
      <c r="H744" s="9">
        <v>9</v>
      </c>
      <c r="I744" s="9">
        <v>9</v>
      </c>
      <c r="J744" s="9">
        <v>9</v>
      </c>
      <c r="K744" s="9">
        <f t="shared" si="22"/>
        <v>9</v>
      </c>
      <c r="L744" s="9">
        <v>9</v>
      </c>
      <c r="M744" s="9">
        <f t="shared" si="23"/>
        <v>9</v>
      </c>
      <c r="N744" s="9">
        <v>9</v>
      </c>
    </row>
    <row r="745" spans="1:14" ht="15" customHeight="1" x14ac:dyDescent="0.35">
      <c r="A745" s="185"/>
      <c r="B745" s="16" t="s">
        <v>22</v>
      </c>
      <c r="C745" s="17" t="s">
        <v>16</v>
      </c>
      <c r="D745" s="17">
        <v>1</v>
      </c>
      <c r="E745" s="16" t="s">
        <v>109</v>
      </c>
      <c r="F745" s="186"/>
      <c r="G745" s="9">
        <v>7</v>
      </c>
      <c r="H745" s="9">
        <v>7</v>
      </c>
      <c r="I745" s="9">
        <v>10</v>
      </c>
      <c r="J745" s="9">
        <v>10</v>
      </c>
      <c r="K745" s="9">
        <f t="shared" si="22"/>
        <v>7</v>
      </c>
      <c r="L745" s="9">
        <v>5</v>
      </c>
      <c r="M745" s="9">
        <f t="shared" si="23"/>
        <v>10</v>
      </c>
      <c r="N745" s="9">
        <v>6</v>
      </c>
    </row>
    <row r="746" spans="1:14" ht="15" customHeight="1" x14ac:dyDescent="0.35">
      <c r="A746" s="185"/>
      <c r="B746" s="18" t="s">
        <v>22</v>
      </c>
      <c r="C746" s="19" t="s">
        <v>16</v>
      </c>
      <c r="D746" s="19">
        <v>2</v>
      </c>
      <c r="E746" s="18" t="s">
        <v>17</v>
      </c>
      <c r="F746" s="186"/>
      <c r="G746" s="9">
        <v>9</v>
      </c>
      <c r="H746" s="9">
        <v>9</v>
      </c>
      <c r="I746" s="9">
        <v>6</v>
      </c>
      <c r="J746" s="9">
        <v>6</v>
      </c>
      <c r="K746" s="9">
        <f t="shared" si="22"/>
        <v>9</v>
      </c>
      <c r="L746" s="9">
        <v>9</v>
      </c>
      <c r="M746" s="9">
        <f t="shared" si="23"/>
        <v>6</v>
      </c>
      <c r="N746" s="9">
        <v>6</v>
      </c>
    </row>
    <row r="747" spans="1:14" ht="15" customHeight="1" x14ac:dyDescent="0.35">
      <c r="A747" s="185"/>
      <c r="B747" s="18" t="s">
        <v>22</v>
      </c>
      <c r="C747" s="19" t="s">
        <v>16</v>
      </c>
      <c r="D747" s="19">
        <v>2</v>
      </c>
      <c r="E747" s="18" t="s">
        <v>109</v>
      </c>
      <c r="F747" s="186"/>
      <c r="G747" s="9">
        <v>7</v>
      </c>
      <c r="H747" s="9">
        <v>7</v>
      </c>
      <c r="I747" s="9">
        <v>10</v>
      </c>
      <c r="J747" s="9">
        <v>10</v>
      </c>
      <c r="K747" s="9">
        <f t="shared" si="22"/>
        <v>7</v>
      </c>
      <c r="L747" s="9">
        <v>5</v>
      </c>
      <c r="M747" s="9">
        <f t="shared" si="23"/>
        <v>10</v>
      </c>
      <c r="N747" s="9">
        <v>6</v>
      </c>
    </row>
    <row r="748" spans="1:14" ht="15" customHeight="1" x14ac:dyDescent="0.35">
      <c r="A748" s="185"/>
      <c r="B748" s="16" t="s">
        <v>22</v>
      </c>
      <c r="C748" s="17" t="s">
        <v>16</v>
      </c>
      <c r="D748" s="17">
        <v>3</v>
      </c>
      <c r="E748" s="16" t="s">
        <v>17</v>
      </c>
      <c r="F748" s="186"/>
      <c r="G748" s="9">
        <v>9</v>
      </c>
      <c r="H748" s="9">
        <v>9</v>
      </c>
      <c r="I748" s="9">
        <v>9</v>
      </c>
      <c r="J748" s="9">
        <v>9</v>
      </c>
      <c r="K748" s="9">
        <f t="shared" si="22"/>
        <v>9</v>
      </c>
      <c r="L748" s="9">
        <v>9</v>
      </c>
      <c r="M748" s="9">
        <f t="shared" si="23"/>
        <v>9</v>
      </c>
      <c r="N748" s="9">
        <v>9</v>
      </c>
    </row>
    <row r="749" spans="1:14" ht="15" customHeight="1" x14ac:dyDescent="0.35">
      <c r="A749" s="185"/>
      <c r="B749" s="16" t="s">
        <v>22</v>
      </c>
      <c r="C749" s="17" t="s">
        <v>16</v>
      </c>
      <c r="D749" s="17">
        <v>3</v>
      </c>
      <c r="E749" s="16" t="s">
        <v>109</v>
      </c>
      <c r="F749" s="186"/>
      <c r="G749" s="9">
        <v>7</v>
      </c>
      <c r="H749" s="9">
        <v>7</v>
      </c>
      <c r="I749" s="9">
        <v>11</v>
      </c>
      <c r="J749" s="9">
        <v>11</v>
      </c>
      <c r="K749" s="9">
        <f t="shared" si="22"/>
        <v>7</v>
      </c>
      <c r="L749" s="9">
        <v>5</v>
      </c>
      <c r="M749" s="9">
        <f t="shared" si="23"/>
        <v>11</v>
      </c>
      <c r="N749" s="9">
        <v>6</v>
      </c>
    </row>
    <row r="750" spans="1:14" ht="15" customHeight="1" x14ac:dyDescent="0.35">
      <c r="A750" s="185"/>
      <c r="B750" s="18" t="s">
        <v>22</v>
      </c>
      <c r="C750" s="19" t="s">
        <v>19</v>
      </c>
      <c r="D750" s="19">
        <v>1</v>
      </c>
      <c r="E750" s="18" t="s">
        <v>17</v>
      </c>
      <c r="F750" s="186"/>
      <c r="G750" s="9">
        <v>9</v>
      </c>
      <c r="H750" s="9">
        <v>9</v>
      </c>
      <c r="I750" s="9">
        <v>9</v>
      </c>
      <c r="J750" s="9">
        <v>9</v>
      </c>
      <c r="K750" s="9">
        <f t="shared" si="22"/>
        <v>9</v>
      </c>
      <c r="L750" s="9">
        <v>9</v>
      </c>
      <c r="M750" s="9">
        <f t="shared" si="23"/>
        <v>9</v>
      </c>
      <c r="N750" s="9">
        <v>9</v>
      </c>
    </row>
    <row r="751" spans="1:14" ht="15" customHeight="1" x14ac:dyDescent="0.35">
      <c r="A751" s="185"/>
      <c r="B751" s="18" t="s">
        <v>22</v>
      </c>
      <c r="C751" s="19" t="s">
        <v>19</v>
      </c>
      <c r="D751" s="19">
        <v>1</v>
      </c>
      <c r="E751" s="18" t="s">
        <v>109</v>
      </c>
      <c r="F751" s="186"/>
      <c r="G751" s="9">
        <v>7</v>
      </c>
      <c r="H751" s="9">
        <v>7</v>
      </c>
      <c r="I751" s="9">
        <v>12</v>
      </c>
      <c r="J751" s="9">
        <v>12</v>
      </c>
      <c r="K751" s="9">
        <f t="shared" si="22"/>
        <v>7</v>
      </c>
      <c r="L751" s="9">
        <v>5</v>
      </c>
      <c r="M751" s="9">
        <f t="shared" si="23"/>
        <v>12</v>
      </c>
      <c r="N751" s="9">
        <v>6</v>
      </c>
    </row>
    <row r="752" spans="1:14" ht="15" customHeight="1" x14ac:dyDescent="0.35">
      <c r="A752" s="185"/>
      <c r="B752" s="16" t="s">
        <v>22</v>
      </c>
      <c r="C752" s="17" t="s">
        <v>19</v>
      </c>
      <c r="D752" s="17">
        <v>2</v>
      </c>
      <c r="E752" s="16" t="s">
        <v>17</v>
      </c>
      <c r="F752" s="186"/>
      <c r="G752" s="9">
        <v>9</v>
      </c>
      <c r="H752" s="9">
        <v>9</v>
      </c>
      <c r="I752" s="9">
        <v>9</v>
      </c>
      <c r="J752" s="9">
        <v>9</v>
      </c>
      <c r="K752" s="9">
        <f t="shared" si="22"/>
        <v>9</v>
      </c>
      <c r="L752" s="9">
        <v>9</v>
      </c>
      <c r="M752" s="9">
        <f t="shared" si="23"/>
        <v>9</v>
      </c>
      <c r="N752" s="9">
        <v>9</v>
      </c>
    </row>
    <row r="753" spans="1:14" ht="15" customHeight="1" x14ac:dyDescent="0.35">
      <c r="A753" s="185"/>
      <c r="B753" s="16" t="s">
        <v>22</v>
      </c>
      <c r="C753" s="17" t="s">
        <v>19</v>
      </c>
      <c r="D753" s="17">
        <v>2</v>
      </c>
      <c r="E753" s="16" t="s">
        <v>109</v>
      </c>
      <c r="F753" s="186"/>
      <c r="G753" s="9">
        <v>7</v>
      </c>
      <c r="H753" s="9">
        <v>7</v>
      </c>
      <c r="I753" s="9">
        <v>13</v>
      </c>
      <c r="J753" s="9">
        <v>13</v>
      </c>
      <c r="K753" s="9">
        <f t="shared" si="22"/>
        <v>7</v>
      </c>
      <c r="L753" s="9">
        <v>5</v>
      </c>
      <c r="M753" s="9">
        <f t="shared" si="23"/>
        <v>13</v>
      </c>
      <c r="N753" s="9">
        <v>6</v>
      </c>
    </row>
    <row r="754" spans="1:14" ht="15" customHeight="1" x14ac:dyDescent="0.35">
      <c r="A754" s="185"/>
      <c r="B754" s="18" t="s">
        <v>22</v>
      </c>
      <c r="C754" s="19" t="s">
        <v>19</v>
      </c>
      <c r="D754" s="19">
        <v>3</v>
      </c>
      <c r="E754" s="18" t="s">
        <v>17</v>
      </c>
      <c r="F754" s="186"/>
      <c r="G754" s="9">
        <v>9</v>
      </c>
      <c r="H754" s="9">
        <v>9</v>
      </c>
      <c r="I754" s="9">
        <v>9</v>
      </c>
      <c r="J754" s="9">
        <v>9</v>
      </c>
      <c r="K754" s="9">
        <f t="shared" si="22"/>
        <v>9</v>
      </c>
      <c r="L754" s="9">
        <v>9</v>
      </c>
      <c r="M754" s="9">
        <f t="shared" si="23"/>
        <v>9</v>
      </c>
      <c r="N754" s="9">
        <v>9</v>
      </c>
    </row>
    <row r="755" spans="1:14" ht="15" customHeight="1" x14ac:dyDescent="0.35">
      <c r="A755" s="185"/>
      <c r="B755" s="18" t="s">
        <v>22</v>
      </c>
      <c r="C755" s="19" t="s">
        <v>19</v>
      </c>
      <c r="D755" s="19">
        <v>3</v>
      </c>
      <c r="E755" s="18" t="s">
        <v>109</v>
      </c>
      <c r="F755" s="186"/>
      <c r="G755" s="9">
        <v>7</v>
      </c>
      <c r="H755" s="9">
        <v>7</v>
      </c>
      <c r="I755" s="9">
        <v>12</v>
      </c>
      <c r="J755" s="9">
        <v>12</v>
      </c>
      <c r="K755" s="9">
        <f t="shared" si="22"/>
        <v>7</v>
      </c>
      <c r="L755" s="9">
        <v>5</v>
      </c>
      <c r="M755" s="9">
        <f t="shared" si="23"/>
        <v>12</v>
      </c>
      <c r="N755" s="9">
        <v>6</v>
      </c>
    </row>
    <row r="756" spans="1:14" ht="15" customHeight="1" x14ac:dyDescent="0.35">
      <c r="A756" s="185"/>
      <c r="B756" s="16" t="s">
        <v>22</v>
      </c>
      <c r="C756" s="17" t="s">
        <v>20</v>
      </c>
      <c r="D756" s="17">
        <v>1</v>
      </c>
      <c r="E756" s="16" t="s">
        <v>17</v>
      </c>
      <c r="F756" s="186"/>
      <c r="G756" s="9">
        <v>9</v>
      </c>
      <c r="H756" s="9">
        <v>9</v>
      </c>
      <c r="I756" s="9">
        <v>19</v>
      </c>
      <c r="J756" s="9">
        <v>19</v>
      </c>
      <c r="K756" s="9">
        <f t="shared" si="22"/>
        <v>9</v>
      </c>
      <c r="L756" s="9">
        <v>9</v>
      </c>
      <c r="M756" s="9">
        <f t="shared" si="23"/>
        <v>19</v>
      </c>
      <c r="N756" s="9">
        <v>19</v>
      </c>
    </row>
    <row r="757" spans="1:14" ht="15" customHeight="1" x14ac:dyDescent="0.35">
      <c r="A757" s="185"/>
      <c r="B757" s="16" t="s">
        <v>22</v>
      </c>
      <c r="C757" s="17" t="s">
        <v>20</v>
      </c>
      <c r="D757" s="17">
        <v>1</v>
      </c>
      <c r="E757" s="16" t="s">
        <v>109</v>
      </c>
      <c r="F757" s="186"/>
      <c r="G757" s="9">
        <v>7</v>
      </c>
      <c r="H757" s="9">
        <v>7</v>
      </c>
      <c r="I757" s="9">
        <v>10</v>
      </c>
      <c r="J757" s="9">
        <v>10</v>
      </c>
      <c r="K757" s="9">
        <f t="shared" si="22"/>
        <v>7</v>
      </c>
      <c r="L757" s="9">
        <v>5</v>
      </c>
      <c r="M757" s="9">
        <f t="shared" si="23"/>
        <v>10</v>
      </c>
      <c r="N757" s="9">
        <v>6</v>
      </c>
    </row>
    <row r="758" spans="1:14" ht="15" customHeight="1" x14ac:dyDescent="0.35">
      <c r="A758" s="185"/>
      <c r="B758" s="18" t="s">
        <v>22</v>
      </c>
      <c r="C758" s="19" t="s">
        <v>20</v>
      </c>
      <c r="D758" s="19">
        <v>2</v>
      </c>
      <c r="E758" s="18" t="s">
        <v>17</v>
      </c>
      <c r="F758" s="186"/>
      <c r="G758" s="9">
        <v>9</v>
      </c>
      <c r="H758" s="9">
        <v>9</v>
      </c>
      <c r="I758" s="9">
        <v>19</v>
      </c>
      <c r="J758" s="9">
        <v>19</v>
      </c>
      <c r="K758" s="9">
        <f t="shared" si="22"/>
        <v>9</v>
      </c>
      <c r="L758" s="9">
        <v>9</v>
      </c>
      <c r="M758" s="9">
        <f t="shared" si="23"/>
        <v>19</v>
      </c>
      <c r="N758" s="9">
        <v>19</v>
      </c>
    </row>
    <row r="759" spans="1:14" ht="15" customHeight="1" x14ac:dyDescent="0.35">
      <c r="A759" s="185"/>
      <c r="B759" s="18" t="s">
        <v>22</v>
      </c>
      <c r="C759" s="19" t="s">
        <v>20</v>
      </c>
      <c r="D759" s="19">
        <v>2</v>
      </c>
      <c r="E759" s="18" t="s">
        <v>109</v>
      </c>
      <c r="F759" s="186"/>
      <c r="G759" s="9">
        <v>7</v>
      </c>
      <c r="H759" s="9">
        <v>7</v>
      </c>
      <c r="I759" s="9">
        <v>12</v>
      </c>
      <c r="J759" s="9">
        <v>12</v>
      </c>
      <c r="K759" s="9">
        <f t="shared" si="22"/>
        <v>7</v>
      </c>
      <c r="L759" s="9">
        <v>5</v>
      </c>
      <c r="M759" s="9">
        <f t="shared" si="23"/>
        <v>12</v>
      </c>
      <c r="N759" s="9">
        <v>6</v>
      </c>
    </row>
    <row r="760" spans="1:14" ht="15" customHeight="1" x14ac:dyDescent="0.35">
      <c r="A760" s="185"/>
      <c r="B760" s="16" t="s">
        <v>22</v>
      </c>
      <c r="C760" s="17" t="s">
        <v>20</v>
      </c>
      <c r="D760" s="17">
        <v>3</v>
      </c>
      <c r="E760" s="16" t="s">
        <v>17</v>
      </c>
      <c r="F760" s="186"/>
      <c r="G760" s="9">
        <v>9</v>
      </c>
      <c r="H760" s="9">
        <v>9</v>
      </c>
      <c r="I760" s="9">
        <v>9</v>
      </c>
      <c r="J760" s="9">
        <v>9</v>
      </c>
      <c r="K760" s="9">
        <f t="shared" si="22"/>
        <v>9</v>
      </c>
      <c r="L760" s="9">
        <v>9</v>
      </c>
      <c r="M760" s="9">
        <f t="shared" si="23"/>
        <v>9</v>
      </c>
      <c r="N760" s="9">
        <v>9</v>
      </c>
    </row>
    <row r="761" spans="1:14" ht="15" customHeight="1" x14ac:dyDescent="0.35">
      <c r="A761" s="185"/>
      <c r="B761" s="20" t="s">
        <v>22</v>
      </c>
      <c r="C761" s="21" t="s">
        <v>20</v>
      </c>
      <c r="D761" s="21">
        <v>3</v>
      </c>
      <c r="E761" s="20" t="s">
        <v>109</v>
      </c>
      <c r="F761" s="186"/>
      <c r="G761" s="22">
        <v>7</v>
      </c>
      <c r="H761" s="22">
        <v>7</v>
      </c>
      <c r="I761" s="22">
        <v>12</v>
      </c>
      <c r="J761" s="95">
        <v>12</v>
      </c>
      <c r="K761" s="95">
        <f t="shared" si="22"/>
        <v>7</v>
      </c>
      <c r="L761" s="95">
        <v>5</v>
      </c>
      <c r="M761" s="95">
        <f t="shared" si="23"/>
        <v>12</v>
      </c>
      <c r="N761" s="22">
        <v>6</v>
      </c>
    </row>
    <row r="762" spans="1:14" ht="15" customHeight="1" x14ac:dyDescent="0.35">
      <c r="A762" s="185"/>
      <c r="B762" s="7"/>
      <c r="C762" s="8"/>
      <c r="D762" s="8"/>
      <c r="E762" s="7"/>
      <c r="F762" s="186"/>
      <c r="G762" s="9"/>
      <c r="H762" s="9"/>
      <c r="I762" s="9"/>
      <c r="J762" s="94"/>
      <c r="K762" s="94"/>
      <c r="L762" s="94"/>
      <c r="M762" s="94"/>
      <c r="N762" s="9"/>
    </row>
    <row r="763" spans="1:14" ht="15" customHeight="1" x14ac:dyDescent="0.35">
      <c r="A763" s="185"/>
      <c r="B763" s="7"/>
      <c r="C763" s="8"/>
      <c r="D763" s="8"/>
      <c r="E763" s="7"/>
      <c r="F763" s="186"/>
      <c r="G763" s="9"/>
      <c r="H763" s="9"/>
      <c r="I763" s="9"/>
      <c r="J763" s="9"/>
      <c r="K763" s="9"/>
      <c r="L763" s="9"/>
      <c r="M763" s="9"/>
      <c r="N763" s="9"/>
    </row>
    <row r="764" spans="1:14" ht="15" customHeight="1" x14ac:dyDescent="0.35">
      <c r="A764" s="185"/>
      <c r="B764" s="10"/>
      <c r="C764" s="11"/>
      <c r="D764" s="11"/>
      <c r="E764" s="10"/>
      <c r="F764" s="186"/>
      <c r="G764" s="9"/>
      <c r="H764" s="9"/>
      <c r="I764" s="9"/>
      <c r="J764" s="9"/>
      <c r="K764" s="9"/>
      <c r="L764" s="9"/>
      <c r="M764" s="9"/>
      <c r="N764" s="9"/>
    </row>
    <row r="765" spans="1:14" ht="15" customHeight="1" x14ac:dyDescent="0.35">
      <c r="A765" s="185"/>
      <c r="B765" s="10"/>
      <c r="C765" s="11"/>
      <c r="D765" s="11"/>
      <c r="E765" s="10"/>
      <c r="F765" s="186"/>
      <c r="G765" s="9"/>
      <c r="H765" s="9"/>
      <c r="I765" s="9"/>
      <c r="J765" s="9"/>
      <c r="K765" s="9"/>
      <c r="L765" s="9"/>
      <c r="M765" s="9"/>
      <c r="N765" s="9"/>
    </row>
    <row r="766" spans="1:14" ht="15" customHeight="1" x14ac:dyDescent="0.35">
      <c r="A766" s="185"/>
      <c r="B766" s="7"/>
      <c r="C766" s="8"/>
      <c r="D766" s="8"/>
      <c r="E766" s="7"/>
      <c r="F766" s="186"/>
      <c r="G766" s="9"/>
      <c r="H766" s="9"/>
      <c r="I766" s="9"/>
      <c r="J766" s="9"/>
      <c r="K766" s="9"/>
      <c r="L766" s="9"/>
      <c r="M766" s="9"/>
      <c r="N766" s="9"/>
    </row>
    <row r="767" spans="1:14" ht="15" customHeight="1" x14ac:dyDescent="0.35">
      <c r="A767" s="185"/>
      <c r="B767" s="7"/>
      <c r="C767" s="8"/>
      <c r="D767" s="8"/>
      <c r="E767" s="7"/>
      <c r="F767" s="186"/>
      <c r="G767" s="9"/>
      <c r="H767" s="9"/>
      <c r="I767" s="9"/>
      <c r="J767" s="9"/>
      <c r="K767" s="9"/>
      <c r="L767" s="9"/>
      <c r="M767" s="9"/>
      <c r="N767" s="9"/>
    </row>
    <row r="768" spans="1:14" ht="15" customHeight="1" x14ac:dyDescent="0.35">
      <c r="A768" s="185"/>
      <c r="B768" s="10"/>
      <c r="C768" s="11"/>
      <c r="D768" s="11"/>
      <c r="E768" s="10"/>
      <c r="F768" s="186"/>
      <c r="G768" s="9"/>
      <c r="H768" s="9"/>
      <c r="I768" s="9"/>
      <c r="J768" s="9"/>
      <c r="K768" s="9"/>
      <c r="L768" s="9"/>
      <c r="M768" s="9"/>
      <c r="N768" s="9"/>
    </row>
    <row r="769" spans="1:14" ht="15" customHeight="1" x14ac:dyDescent="0.35">
      <c r="A769" s="185"/>
      <c r="B769" s="10"/>
      <c r="C769" s="11"/>
      <c r="D769" s="11"/>
      <c r="E769" s="10"/>
      <c r="F769" s="186"/>
      <c r="G769" s="9"/>
      <c r="H769" s="9"/>
      <c r="I769" s="9"/>
      <c r="J769" s="9"/>
      <c r="K769" s="9"/>
      <c r="L769" s="9"/>
      <c r="M769" s="9"/>
      <c r="N769" s="9"/>
    </row>
    <row r="770" spans="1:14" ht="15" customHeight="1" x14ac:dyDescent="0.35">
      <c r="A770" s="185"/>
      <c r="B770" s="7"/>
      <c r="C770" s="8"/>
      <c r="D770" s="8"/>
      <c r="E770" s="7"/>
      <c r="F770" s="186"/>
      <c r="G770" s="9"/>
      <c r="H770" s="9"/>
      <c r="I770" s="9"/>
      <c r="J770" s="9"/>
      <c r="K770" s="9"/>
      <c r="L770" s="9"/>
      <c r="M770" s="9"/>
      <c r="N770" s="9"/>
    </row>
    <row r="771" spans="1:14" ht="15" customHeight="1" x14ac:dyDescent="0.35">
      <c r="A771" s="185"/>
      <c r="B771" s="7"/>
      <c r="C771" s="8"/>
      <c r="D771" s="8"/>
      <c r="E771" s="7"/>
      <c r="F771" s="186"/>
      <c r="G771" s="9"/>
      <c r="H771" s="9"/>
      <c r="I771" s="9"/>
      <c r="J771" s="9"/>
      <c r="K771" s="9"/>
      <c r="L771" s="9"/>
      <c r="M771" s="9"/>
      <c r="N771" s="9"/>
    </row>
    <row r="772" spans="1:14" ht="15" customHeight="1" x14ac:dyDescent="0.35">
      <c r="A772" s="185"/>
      <c r="B772" s="10"/>
      <c r="C772" s="11"/>
      <c r="D772" s="11"/>
      <c r="E772" s="10"/>
      <c r="F772" s="186"/>
      <c r="G772" s="9"/>
      <c r="H772" s="9"/>
      <c r="I772" s="9"/>
      <c r="J772" s="9"/>
      <c r="K772" s="9"/>
      <c r="L772" s="9"/>
      <c r="M772" s="9"/>
      <c r="N772" s="9"/>
    </row>
    <row r="773" spans="1:14" ht="15" customHeight="1" x14ac:dyDescent="0.35">
      <c r="A773" s="185"/>
      <c r="B773" s="10"/>
      <c r="C773" s="11"/>
      <c r="D773" s="11"/>
      <c r="E773" s="10"/>
      <c r="F773" s="186"/>
      <c r="G773" s="9"/>
      <c r="H773" s="9"/>
      <c r="I773" s="9"/>
      <c r="J773" s="9"/>
      <c r="K773" s="9"/>
      <c r="L773" s="9"/>
      <c r="M773" s="9"/>
      <c r="N773" s="9"/>
    </row>
    <row r="774" spans="1:14" ht="15" customHeight="1" x14ac:dyDescent="0.35">
      <c r="A774" s="185"/>
      <c r="B774" s="7"/>
      <c r="C774" s="8"/>
      <c r="D774" s="8"/>
      <c r="E774" s="7"/>
      <c r="F774" s="186"/>
      <c r="G774" s="9"/>
      <c r="H774" s="9"/>
      <c r="I774" s="9"/>
      <c r="J774" s="9"/>
      <c r="K774" s="9"/>
      <c r="L774" s="9"/>
      <c r="M774" s="9"/>
      <c r="N774" s="9"/>
    </row>
    <row r="775" spans="1:14" ht="15" customHeight="1" x14ac:dyDescent="0.35">
      <c r="A775" s="185"/>
      <c r="B775" s="7"/>
      <c r="C775" s="8"/>
      <c r="D775" s="8"/>
      <c r="E775" s="7"/>
      <c r="F775" s="186"/>
      <c r="G775" s="9"/>
      <c r="H775" s="9"/>
      <c r="I775" s="9"/>
      <c r="J775" s="9"/>
      <c r="K775" s="9"/>
      <c r="L775" s="9"/>
      <c r="M775" s="9"/>
      <c r="N775" s="9"/>
    </row>
    <row r="776" spans="1:14" ht="15" customHeight="1" x14ac:dyDescent="0.35">
      <c r="A776" s="185"/>
      <c r="B776" s="10"/>
      <c r="C776" s="11"/>
      <c r="D776" s="11"/>
      <c r="E776" s="10"/>
      <c r="F776" s="186"/>
      <c r="G776" s="9"/>
      <c r="H776" s="9"/>
      <c r="I776" s="9"/>
      <c r="J776" s="9"/>
      <c r="K776" s="9"/>
      <c r="L776" s="9"/>
      <c r="M776" s="9"/>
      <c r="N776" s="9"/>
    </row>
    <row r="777" spans="1:14" ht="15" customHeight="1" x14ac:dyDescent="0.35">
      <c r="A777" s="185"/>
      <c r="B777" s="10"/>
      <c r="C777" s="11"/>
      <c r="D777" s="11"/>
      <c r="E777" s="10"/>
      <c r="F777" s="186"/>
      <c r="G777" s="9"/>
      <c r="H777" s="9"/>
      <c r="I777" s="9"/>
      <c r="J777" s="9"/>
      <c r="K777" s="9"/>
      <c r="L777" s="9"/>
      <c r="M777" s="9"/>
      <c r="N777" s="9"/>
    </row>
    <row r="778" spans="1:14" ht="15" customHeight="1" x14ac:dyDescent="0.35">
      <c r="A778" s="185"/>
      <c r="B778" s="7"/>
      <c r="C778" s="8"/>
      <c r="D778" s="8"/>
      <c r="E778" s="7"/>
      <c r="F778" s="186"/>
      <c r="G778" s="9"/>
      <c r="H778" s="9"/>
      <c r="I778" s="9"/>
      <c r="J778" s="9"/>
      <c r="K778" s="9"/>
      <c r="L778" s="9"/>
      <c r="M778" s="9"/>
      <c r="N778" s="9"/>
    </row>
    <row r="779" spans="1:14" ht="15" customHeight="1" x14ac:dyDescent="0.35">
      <c r="A779" s="185"/>
      <c r="B779" s="7"/>
      <c r="C779" s="8"/>
      <c r="D779" s="8"/>
      <c r="E779" s="7"/>
      <c r="F779" s="186"/>
      <c r="G779" s="9"/>
      <c r="H779" s="9"/>
      <c r="I779" s="9"/>
      <c r="J779" s="9"/>
      <c r="K779" s="9"/>
      <c r="L779" s="9"/>
      <c r="M779" s="9"/>
      <c r="N779" s="9"/>
    </row>
    <row r="780" spans="1:14" ht="15" customHeight="1" x14ac:dyDescent="0.35">
      <c r="A780" s="185"/>
      <c r="B780" s="12"/>
      <c r="C780" s="13"/>
      <c r="D780" s="13"/>
      <c r="E780" s="12"/>
      <c r="F780" s="186"/>
      <c r="G780" s="9"/>
      <c r="H780" s="9"/>
      <c r="I780" s="9"/>
      <c r="J780" s="9"/>
      <c r="K780" s="9"/>
      <c r="L780" s="9"/>
      <c r="M780" s="9"/>
      <c r="N780" s="9"/>
    </row>
    <row r="781" spans="1:14" ht="15" customHeight="1" x14ac:dyDescent="0.35">
      <c r="A781" s="185"/>
      <c r="B781" s="12"/>
      <c r="C781" s="13"/>
      <c r="D781" s="13"/>
      <c r="E781" s="12"/>
      <c r="F781" s="186"/>
      <c r="G781" s="9"/>
      <c r="H781" s="9"/>
      <c r="I781" s="9"/>
      <c r="J781" s="9"/>
      <c r="K781" s="9"/>
      <c r="L781" s="9"/>
      <c r="M781" s="9"/>
      <c r="N781" s="9"/>
    </row>
    <row r="782" spans="1:14" ht="15" customHeight="1" x14ac:dyDescent="0.35">
      <c r="A782" s="185"/>
      <c r="B782" s="14"/>
      <c r="C782" s="15"/>
      <c r="D782" s="15"/>
      <c r="E782" s="14"/>
      <c r="F782" s="186"/>
      <c r="G782" s="9"/>
      <c r="H782" s="9"/>
      <c r="I782" s="9"/>
      <c r="J782" s="9"/>
      <c r="K782" s="9"/>
      <c r="L782" s="9"/>
      <c r="M782" s="9"/>
      <c r="N782" s="9"/>
    </row>
    <row r="783" spans="1:14" ht="15" customHeight="1" x14ac:dyDescent="0.35">
      <c r="A783" s="185"/>
      <c r="B783" s="14"/>
      <c r="C783" s="15"/>
      <c r="D783" s="15"/>
      <c r="E783" s="14"/>
      <c r="F783" s="186"/>
      <c r="G783" s="9"/>
      <c r="H783" s="9"/>
      <c r="I783" s="9"/>
      <c r="J783" s="9"/>
      <c r="K783" s="9"/>
      <c r="L783" s="9"/>
      <c r="M783" s="9"/>
      <c r="N783" s="9"/>
    </row>
    <row r="784" spans="1:14" ht="15" customHeight="1" x14ac:dyDescent="0.35">
      <c r="A784" s="185"/>
      <c r="B784" s="12"/>
      <c r="C784" s="13"/>
      <c r="D784" s="13"/>
      <c r="E784" s="12"/>
      <c r="F784" s="186"/>
      <c r="G784" s="9"/>
      <c r="H784" s="9"/>
      <c r="I784" s="9"/>
      <c r="J784" s="9"/>
      <c r="K784" s="9"/>
      <c r="L784" s="9"/>
      <c r="M784" s="9"/>
      <c r="N784" s="9"/>
    </row>
    <row r="785" spans="1:14" ht="15" customHeight="1" x14ac:dyDescent="0.35">
      <c r="A785" s="185"/>
      <c r="B785" s="12"/>
      <c r="C785" s="13"/>
      <c r="D785" s="13"/>
      <c r="E785" s="12"/>
      <c r="F785" s="186"/>
      <c r="G785" s="9"/>
      <c r="H785" s="9"/>
      <c r="I785" s="9"/>
      <c r="J785" s="9"/>
      <c r="K785" s="9"/>
      <c r="L785" s="9"/>
      <c r="M785" s="9"/>
      <c r="N785" s="9"/>
    </row>
    <row r="786" spans="1:14" ht="15" customHeight="1" x14ac:dyDescent="0.35">
      <c r="A786" s="185"/>
      <c r="B786" s="14"/>
      <c r="C786" s="15"/>
      <c r="D786" s="15"/>
      <c r="E786" s="14"/>
      <c r="F786" s="186"/>
      <c r="G786" s="9"/>
      <c r="H786" s="9"/>
      <c r="I786" s="9"/>
      <c r="J786" s="9"/>
      <c r="K786" s="9"/>
      <c r="L786" s="9"/>
      <c r="M786" s="9"/>
      <c r="N786" s="9"/>
    </row>
    <row r="787" spans="1:14" ht="15" customHeight="1" x14ac:dyDescent="0.35">
      <c r="A787" s="185"/>
      <c r="B787" s="14"/>
      <c r="C787" s="15"/>
      <c r="D787" s="15"/>
      <c r="E787" s="14"/>
      <c r="F787" s="186"/>
      <c r="G787" s="9"/>
      <c r="H787" s="9"/>
      <c r="I787" s="9"/>
      <c r="J787" s="9"/>
      <c r="K787" s="9"/>
      <c r="L787" s="9"/>
      <c r="M787" s="9"/>
      <c r="N787" s="9"/>
    </row>
    <row r="788" spans="1:14" ht="15" customHeight="1" x14ac:dyDescent="0.35">
      <c r="A788" s="185"/>
      <c r="B788" s="12"/>
      <c r="C788" s="13"/>
      <c r="D788" s="13"/>
      <c r="E788" s="12"/>
      <c r="F788" s="186"/>
      <c r="G788" s="9"/>
      <c r="H788" s="9"/>
      <c r="I788" s="9"/>
      <c r="J788" s="9"/>
      <c r="K788" s="9"/>
      <c r="L788" s="9"/>
      <c r="M788" s="9"/>
      <c r="N788" s="9"/>
    </row>
    <row r="789" spans="1:14" ht="15" customHeight="1" x14ac:dyDescent="0.35">
      <c r="A789" s="185"/>
      <c r="B789" s="12"/>
      <c r="C789" s="13"/>
      <c r="D789" s="13"/>
      <c r="E789" s="12"/>
      <c r="F789" s="186"/>
      <c r="G789" s="9"/>
      <c r="H789" s="9"/>
      <c r="I789" s="9"/>
      <c r="J789" s="9"/>
      <c r="K789" s="9"/>
      <c r="L789" s="9"/>
      <c r="M789" s="9"/>
      <c r="N789" s="9"/>
    </row>
    <row r="790" spans="1:14" ht="15" customHeight="1" x14ac:dyDescent="0.35">
      <c r="A790" s="185"/>
      <c r="B790" s="14"/>
      <c r="C790" s="15"/>
      <c r="D790" s="15"/>
      <c r="E790" s="14"/>
      <c r="F790" s="186"/>
      <c r="G790" s="9"/>
      <c r="H790" s="9"/>
      <c r="I790" s="9"/>
      <c r="J790" s="9"/>
      <c r="K790" s="9"/>
      <c r="L790" s="9"/>
      <c r="M790" s="9"/>
      <c r="N790" s="9"/>
    </row>
    <row r="791" spans="1:14" ht="15" customHeight="1" x14ac:dyDescent="0.35">
      <c r="A791" s="185"/>
      <c r="B791" s="14"/>
      <c r="C791" s="15"/>
      <c r="D791" s="15"/>
      <c r="E791" s="14"/>
      <c r="F791" s="186"/>
      <c r="G791" s="9"/>
      <c r="H791" s="9"/>
      <c r="I791" s="9"/>
      <c r="J791" s="9"/>
      <c r="K791" s="9"/>
      <c r="L791" s="9"/>
      <c r="M791" s="9"/>
      <c r="N791" s="9"/>
    </row>
    <row r="792" spans="1:14" ht="15" customHeight="1" x14ac:dyDescent="0.35">
      <c r="A792" s="185"/>
      <c r="B792" s="12"/>
      <c r="C792" s="13"/>
      <c r="D792" s="13"/>
      <c r="E792" s="12"/>
      <c r="F792" s="186"/>
      <c r="G792" s="9"/>
      <c r="H792" s="9"/>
      <c r="I792" s="9"/>
      <c r="J792" s="9"/>
      <c r="K792" s="9"/>
      <c r="L792" s="9"/>
      <c r="M792" s="9"/>
      <c r="N792" s="9"/>
    </row>
    <row r="793" spans="1:14" ht="15" customHeight="1" x14ac:dyDescent="0.35">
      <c r="A793" s="185"/>
      <c r="B793" s="12"/>
      <c r="C793" s="13"/>
      <c r="D793" s="13"/>
      <c r="E793" s="12"/>
      <c r="F793" s="186"/>
      <c r="G793" s="9"/>
      <c r="H793" s="9"/>
      <c r="I793" s="9"/>
      <c r="J793" s="9"/>
      <c r="K793" s="9"/>
      <c r="L793" s="9"/>
      <c r="M793" s="9"/>
      <c r="N793" s="9"/>
    </row>
    <row r="794" spans="1:14" ht="15" customHeight="1" x14ac:dyDescent="0.35">
      <c r="A794" s="185"/>
      <c r="B794" s="14"/>
      <c r="C794" s="15"/>
      <c r="D794" s="15"/>
      <c r="E794" s="14"/>
      <c r="F794" s="186"/>
      <c r="G794" s="9"/>
      <c r="H794" s="9"/>
      <c r="I794" s="9"/>
      <c r="J794" s="9"/>
      <c r="K794" s="9"/>
      <c r="L794" s="9"/>
      <c r="M794" s="9"/>
      <c r="N794" s="9"/>
    </row>
    <row r="795" spans="1:14" ht="15" customHeight="1" x14ac:dyDescent="0.35">
      <c r="A795" s="185"/>
      <c r="B795" s="14"/>
      <c r="C795" s="15"/>
      <c r="D795" s="15"/>
      <c r="E795" s="14"/>
      <c r="F795" s="186"/>
      <c r="G795" s="9"/>
      <c r="H795" s="9"/>
      <c r="I795" s="9"/>
      <c r="J795" s="9"/>
      <c r="K795" s="9"/>
      <c r="L795" s="9"/>
      <c r="M795" s="9"/>
      <c r="N795" s="9"/>
    </row>
    <row r="796" spans="1:14" ht="15" customHeight="1" x14ac:dyDescent="0.35">
      <c r="A796" s="185"/>
      <c r="B796" s="12"/>
      <c r="C796" s="13"/>
      <c r="D796" s="13"/>
      <c r="E796" s="12"/>
      <c r="F796" s="186"/>
      <c r="G796" s="9"/>
      <c r="H796" s="9"/>
      <c r="I796" s="9"/>
      <c r="J796" s="9"/>
      <c r="K796" s="9"/>
      <c r="L796" s="9"/>
      <c r="M796" s="9"/>
      <c r="N796" s="9"/>
    </row>
    <row r="797" spans="1:14" ht="15" customHeight="1" x14ac:dyDescent="0.35">
      <c r="A797" s="185"/>
      <c r="B797" s="12"/>
      <c r="C797" s="13"/>
      <c r="D797" s="13"/>
      <c r="E797" s="12"/>
      <c r="F797" s="186"/>
      <c r="G797" s="9"/>
      <c r="H797" s="9"/>
      <c r="I797" s="9"/>
      <c r="J797" s="9"/>
      <c r="K797" s="9"/>
      <c r="L797" s="9"/>
      <c r="M797" s="9"/>
      <c r="N797" s="9"/>
    </row>
    <row r="798" spans="1:14" ht="15" customHeight="1" x14ac:dyDescent="0.35">
      <c r="A798" s="185"/>
      <c r="B798" s="16"/>
      <c r="C798" s="17"/>
      <c r="D798" s="17"/>
      <c r="E798" s="16"/>
      <c r="F798" s="186"/>
      <c r="G798" s="9"/>
      <c r="H798" s="9"/>
      <c r="I798" s="9"/>
      <c r="J798" s="9"/>
      <c r="K798" s="9"/>
      <c r="L798" s="9"/>
      <c r="M798" s="9"/>
      <c r="N798" s="9"/>
    </row>
    <row r="799" spans="1:14" ht="15" customHeight="1" x14ac:dyDescent="0.35">
      <c r="A799" s="185"/>
      <c r="B799" s="16"/>
      <c r="C799" s="17"/>
      <c r="D799" s="17"/>
      <c r="E799" s="16"/>
      <c r="F799" s="186"/>
      <c r="G799" s="9"/>
      <c r="H799" s="9"/>
      <c r="I799" s="9"/>
      <c r="J799" s="9"/>
      <c r="K799" s="9"/>
      <c r="L799" s="9"/>
      <c r="M799" s="9"/>
      <c r="N799" s="9"/>
    </row>
    <row r="800" spans="1:14" ht="15" customHeight="1" x14ac:dyDescent="0.35">
      <c r="A800" s="185"/>
      <c r="B800" s="18"/>
      <c r="C800" s="19"/>
      <c r="D800" s="19"/>
      <c r="E800" s="18"/>
      <c r="F800" s="186"/>
      <c r="G800" s="9"/>
      <c r="H800" s="9"/>
      <c r="I800" s="9"/>
      <c r="J800" s="9"/>
      <c r="K800" s="9"/>
      <c r="L800" s="9"/>
      <c r="M800" s="9"/>
      <c r="N800" s="9"/>
    </row>
    <row r="801" spans="1:14" ht="15" customHeight="1" x14ac:dyDescent="0.35">
      <c r="A801" s="185"/>
      <c r="B801" s="18"/>
      <c r="C801" s="19"/>
      <c r="D801" s="19"/>
      <c r="E801" s="18"/>
      <c r="F801" s="186"/>
      <c r="G801" s="9"/>
      <c r="H801" s="9"/>
      <c r="I801" s="9"/>
      <c r="J801" s="9"/>
      <c r="K801" s="9"/>
      <c r="L801" s="9"/>
      <c r="M801" s="9"/>
      <c r="N801" s="9"/>
    </row>
    <row r="802" spans="1:14" ht="15" customHeight="1" x14ac:dyDescent="0.35">
      <c r="A802" s="185"/>
      <c r="B802" s="16"/>
      <c r="C802" s="17"/>
      <c r="D802" s="17"/>
      <c r="E802" s="16"/>
      <c r="F802" s="186"/>
      <c r="G802" s="9"/>
      <c r="H802" s="9"/>
      <c r="I802" s="9"/>
      <c r="J802" s="9"/>
      <c r="K802" s="9"/>
      <c r="L802" s="9"/>
      <c r="M802" s="9"/>
      <c r="N802" s="9"/>
    </row>
    <row r="803" spans="1:14" ht="15" customHeight="1" x14ac:dyDescent="0.35">
      <c r="A803" s="185"/>
      <c r="B803" s="16"/>
      <c r="C803" s="17"/>
      <c r="D803" s="17"/>
      <c r="E803" s="16"/>
      <c r="F803" s="186"/>
      <c r="G803" s="9"/>
      <c r="H803" s="9"/>
      <c r="I803" s="9"/>
      <c r="J803" s="9"/>
      <c r="K803" s="9"/>
      <c r="L803" s="9"/>
      <c r="M803" s="9"/>
      <c r="N803" s="9"/>
    </row>
    <row r="804" spans="1:14" ht="15" customHeight="1" x14ac:dyDescent="0.35">
      <c r="A804" s="185"/>
      <c r="B804" s="18"/>
      <c r="C804" s="19"/>
      <c r="D804" s="19"/>
      <c r="E804" s="18"/>
      <c r="F804" s="186"/>
      <c r="G804" s="9"/>
      <c r="H804" s="9"/>
      <c r="I804" s="9"/>
      <c r="J804" s="9"/>
      <c r="K804" s="9"/>
      <c r="L804" s="9"/>
      <c r="M804" s="9"/>
      <c r="N804" s="9"/>
    </row>
    <row r="805" spans="1:14" ht="15" customHeight="1" x14ac:dyDescent="0.35">
      <c r="A805" s="185"/>
      <c r="B805" s="18"/>
      <c r="C805" s="19"/>
      <c r="D805" s="19"/>
      <c r="E805" s="18"/>
      <c r="F805" s="186"/>
      <c r="G805" s="9"/>
      <c r="H805" s="9"/>
      <c r="I805" s="9"/>
      <c r="J805" s="9"/>
      <c r="K805" s="9"/>
      <c r="L805" s="9"/>
      <c r="M805" s="9"/>
      <c r="N805" s="9"/>
    </row>
    <row r="806" spans="1:14" ht="15" customHeight="1" x14ac:dyDescent="0.35">
      <c r="A806" s="185"/>
      <c r="B806" s="16"/>
      <c r="C806" s="17"/>
      <c r="D806" s="17"/>
      <c r="E806" s="16"/>
      <c r="F806" s="186"/>
      <c r="G806" s="9"/>
      <c r="H806" s="9"/>
      <c r="I806" s="9"/>
      <c r="J806" s="9"/>
      <c r="K806" s="9"/>
      <c r="L806" s="9"/>
      <c r="M806" s="9"/>
      <c r="N806" s="9"/>
    </row>
    <row r="807" spans="1:14" ht="15" customHeight="1" x14ac:dyDescent="0.35">
      <c r="A807" s="185"/>
      <c r="B807" s="16"/>
      <c r="C807" s="17"/>
      <c r="D807" s="17"/>
      <c r="E807" s="16"/>
      <c r="F807" s="186"/>
      <c r="G807" s="9"/>
      <c r="H807" s="9"/>
      <c r="I807" s="9"/>
      <c r="J807" s="9"/>
      <c r="K807" s="9"/>
      <c r="L807" s="9"/>
      <c r="M807" s="9"/>
      <c r="N807" s="9"/>
    </row>
    <row r="808" spans="1:14" ht="15" customHeight="1" x14ac:dyDescent="0.35">
      <c r="A808" s="185"/>
      <c r="B808" s="18"/>
      <c r="C808" s="19"/>
      <c r="D808" s="19"/>
      <c r="E808" s="18"/>
      <c r="F808" s="186"/>
      <c r="G808" s="9"/>
      <c r="H808" s="9"/>
      <c r="I808" s="9"/>
      <c r="J808" s="9"/>
      <c r="K808" s="9"/>
      <c r="L808" s="9"/>
      <c r="M808" s="9"/>
      <c r="N808" s="9"/>
    </row>
    <row r="809" spans="1:14" ht="15" customHeight="1" x14ac:dyDescent="0.35">
      <c r="A809" s="185"/>
      <c r="B809" s="18"/>
      <c r="C809" s="19"/>
      <c r="D809" s="19"/>
      <c r="E809" s="18"/>
      <c r="F809" s="186"/>
      <c r="G809" s="9"/>
      <c r="H809" s="9"/>
      <c r="I809" s="9"/>
      <c r="J809" s="9"/>
      <c r="K809" s="9"/>
      <c r="L809" s="9"/>
      <c r="M809" s="9"/>
      <c r="N809" s="9"/>
    </row>
    <row r="810" spans="1:14" ht="15" customHeight="1" x14ac:dyDescent="0.35">
      <c r="A810" s="185"/>
      <c r="B810" s="16"/>
      <c r="C810" s="17"/>
      <c r="D810" s="17"/>
      <c r="E810" s="16"/>
      <c r="F810" s="186"/>
      <c r="G810" s="9"/>
      <c r="H810" s="9"/>
      <c r="I810" s="9"/>
      <c r="J810" s="9"/>
      <c r="K810" s="9"/>
      <c r="L810" s="9"/>
      <c r="M810" s="9"/>
      <c r="N810" s="9"/>
    </row>
    <row r="811" spans="1:14" ht="15" customHeight="1" x14ac:dyDescent="0.35">
      <c r="A811" s="185"/>
      <c r="B811" s="16"/>
      <c r="C811" s="17"/>
      <c r="D811" s="17"/>
      <c r="E811" s="16"/>
      <c r="F811" s="186"/>
      <c r="G811" s="9"/>
      <c r="H811" s="9"/>
      <c r="I811" s="9"/>
      <c r="J811" s="9"/>
      <c r="K811" s="9"/>
      <c r="L811" s="9"/>
      <c r="M811" s="9"/>
      <c r="N811" s="9"/>
    </row>
    <row r="812" spans="1:14" ht="15" customHeight="1" x14ac:dyDescent="0.35">
      <c r="A812" s="185"/>
      <c r="B812" s="18"/>
      <c r="C812" s="19"/>
      <c r="D812" s="19"/>
      <c r="E812" s="18"/>
      <c r="F812" s="186"/>
      <c r="G812" s="9"/>
      <c r="H812" s="9"/>
      <c r="I812" s="9"/>
      <c r="J812" s="9"/>
      <c r="K812" s="9"/>
      <c r="L812" s="9"/>
      <c r="M812" s="9"/>
      <c r="N812" s="9"/>
    </row>
    <row r="813" spans="1:14" ht="15" customHeight="1" x14ac:dyDescent="0.35">
      <c r="A813" s="185"/>
      <c r="B813" s="18"/>
      <c r="C813" s="19"/>
      <c r="D813" s="19"/>
      <c r="E813" s="18"/>
      <c r="F813" s="186"/>
      <c r="G813" s="9"/>
      <c r="H813" s="9"/>
      <c r="I813" s="9"/>
      <c r="J813" s="9"/>
      <c r="K813" s="9"/>
      <c r="L813" s="9"/>
      <c r="M813" s="9"/>
      <c r="N813" s="9"/>
    </row>
    <row r="814" spans="1:14" ht="15" customHeight="1" x14ac:dyDescent="0.35">
      <c r="A814" s="185"/>
      <c r="B814" s="16"/>
      <c r="C814" s="17"/>
      <c r="D814" s="17"/>
      <c r="E814" s="16"/>
      <c r="F814" s="186"/>
      <c r="G814" s="9"/>
      <c r="H814" s="9"/>
      <c r="I814" s="9"/>
      <c r="J814" s="9"/>
      <c r="K814" s="9"/>
      <c r="L814" s="9"/>
      <c r="M814" s="9"/>
      <c r="N814" s="9"/>
    </row>
    <row r="815" spans="1:14" ht="15" customHeight="1" x14ac:dyDescent="0.35">
      <c r="A815" s="185"/>
      <c r="B815" s="20"/>
      <c r="C815" s="21"/>
      <c r="D815" s="21"/>
      <c r="E815" s="20"/>
      <c r="F815" s="186"/>
      <c r="G815" s="22"/>
      <c r="H815" s="22"/>
      <c r="I815" s="22"/>
      <c r="J815" s="22"/>
      <c r="K815" s="95"/>
      <c r="L815" s="95"/>
      <c r="M815" s="95"/>
      <c r="N815" s="22"/>
    </row>
    <row r="817" spans="1:14" ht="15.75" customHeight="1" x14ac:dyDescent="0.35">
      <c r="A817" s="188" t="s">
        <v>36</v>
      </c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</row>
    <row r="818" spans="1:14" ht="13.5" customHeight="1" x14ac:dyDescent="0.35">
      <c r="A818" s="23"/>
      <c r="B818" s="187" t="s">
        <v>37</v>
      </c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</row>
    <row r="819" spans="1:14" ht="13.5" customHeight="1" x14ac:dyDescent="0.35">
      <c r="A819" s="24"/>
      <c r="B819" s="187" t="s">
        <v>38</v>
      </c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</row>
    <row r="820" spans="1:14" ht="13.5" customHeight="1" x14ac:dyDescent="0.35">
      <c r="A820" s="25"/>
      <c r="B820" s="187" t="s">
        <v>39</v>
      </c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</row>
    <row r="821" spans="1:14" ht="13.5" customHeight="1" x14ac:dyDescent="0.35">
      <c r="A821" s="26"/>
      <c r="B821" s="187" t="s">
        <v>40</v>
      </c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</row>
    <row r="822" spans="1:14" ht="13.5" customHeight="1" x14ac:dyDescent="0.35">
      <c r="A822" s="27"/>
      <c r="B822" s="187" t="s">
        <v>41</v>
      </c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</row>
  </sheetData>
  <mergeCells count="48">
    <mergeCell ref="B822:N822"/>
    <mergeCell ref="A817:N817"/>
    <mergeCell ref="B818:N818"/>
    <mergeCell ref="B819:N819"/>
    <mergeCell ref="B820:N820"/>
    <mergeCell ref="B821:N821"/>
    <mergeCell ref="A654:A707"/>
    <mergeCell ref="F654:F707"/>
    <mergeCell ref="A708:A761"/>
    <mergeCell ref="F708:F761"/>
    <mergeCell ref="A762:A815"/>
    <mergeCell ref="F762:F815"/>
    <mergeCell ref="A492:A545"/>
    <mergeCell ref="F492:F545"/>
    <mergeCell ref="A546:A599"/>
    <mergeCell ref="F546:F599"/>
    <mergeCell ref="A600:A653"/>
    <mergeCell ref="F600:F653"/>
    <mergeCell ref="A330:A383"/>
    <mergeCell ref="F330:F383"/>
    <mergeCell ref="A384:A437"/>
    <mergeCell ref="F384:F437"/>
    <mergeCell ref="A438:A491"/>
    <mergeCell ref="F438:F491"/>
    <mergeCell ref="A168:A221"/>
    <mergeCell ref="F168:F221"/>
    <mergeCell ref="A222:A275"/>
    <mergeCell ref="F222:F275"/>
    <mergeCell ref="A276:A329"/>
    <mergeCell ref="F276:F329"/>
    <mergeCell ref="A6:A59"/>
    <mergeCell ref="F6:F59"/>
    <mergeCell ref="A60:A113"/>
    <mergeCell ref="F60:F113"/>
    <mergeCell ref="A114:A167"/>
    <mergeCell ref="F114:F167"/>
    <mergeCell ref="A4:F4"/>
    <mergeCell ref="G4:H4"/>
    <mergeCell ref="I4:J4"/>
    <mergeCell ref="K4:L4"/>
    <mergeCell ref="M4:N4"/>
    <mergeCell ref="A1:N1"/>
    <mergeCell ref="A2:N2"/>
    <mergeCell ref="A3:F3"/>
    <mergeCell ref="G3:H3"/>
    <mergeCell ref="I3:J3"/>
    <mergeCell ref="K3:L3"/>
    <mergeCell ref="M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="105" zoomScaleNormal="10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7" sqref="D17"/>
    </sheetView>
  </sheetViews>
  <sheetFormatPr defaultColWidth="8.6328125" defaultRowHeight="15" customHeight="1" x14ac:dyDescent="0.35"/>
  <cols>
    <col min="1" max="1" width="22" customWidth="1"/>
    <col min="2" max="2" width="8" customWidth="1"/>
    <col min="3" max="3" width="20.90625" customWidth="1"/>
    <col min="4" max="4" width="20.6328125" customWidth="1"/>
    <col min="5" max="5" width="22.36328125" customWidth="1"/>
    <col min="6" max="6" width="22" customWidth="1"/>
  </cols>
  <sheetData>
    <row r="1" spans="1:6" ht="25.5" customHeight="1" x14ac:dyDescent="0.35">
      <c r="A1" s="189" t="s">
        <v>42</v>
      </c>
      <c r="B1" s="189"/>
      <c r="C1" s="189"/>
      <c r="D1" s="189"/>
      <c r="E1" s="189"/>
      <c r="F1" s="189"/>
    </row>
    <row r="2" spans="1:6" ht="21.75" customHeight="1" x14ac:dyDescent="0.35">
      <c r="A2" s="190" t="s">
        <v>43</v>
      </c>
      <c r="B2" s="190"/>
      <c r="C2" s="3" t="s">
        <v>44</v>
      </c>
      <c r="D2" s="1" t="s">
        <v>45</v>
      </c>
      <c r="E2" s="2" t="s">
        <v>46</v>
      </c>
      <c r="F2" s="52" t="s">
        <v>47</v>
      </c>
    </row>
    <row r="3" spans="1:6" ht="21.75" customHeight="1" x14ac:dyDescent="0.35">
      <c r="A3" s="4" t="s">
        <v>43</v>
      </c>
      <c r="B3" s="4" t="s">
        <v>11</v>
      </c>
      <c r="C3" s="5" t="s">
        <v>48</v>
      </c>
      <c r="D3" s="28" t="s">
        <v>48</v>
      </c>
      <c r="E3" s="6" t="s">
        <v>48</v>
      </c>
      <c r="F3" s="29" t="s">
        <v>48</v>
      </c>
    </row>
    <row r="4" spans="1:6" ht="18" customHeight="1" x14ac:dyDescent="0.35">
      <c r="A4" s="30" t="s">
        <v>14</v>
      </c>
      <c r="B4" s="31">
        <v>101</v>
      </c>
      <c r="C4" s="32">
        <v>9</v>
      </c>
      <c r="D4" s="32">
        <f>6+12</f>
        <v>18</v>
      </c>
      <c r="E4" s="32">
        <f>C4</f>
        <v>9</v>
      </c>
      <c r="F4" s="32">
        <f>D4</f>
        <v>18</v>
      </c>
    </row>
    <row r="5" spans="1:6" ht="18" customHeight="1" x14ac:dyDescent="0.35">
      <c r="A5" s="33" t="s">
        <v>23</v>
      </c>
      <c r="B5" s="34">
        <v>38</v>
      </c>
      <c r="C5" s="32">
        <v>9</v>
      </c>
      <c r="D5" s="32">
        <v>15</v>
      </c>
      <c r="E5" s="32">
        <f t="shared" ref="E5:E17" si="0">C5</f>
        <v>9</v>
      </c>
      <c r="F5" s="32">
        <f t="shared" ref="F5:F17" si="1">D5</f>
        <v>15</v>
      </c>
    </row>
    <row r="6" spans="1:6" ht="18" customHeight="1" x14ac:dyDescent="0.35">
      <c r="A6" s="30" t="s">
        <v>24</v>
      </c>
      <c r="B6" s="31">
        <v>51</v>
      </c>
      <c r="C6" s="32">
        <v>11</v>
      </c>
      <c r="D6" s="32">
        <f>11+8</f>
        <v>19</v>
      </c>
      <c r="E6" s="32">
        <f t="shared" si="0"/>
        <v>11</v>
      </c>
      <c r="F6" s="32">
        <f t="shared" si="1"/>
        <v>19</v>
      </c>
    </row>
    <row r="7" spans="1:6" ht="18" customHeight="1" x14ac:dyDescent="0.35">
      <c r="A7" s="33" t="s">
        <v>25</v>
      </c>
      <c r="B7" s="34">
        <v>44</v>
      </c>
      <c r="C7" s="32">
        <v>7</v>
      </c>
      <c r="D7" s="32">
        <v>38</v>
      </c>
      <c r="E7" s="32">
        <f t="shared" si="0"/>
        <v>7</v>
      </c>
      <c r="F7" s="32">
        <f t="shared" si="1"/>
        <v>38</v>
      </c>
    </row>
    <row r="8" spans="1:6" ht="18" customHeight="1" x14ac:dyDescent="0.35">
      <c r="A8" s="30" t="s">
        <v>26</v>
      </c>
      <c r="B8" s="31">
        <v>59</v>
      </c>
      <c r="C8" s="32">
        <v>3</v>
      </c>
      <c r="D8" s="32">
        <v>9</v>
      </c>
      <c r="E8" s="32">
        <f t="shared" si="0"/>
        <v>3</v>
      </c>
      <c r="F8" s="32">
        <f t="shared" si="1"/>
        <v>9</v>
      </c>
    </row>
    <row r="9" spans="1:6" ht="18" customHeight="1" x14ac:dyDescent="0.35">
      <c r="A9" s="33" t="s">
        <v>27</v>
      </c>
      <c r="B9" s="34">
        <v>85</v>
      </c>
      <c r="C9" s="32">
        <v>9</v>
      </c>
      <c r="D9" s="32">
        <f>2+2+9</f>
        <v>13</v>
      </c>
      <c r="E9" s="32">
        <f t="shared" si="0"/>
        <v>9</v>
      </c>
      <c r="F9" s="32">
        <f t="shared" si="1"/>
        <v>13</v>
      </c>
    </row>
    <row r="10" spans="1:6" ht="18" customHeight="1" x14ac:dyDescent="0.35">
      <c r="A10" s="30" t="s">
        <v>28</v>
      </c>
      <c r="B10" s="31">
        <v>90</v>
      </c>
      <c r="C10" s="32">
        <v>7</v>
      </c>
      <c r="D10" s="32">
        <v>18</v>
      </c>
      <c r="E10" s="32">
        <f t="shared" si="0"/>
        <v>7</v>
      </c>
      <c r="F10" s="32">
        <f t="shared" si="1"/>
        <v>18</v>
      </c>
    </row>
    <row r="11" spans="1:6" ht="18" customHeight="1" x14ac:dyDescent="0.35">
      <c r="A11" s="33" t="s">
        <v>29</v>
      </c>
      <c r="B11" s="34">
        <v>72</v>
      </c>
      <c r="C11" s="32">
        <v>7</v>
      </c>
      <c r="D11" s="32">
        <v>11</v>
      </c>
      <c r="E11" s="32">
        <f t="shared" si="0"/>
        <v>7</v>
      </c>
      <c r="F11" s="32">
        <f t="shared" si="1"/>
        <v>11</v>
      </c>
    </row>
    <row r="12" spans="1:6" ht="18" customHeight="1" x14ac:dyDescent="0.35">
      <c r="A12" s="30" t="s">
        <v>30</v>
      </c>
      <c r="B12" s="31">
        <v>65</v>
      </c>
      <c r="C12" s="32">
        <v>9</v>
      </c>
      <c r="D12" s="32">
        <v>12</v>
      </c>
      <c r="E12" s="32">
        <f t="shared" si="0"/>
        <v>9</v>
      </c>
      <c r="F12" s="32">
        <f t="shared" si="1"/>
        <v>12</v>
      </c>
    </row>
    <row r="13" spans="1:6" ht="18" customHeight="1" x14ac:dyDescent="0.35">
      <c r="A13" s="33" t="s">
        <v>31</v>
      </c>
      <c r="B13" s="34">
        <v>48</v>
      </c>
      <c r="C13" s="32">
        <v>7</v>
      </c>
      <c r="D13" s="32">
        <v>14</v>
      </c>
      <c r="E13" s="32">
        <f t="shared" si="0"/>
        <v>7</v>
      </c>
      <c r="F13" s="32">
        <f t="shared" si="1"/>
        <v>14</v>
      </c>
    </row>
    <row r="14" spans="1:6" ht="18" customHeight="1" x14ac:dyDescent="0.35">
      <c r="A14" s="30" t="s">
        <v>32</v>
      </c>
      <c r="B14" s="31">
        <v>55</v>
      </c>
      <c r="C14" s="32">
        <v>15</v>
      </c>
      <c r="D14" s="32">
        <f>9+6+7+10</f>
        <v>32</v>
      </c>
      <c r="E14" s="32">
        <f t="shared" si="0"/>
        <v>15</v>
      </c>
      <c r="F14" s="32">
        <f t="shared" si="1"/>
        <v>32</v>
      </c>
    </row>
    <row r="15" spans="1:6" ht="18" customHeight="1" x14ac:dyDescent="0.35">
      <c r="A15" s="33" t="s">
        <v>33</v>
      </c>
      <c r="B15" s="34">
        <v>63</v>
      </c>
      <c r="C15" s="32">
        <v>13</v>
      </c>
      <c r="D15" s="32">
        <f>10+8</f>
        <v>18</v>
      </c>
      <c r="E15" s="32">
        <f t="shared" si="0"/>
        <v>13</v>
      </c>
      <c r="F15" s="32">
        <f t="shared" si="1"/>
        <v>18</v>
      </c>
    </row>
    <row r="16" spans="1:6" ht="18" customHeight="1" x14ac:dyDescent="0.35">
      <c r="A16" s="30" t="s">
        <v>34</v>
      </c>
      <c r="B16" s="31">
        <v>77</v>
      </c>
      <c r="C16" s="32">
        <v>7</v>
      </c>
      <c r="D16" s="32">
        <f>9+7</f>
        <v>16</v>
      </c>
      <c r="E16" s="32">
        <f t="shared" si="0"/>
        <v>7</v>
      </c>
      <c r="F16" s="32">
        <f t="shared" si="1"/>
        <v>16</v>
      </c>
    </row>
    <row r="17" spans="1:6" ht="18" customHeight="1" x14ac:dyDescent="0.35">
      <c r="A17" s="33" t="s">
        <v>35</v>
      </c>
      <c r="B17" s="34">
        <v>82</v>
      </c>
      <c r="C17" s="32">
        <v>9</v>
      </c>
      <c r="D17" s="32">
        <f>11+9</f>
        <v>20</v>
      </c>
      <c r="E17" s="32">
        <f t="shared" si="0"/>
        <v>9</v>
      </c>
      <c r="F17" s="32">
        <f t="shared" si="1"/>
        <v>20</v>
      </c>
    </row>
    <row r="19" spans="1:6" ht="15.75" customHeight="1" x14ac:dyDescent="0.35">
      <c r="A19" s="188" t="s">
        <v>49</v>
      </c>
      <c r="B19" s="188"/>
      <c r="C19" s="188"/>
      <c r="D19" s="188"/>
      <c r="E19" s="188"/>
      <c r="F19" s="188"/>
    </row>
  </sheetData>
  <mergeCells count="3">
    <mergeCell ref="A19:F19"/>
    <mergeCell ref="A1:F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68"/>
  <sheetViews>
    <sheetView tabSelected="1" zoomScale="29" zoomScaleNormal="7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L12" sqref="L12"/>
    </sheetView>
  </sheetViews>
  <sheetFormatPr defaultColWidth="8.6328125" defaultRowHeight="15" customHeight="1" x14ac:dyDescent="0.35"/>
  <cols>
    <col min="1" max="1" width="22" customWidth="1"/>
    <col min="2" max="2" width="10" customWidth="1"/>
    <col min="3" max="3" width="7" customWidth="1"/>
    <col min="4" max="4" width="6" customWidth="1"/>
    <col min="5" max="5" width="4" customWidth="1"/>
    <col min="6" max="6" width="11.6328125" customWidth="1"/>
    <col min="7" max="8" width="12.6328125" customWidth="1"/>
    <col min="9" max="9" width="12.54296875" customWidth="1"/>
    <col min="10" max="13" width="8" customWidth="1"/>
    <col min="14" max="14" width="9" customWidth="1"/>
    <col min="15" max="18" width="8" customWidth="1"/>
    <col min="19" max="19" width="9" customWidth="1"/>
    <col min="20" max="23" width="8" customWidth="1"/>
    <col min="24" max="24" width="9" customWidth="1"/>
    <col min="25" max="28" width="8" customWidth="1"/>
    <col min="29" max="29" width="9" customWidth="1"/>
  </cols>
  <sheetData>
    <row r="1" spans="1:29" ht="25.5" customHeight="1" x14ac:dyDescent="0.35">
      <c r="A1" s="178" t="s">
        <v>50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</row>
    <row r="2" spans="1:29" ht="15.75" customHeight="1" thickBot="1" x14ac:dyDescent="0.4">
      <c r="A2" s="179" t="s">
        <v>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</row>
    <row r="3" spans="1:29" ht="21.75" customHeight="1" thickBot="1" x14ac:dyDescent="0.4">
      <c r="A3" s="190" t="s">
        <v>52</v>
      </c>
      <c r="B3" s="190"/>
      <c r="C3" s="190"/>
      <c r="D3" s="190"/>
      <c r="E3" s="190"/>
      <c r="F3" s="193" t="s">
        <v>53</v>
      </c>
      <c r="G3" s="194"/>
      <c r="H3" s="195" t="s">
        <v>54</v>
      </c>
      <c r="I3" s="196"/>
      <c r="J3" s="183" t="s">
        <v>55</v>
      </c>
      <c r="K3" s="183"/>
      <c r="L3" s="183"/>
      <c r="M3" s="183"/>
      <c r="N3" s="183"/>
      <c r="O3" s="183" t="s">
        <v>55</v>
      </c>
      <c r="P3" s="183"/>
      <c r="Q3" s="183"/>
      <c r="R3" s="183"/>
      <c r="S3" s="183"/>
      <c r="T3" s="184" t="s">
        <v>56</v>
      </c>
      <c r="U3" s="191"/>
      <c r="V3" s="191"/>
      <c r="W3" s="191"/>
      <c r="X3" s="192"/>
      <c r="Y3" s="184" t="s">
        <v>56</v>
      </c>
      <c r="Z3" s="191"/>
      <c r="AA3" s="191"/>
      <c r="AB3" s="191"/>
      <c r="AC3" s="192"/>
    </row>
    <row r="4" spans="1:29" ht="21.75" customHeight="1" x14ac:dyDescent="0.35">
      <c r="A4" s="197"/>
      <c r="B4" s="197"/>
      <c r="C4" s="197"/>
      <c r="D4" s="197"/>
      <c r="E4" s="197"/>
      <c r="F4" s="36" t="s">
        <v>4</v>
      </c>
      <c r="G4" s="36" t="s">
        <v>5</v>
      </c>
      <c r="H4" s="37" t="s">
        <v>4</v>
      </c>
      <c r="I4" s="37" t="s">
        <v>5</v>
      </c>
      <c r="J4" s="198" t="s">
        <v>4</v>
      </c>
      <c r="K4" s="198"/>
      <c r="L4" s="198"/>
      <c r="M4" s="198"/>
      <c r="N4" s="198"/>
      <c r="O4" s="199" t="s">
        <v>5</v>
      </c>
      <c r="P4" s="199"/>
      <c r="Q4" s="199"/>
      <c r="R4" s="199"/>
      <c r="S4" s="199"/>
      <c r="T4" s="200" t="s">
        <v>4</v>
      </c>
      <c r="U4" s="200"/>
      <c r="V4" s="200"/>
      <c r="W4" s="200"/>
      <c r="X4" s="200"/>
      <c r="Y4" s="201" t="s">
        <v>5</v>
      </c>
      <c r="Z4" s="201"/>
      <c r="AA4" s="201"/>
      <c r="AB4" s="201"/>
      <c r="AC4" s="201"/>
    </row>
    <row r="5" spans="1:29" ht="30" customHeight="1" x14ac:dyDescent="0.3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38" t="s">
        <v>61</v>
      </c>
      <c r="G5" s="38" t="s">
        <v>61</v>
      </c>
      <c r="H5" s="39" t="s">
        <v>61</v>
      </c>
      <c r="I5" s="39" t="s">
        <v>61</v>
      </c>
      <c r="J5" s="5" t="s">
        <v>12</v>
      </c>
      <c r="K5" s="5" t="s">
        <v>13</v>
      </c>
      <c r="L5" s="5" t="s">
        <v>62</v>
      </c>
      <c r="M5" s="5" t="s">
        <v>63</v>
      </c>
      <c r="N5" s="5" t="s">
        <v>64</v>
      </c>
      <c r="O5" s="28" t="s">
        <v>12</v>
      </c>
      <c r="P5" s="28" t="s">
        <v>13</v>
      </c>
      <c r="Q5" s="28" t="s">
        <v>62</v>
      </c>
      <c r="R5" s="28" t="s">
        <v>63</v>
      </c>
      <c r="S5" s="28" t="s">
        <v>64</v>
      </c>
      <c r="T5" s="6" t="s">
        <v>12</v>
      </c>
      <c r="U5" s="6" t="s">
        <v>13</v>
      </c>
      <c r="V5" s="6" t="s">
        <v>62</v>
      </c>
      <c r="W5" s="6" t="s">
        <v>63</v>
      </c>
      <c r="X5" s="6" t="s">
        <v>64</v>
      </c>
      <c r="Y5" s="29" t="s">
        <v>12</v>
      </c>
      <c r="Z5" s="29" t="s">
        <v>13</v>
      </c>
      <c r="AA5" s="29" t="s">
        <v>62</v>
      </c>
      <c r="AB5" s="29" t="s">
        <v>63</v>
      </c>
      <c r="AC5" s="29" t="s">
        <v>64</v>
      </c>
    </row>
    <row r="6" spans="1:29" ht="15" customHeight="1" thickBot="1" x14ac:dyDescent="0.4">
      <c r="A6" s="185" t="s">
        <v>14</v>
      </c>
      <c r="B6" s="7" t="s">
        <v>15</v>
      </c>
      <c r="C6" s="8" t="s">
        <v>16</v>
      </c>
      <c r="D6" s="8">
        <v>1</v>
      </c>
      <c r="E6" s="7" t="s">
        <v>17</v>
      </c>
      <c r="F6" s="40">
        <f>'GT Input'!C4</f>
        <v>9</v>
      </c>
      <c r="G6" s="40">
        <f>'GT Input'!D4</f>
        <v>18</v>
      </c>
      <c r="H6" s="40">
        <f>'GT Input'!E4</f>
        <v>9</v>
      </c>
      <c r="I6" s="40">
        <f>'GT Input'!F4</f>
        <v>18</v>
      </c>
      <c r="J6" s="41">
        <v>7</v>
      </c>
      <c r="K6" s="41">
        <v>7</v>
      </c>
      <c r="L6" s="42">
        <f>IFERROR(K6/J6,"")</f>
        <v>1</v>
      </c>
      <c r="M6" s="42">
        <f>IFERROR(K6/F6,"")</f>
        <v>0.77777777777777779</v>
      </c>
      <c r="N6" s="42">
        <f>IFERROR(2*L6*M6/(L6+M6),"")</f>
        <v>0.87500000000000011</v>
      </c>
      <c r="O6" s="43">
        <f>'Detailed Results'!I6</f>
        <v>12</v>
      </c>
      <c r="P6" s="43">
        <f>'Detailed Results'!J6</f>
        <v>12</v>
      </c>
      <c r="Q6" s="44">
        <f t="shared" ref="Q6:Q69" si="0">IFERROR(P6/O6,"")</f>
        <v>1</v>
      </c>
      <c r="R6" s="44">
        <f>IFERROR(P6/G6,"")</f>
        <v>0.66666666666666663</v>
      </c>
      <c r="S6" s="44">
        <f t="shared" ref="S6:S69" si="1">IFERROR(2*Q6*R6/(Q6+R6),"")</f>
        <v>0.8</v>
      </c>
      <c r="T6" s="45">
        <f>'Detailed Results'!K6</f>
        <v>7</v>
      </c>
      <c r="U6" s="45">
        <f>'Detailed Results'!L6</f>
        <v>5</v>
      </c>
      <c r="V6" s="46">
        <f t="shared" ref="V6:V69" si="2">IFERROR(U6/T6,"")</f>
        <v>0.7142857142857143</v>
      </c>
      <c r="W6" s="46">
        <f>IFERROR(U6/H6,"")</f>
        <v>0.55555555555555558</v>
      </c>
      <c r="X6" s="46">
        <f t="shared" ref="X6:X69" si="3">IFERROR(2*V6*W6/(V6+W6),"")</f>
        <v>0.62500000000000011</v>
      </c>
      <c r="Y6" s="47">
        <f>'Detailed Results'!M6</f>
        <v>12</v>
      </c>
      <c r="Z6" s="47">
        <f>'Detailed Results'!N6</f>
        <v>12</v>
      </c>
      <c r="AA6" s="48">
        <f t="shared" ref="AA6:AA69" si="4">IFERROR(Z6/Y6,"")</f>
        <v>1</v>
      </c>
      <c r="AB6" s="48">
        <f>IFERROR(Z6/I6,"")</f>
        <v>0.66666666666666663</v>
      </c>
      <c r="AC6" s="48">
        <f t="shared" ref="AC6:AC69" si="5">IFERROR(2*AA6*AB6/(AA6+AB6),"")</f>
        <v>0.8</v>
      </c>
    </row>
    <row r="7" spans="1:29" ht="15" customHeight="1" thickBot="1" x14ac:dyDescent="0.4">
      <c r="A7" s="185"/>
      <c r="B7" s="7" t="s">
        <v>15</v>
      </c>
      <c r="C7" s="8" t="s">
        <v>16</v>
      </c>
      <c r="D7" s="8">
        <v>1</v>
      </c>
      <c r="E7" s="7" t="s">
        <v>109</v>
      </c>
      <c r="F7" s="40">
        <f>'GT Input'!C4</f>
        <v>9</v>
      </c>
      <c r="G7" s="40">
        <f>'GT Input'!D4</f>
        <v>18</v>
      </c>
      <c r="H7" s="40">
        <f>'GT Input'!E4</f>
        <v>9</v>
      </c>
      <c r="I7" s="40">
        <f>'GT Input'!F4</f>
        <v>18</v>
      </c>
      <c r="J7" s="41">
        <v>7</v>
      </c>
      <c r="K7" s="41">
        <v>7</v>
      </c>
      <c r="L7" s="42">
        <f t="shared" ref="L7:L69" si="6">IFERROR(K7/J7,"")</f>
        <v>1</v>
      </c>
      <c r="M7" s="42">
        <f t="shared" ref="M7:M70" si="7">IFERROR(K7/F7,"")</f>
        <v>0.77777777777777779</v>
      </c>
      <c r="N7" s="42">
        <f t="shared" ref="N7:N69" si="8">IFERROR(2*L7*M7/(L7+M7),"")</f>
        <v>0.87500000000000011</v>
      </c>
      <c r="O7" s="43">
        <f>'Detailed Results'!I7</f>
        <v>12</v>
      </c>
      <c r="P7" s="43">
        <f>'Detailed Results'!J7</f>
        <v>12</v>
      </c>
      <c r="Q7" s="44">
        <f t="shared" si="0"/>
        <v>1</v>
      </c>
      <c r="R7" s="44">
        <f t="shared" ref="R7:R70" si="9">IFERROR(P7/G7,"")</f>
        <v>0.66666666666666663</v>
      </c>
      <c r="S7" s="44">
        <f t="shared" si="1"/>
        <v>0.8</v>
      </c>
      <c r="T7" s="45">
        <f>'Detailed Results'!K7</f>
        <v>7</v>
      </c>
      <c r="U7" s="45">
        <f>'Detailed Results'!L7</f>
        <v>5</v>
      </c>
      <c r="V7" s="46">
        <f t="shared" si="2"/>
        <v>0.7142857142857143</v>
      </c>
      <c r="W7" s="46">
        <f t="shared" ref="W7:W70" si="10">IFERROR(U7/H7,"")</f>
        <v>0.55555555555555558</v>
      </c>
      <c r="X7" s="46">
        <f t="shared" si="3"/>
        <v>0.62500000000000011</v>
      </c>
      <c r="Y7" s="47">
        <f>'Detailed Results'!M7</f>
        <v>12</v>
      </c>
      <c r="Z7" s="47">
        <f>'Detailed Results'!N7</f>
        <v>12</v>
      </c>
      <c r="AA7" s="48">
        <f t="shared" si="4"/>
        <v>1</v>
      </c>
      <c r="AB7" s="48">
        <f t="shared" ref="AB7:AB70" si="11">IFERROR(Z7/I7,"")</f>
        <v>0.66666666666666663</v>
      </c>
      <c r="AC7" s="48">
        <f t="shared" si="5"/>
        <v>0.8</v>
      </c>
    </row>
    <row r="8" spans="1:29" ht="15" customHeight="1" thickBot="1" x14ac:dyDescent="0.4">
      <c r="A8" s="185"/>
      <c r="B8" s="10" t="s">
        <v>15</v>
      </c>
      <c r="C8" s="11" t="s">
        <v>16</v>
      </c>
      <c r="D8" s="11">
        <v>2</v>
      </c>
      <c r="E8" s="10" t="s">
        <v>17</v>
      </c>
      <c r="F8" s="40">
        <f>'GT Input'!C4</f>
        <v>9</v>
      </c>
      <c r="G8" s="40">
        <f>'GT Input'!D4</f>
        <v>18</v>
      </c>
      <c r="H8" s="40">
        <f>'GT Input'!E4</f>
        <v>9</v>
      </c>
      <c r="I8" s="40">
        <f>'GT Input'!F4</f>
        <v>18</v>
      </c>
      <c r="J8" s="41">
        <v>7</v>
      </c>
      <c r="K8" s="41">
        <f>'Detailed Results'!H8</f>
        <v>7</v>
      </c>
      <c r="L8" s="42">
        <v>0.96422764227642299</v>
      </c>
      <c r="M8" s="42">
        <f t="shared" si="7"/>
        <v>0.77777777777777779</v>
      </c>
      <c r="N8" s="42">
        <v>0.88181818181818195</v>
      </c>
      <c r="O8" s="43">
        <f>'Detailed Results'!I8</f>
        <v>12</v>
      </c>
      <c r="P8" s="43">
        <f>'Detailed Results'!J8</f>
        <v>12</v>
      </c>
      <c r="Q8" s="44">
        <f t="shared" si="0"/>
        <v>1</v>
      </c>
      <c r="R8" s="44">
        <f t="shared" si="9"/>
        <v>0.66666666666666663</v>
      </c>
      <c r="S8" s="44">
        <f t="shared" si="1"/>
        <v>0.8</v>
      </c>
      <c r="T8" s="45">
        <f>'Detailed Results'!K8</f>
        <v>7</v>
      </c>
      <c r="U8" s="45">
        <f>'Detailed Results'!L8</f>
        <v>5</v>
      </c>
      <c r="V8" s="46">
        <f t="shared" si="2"/>
        <v>0.7142857142857143</v>
      </c>
      <c r="W8" s="46">
        <f t="shared" si="10"/>
        <v>0.55555555555555558</v>
      </c>
      <c r="X8" s="46">
        <f t="shared" si="3"/>
        <v>0.62500000000000011</v>
      </c>
      <c r="Y8" s="47">
        <f>'Detailed Results'!M8</f>
        <v>12</v>
      </c>
      <c r="Z8" s="47">
        <f>'Detailed Results'!N8</f>
        <v>12</v>
      </c>
      <c r="AA8" s="48">
        <f t="shared" si="4"/>
        <v>1</v>
      </c>
      <c r="AB8" s="48">
        <f t="shared" si="11"/>
        <v>0.66666666666666663</v>
      </c>
      <c r="AC8" s="48">
        <f t="shared" si="5"/>
        <v>0.8</v>
      </c>
    </row>
    <row r="9" spans="1:29" ht="15" customHeight="1" thickBot="1" x14ac:dyDescent="0.4">
      <c r="A9" s="185"/>
      <c r="B9" s="10" t="s">
        <v>15</v>
      </c>
      <c r="C9" s="11" t="s">
        <v>16</v>
      </c>
      <c r="D9" s="11">
        <v>2</v>
      </c>
      <c r="E9" s="10" t="s">
        <v>109</v>
      </c>
      <c r="F9" s="40">
        <f>'GT Input'!C4</f>
        <v>9</v>
      </c>
      <c r="G9" s="40">
        <f>'GT Input'!D4</f>
        <v>18</v>
      </c>
      <c r="H9" s="40">
        <f>'GT Input'!E4</f>
        <v>9</v>
      </c>
      <c r="I9" s="40">
        <f>'GT Input'!F4</f>
        <v>18</v>
      </c>
      <c r="J9" s="41">
        <v>5</v>
      </c>
      <c r="K9" s="41">
        <f>'Detailed Results'!H9</f>
        <v>5</v>
      </c>
      <c r="L9" s="42">
        <v>0.98064266356949303</v>
      </c>
      <c r="M9" s="42">
        <f t="shared" si="7"/>
        <v>0.55555555555555558</v>
      </c>
      <c r="N9" s="42">
        <v>0.90695808256783905</v>
      </c>
      <c r="O9" s="43">
        <f>'Detailed Results'!I9</f>
        <v>12</v>
      </c>
      <c r="P9" s="43">
        <f>'Detailed Results'!J9</f>
        <v>12</v>
      </c>
      <c r="Q9" s="44">
        <f t="shared" si="0"/>
        <v>1</v>
      </c>
      <c r="R9" s="44">
        <f t="shared" si="9"/>
        <v>0.66666666666666663</v>
      </c>
      <c r="S9" s="44">
        <f t="shared" si="1"/>
        <v>0.8</v>
      </c>
      <c r="T9" s="45">
        <f>'Detailed Results'!K9</f>
        <v>5</v>
      </c>
      <c r="U9" s="45">
        <f>'Detailed Results'!L9</f>
        <v>3</v>
      </c>
      <c r="V9" s="46">
        <f t="shared" si="2"/>
        <v>0.6</v>
      </c>
      <c r="W9" s="46">
        <f>IFERROR(U9/H9,"")</f>
        <v>0.33333333333333331</v>
      </c>
      <c r="X9" s="46">
        <f t="shared" si="3"/>
        <v>0.42857142857142855</v>
      </c>
      <c r="Y9" s="47">
        <f>'Detailed Results'!M9</f>
        <v>12</v>
      </c>
      <c r="Z9" s="47">
        <f>'Detailed Results'!N9</f>
        <v>12</v>
      </c>
      <c r="AA9" s="48">
        <f t="shared" si="4"/>
        <v>1</v>
      </c>
      <c r="AB9" s="48">
        <f t="shared" si="11"/>
        <v>0.66666666666666663</v>
      </c>
      <c r="AC9" s="48">
        <f t="shared" si="5"/>
        <v>0.8</v>
      </c>
    </row>
    <row r="10" spans="1:29" ht="15" customHeight="1" thickBot="1" x14ac:dyDescent="0.4">
      <c r="A10" s="185"/>
      <c r="B10" s="7" t="s">
        <v>15</v>
      </c>
      <c r="C10" s="8" t="s">
        <v>16</v>
      </c>
      <c r="D10" s="8">
        <v>3</v>
      </c>
      <c r="E10" s="7" t="s">
        <v>17</v>
      </c>
      <c r="F10" s="40">
        <f>'GT Input'!C4</f>
        <v>9</v>
      </c>
      <c r="G10" s="40">
        <f>'GT Input'!D4</f>
        <v>18</v>
      </c>
      <c r="H10" s="40">
        <f>'GT Input'!E4</f>
        <v>9</v>
      </c>
      <c r="I10" s="40">
        <f>'GT Input'!F4</f>
        <v>18</v>
      </c>
      <c r="J10" s="41">
        <v>7</v>
      </c>
      <c r="K10" s="41">
        <f>'Detailed Results'!H10</f>
        <v>7</v>
      </c>
      <c r="L10" s="42">
        <v>0.97333333333333305</v>
      </c>
      <c r="M10" s="42">
        <f t="shared" si="7"/>
        <v>0.77777777777777779</v>
      </c>
      <c r="N10" s="42">
        <v>0.90369859307359302</v>
      </c>
      <c r="O10" s="43">
        <f>'Detailed Results'!I10</f>
        <v>12</v>
      </c>
      <c r="P10" s="43">
        <f>'Detailed Results'!J10</f>
        <v>12</v>
      </c>
      <c r="Q10" s="44">
        <f t="shared" si="0"/>
        <v>1</v>
      </c>
      <c r="R10" s="44">
        <f t="shared" si="9"/>
        <v>0.66666666666666663</v>
      </c>
      <c r="S10" s="44">
        <f t="shared" si="1"/>
        <v>0.8</v>
      </c>
      <c r="T10" s="45">
        <f>'Detailed Results'!K10</f>
        <v>7</v>
      </c>
      <c r="U10" s="45">
        <f>'Detailed Results'!L10</f>
        <v>5</v>
      </c>
      <c r="V10" s="46">
        <f t="shared" si="2"/>
        <v>0.7142857142857143</v>
      </c>
      <c r="W10" s="46">
        <f t="shared" si="10"/>
        <v>0.55555555555555558</v>
      </c>
      <c r="X10" s="46">
        <f t="shared" si="3"/>
        <v>0.62500000000000011</v>
      </c>
      <c r="Y10" s="47">
        <f>'Detailed Results'!M10</f>
        <v>12</v>
      </c>
      <c r="Z10" s="47">
        <f>'Detailed Results'!N10</f>
        <v>12</v>
      </c>
      <c r="AA10" s="48">
        <f t="shared" si="4"/>
        <v>1</v>
      </c>
      <c r="AB10" s="48">
        <f t="shared" si="11"/>
        <v>0.66666666666666663</v>
      </c>
      <c r="AC10" s="48">
        <f t="shared" si="5"/>
        <v>0.8</v>
      </c>
    </row>
    <row r="11" spans="1:29" ht="15" customHeight="1" thickBot="1" x14ac:dyDescent="0.4">
      <c r="A11" s="185"/>
      <c r="B11" s="7" t="s">
        <v>15</v>
      </c>
      <c r="C11" s="8" t="s">
        <v>16</v>
      </c>
      <c r="D11" s="8">
        <v>3</v>
      </c>
      <c r="E11" s="7" t="s">
        <v>109</v>
      </c>
      <c r="F11" s="40">
        <f>'GT Input'!C4</f>
        <v>9</v>
      </c>
      <c r="G11" s="40">
        <f>'GT Input'!D4</f>
        <v>18</v>
      </c>
      <c r="H11" s="40">
        <f>'GT Input'!E4</f>
        <v>9</v>
      </c>
      <c r="I11" s="40">
        <f>'GT Input'!F4</f>
        <v>18</v>
      </c>
      <c r="J11" s="41">
        <v>5</v>
      </c>
      <c r="K11" s="41">
        <v>3</v>
      </c>
      <c r="L11" s="42">
        <f t="shared" si="6"/>
        <v>0.6</v>
      </c>
      <c r="M11" s="42">
        <f t="shared" si="7"/>
        <v>0.33333333333333331</v>
      </c>
      <c r="N11" s="42">
        <f t="shared" si="8"/>
        <v>0.42857142857142855</v>
      </c>
      <c r="O11" s="43">
        <f>'Detailed Results'!I11</f>
        <v>12</v>
      </c>
      <c r="P11" s="43">
        <f>'Detailed Results'!J11</f>
        <v>12</v>
      </c>
      <c r="Q11" s="44">
        <f t="shared" si="0"/>
        <v>1</v>
      </c>
      <c r="R11" s="44">
        <f t="shared" si="9"/>
        <v>0.66666666666666663</v>
      </c>
      <c r="S11" s="44">
        <f t="shared" si="1"/>
        <v>0.8</v>
      </c>
      <c r="T11" s="45">
        <f>'Detailed Results'!K11</f>
        <v>5</v>
      </c>
      <c r="U11" s="45">
        <f>'Detailed Results'!L11</f>
        <v>5</v>
      </c>
      <c r="V11" s="46">
        <f t="shared" si="2"/>
        <v>1</v>
      </c>
      <c r="W11" s="46">
        <f t="shared" si="10"/>
        <v>0.55555555555555558</v>
      </c>
      <c r="X11" s="46">
        <f t="shared" si="3"/>
        <v>0.7142857142857143</v>
      </c>
      <c r="Y11" s="47">
        <f>'Detailed Results'!M11</f>
        <v>12</v>
      </c>
      <c r="Z11" s="47">
        <f>'Detailed Results'!N11</f>
        <v>12</v>
      </c>
      <c r="AA11" s="48">
        <f t="shared" si="4"/>
        <v>1</v>
      </c>
      <c r="AB11" s="48">
        <f t="shared" si="11"/>
        <v>0.66666666666666663</v>
      </c>
      <c r="AC11" s="48">
        <f t="shared" si="5"/>
        <v>0.8</v>
      </c>
    </row>
    <row r="12" spans="1:29" ht="15" customHeight="1" thickBot="1" x14ac:dyDescent="0.4">
      <c r="A12" s="185"/>
      <c r="B12" s="10" t="s">
        <v>15</v>
      </c>
      <c r="C12" s="11" t="s">
        <v>19</v>
      </c>
      <c r="D12" s="11">
        <v>1</v>
      </c>
      <c r="E12" s="10" t="s">
        <v>17</v>
      </c>
      <c r="F12" s="40">
        <f>'GT Input'!C4</f>
        <v>9</v>
      </c>
      <c r="G12" s="40">
        <f>'GT Input'!D4</f>
        <v>18</v>
      </c>
      <c r="H12" s="40">
        <f>'GT Input'!E4</f>
        <v>9</v>
      </c>
      <c r="I12" s="40">
        <f>'GT Input'!F4</f>
        <v>18</v>
      </c>
      <c r="J12" s="41">
        <v>7</v>
      </c>
      <c r="K12" s="41">
        <v>7</v>
      </c>
      <c r="L12" s="42">
        <f t="shared" si="6"/>
        <v>1</v>
      </c>
      <c r="M12" s="42">
        <f t="shared" si="7"/>
        <v>0.77777777777777779</v>
      </c>
      <c r="N12" s="42">
        <f t="shared" si="8"/>
        <v>0.87500000000000011</v>
      </c>
      <c r="O12" s="43">
        <f>'Detailed Results'!I12</f>
        <v>12</v>
      </c>
      <c r="P12" s="43">
        <f>'Detailed Results'!J12</f>
        <v>12</v>
      </c>
      <c r="Q12" s="44">
        <f t="shared" si="0"/>
        <v>1</v>
      </c>
      <c r="R12" s="44">
        <f t="shared" si="9"/>
        <v>0.66666666666666663</v>
      </c>
      <c r="S12" s="44">
        <f t="shared" si="1"/>
        <v>0.8</v>
      </c>
      <c r="T12" s="45">
        <f>'Detailed Results'!K12</f>
        <v>7</v>
      </c>
      <c r="U12" s="45">
        <f>'Detailed Results'!L12</f>
        <v>5</v>
      </c>
      <c r="V12" s="46">
        <f t="shared" si="2"/>
        <v>0.7142857142857143</v>
      </c>
      <c r="W12" s="46">
        <f t="shared" si="10"/>
        <v>0.55555555555555558</v>
      </c>
      <c r="X12" s="46">
        <f t="shared" si="3"/>
        <v>0.62500000000000011</v>
      </c>
      <c r="Y12" s="47">
        <f>'Detailed Results'!M12</f>
        <v>12</v>
      </c>
      <c r="Z12" s="47">
        <f>'Detailed Results'!N12</f>
        <v>12</v>
      </c>
      <c r="AA12" s="48">
        <f t="shared" si="4"/>
        <v>1</v>
      </c>
      <c r="AB12" s="48">
        <f t="shared" si="11"/>
        <v>0.66666666666666663</v>
      </c>
      <c r="AC12" s="48">
        <f t="shared" si="5"/>
        <v>0.8</v>
      </c>
    </row>
    <row r="13" spans="1:29" ht="15" customHeight="1" thickBot="1" x14ac:dyDescent="0.4">
      <c r="A13" s="185"/>
      <c r="B13" s="10" t="s">
        <v>15</v>
      </c>
      <c r="C13" s="11" t="s">
        <v>19</v>
      </c>
      <c r="D13" s="11">
        <v>1</v>
      </c>
      <c r="E13" s="10" t="s">
        <v>109</v>
      </c>
      <c r="F13" s="40">
        <f>'GT Input'!C4</f>
        <v>9</v>
      </c>
      <c r="G13" s="40">
        <f>'GT Input'!D4</f>
        <v>18</v>
      </c>
      <c r="H13" s="40">
        <f>'GT Input'!E4</f>
        <v>9</v>
      </c>
      <c r="I13" s="40">
        <f>'GT Input'!F4</f>
        <v>18</v>
      </c>
      <c r="J13" s="41">
        <v>7</v>
      </c>
      <c r="K13" s="41">
        <v>7</v>
      </c>
      <c r="L13" s="42">
        <f t="shared" si="6"/>
        <v>1</v>
      </c>
      <c r="M13" s="42">
        <f t="shared" si="7"/>
        <v>0.77777777777777779</v>
      </c>
      <c r="N13" s="42">
        <f t="shared" si="8"/>
        <v>0.87500000000000011</v>
      </c>
      <c r="O13" s="43">
        <f>'Detailed Results'!I13</f>
        <v>12</v>
      </c>
      <c r="P13" s="43">
        <f>'Detailed Results'!J13</f>
        <v>12</v>
      </c>
      <c r="Q13" s="44">
        <f t="shared" si="0"/>
        <v>1</v>
      </c>
      <c r="R13" s="44">
        <f t="shared" si="9"/>
        <v>0.66666666666666663</v>
      </c>
      <c r="S13" s="44">
        <f t="shared" si="1"/>
        <v>0.8</v>
      </c>
      <c r="T13" s="45">
        <f>'Detailed Results'!K13</f>
        <v>7</v>
      </c>
      <c r="U13" s="45">
        <f>'Detailed Results'!L13</f>
        <v>5</v>
      </c>
      <c r="V13" s="46">
        <f t="shared" si="2"/>
        <v>0.7142857142857143</v>
      </c>
      <c r="W13" s="46">
        <f t="shared" si="10"/>
        <v>0.55555555555555558</v>
      </c>
      <c r="X13" s="46">
        <f t="shared" si="3"/>
        <v>0.62500000000000011</v>
      </c>
      <c r="Y13" s="47">
        <f>'Detailed Results'!M13</f>
        <v>12</v>
      </c>
      <c r="Z13" s="47">
        <f>'Detailed Results'!N13</f>
        <v>12</v>
      </c>
      <c r="AA13" s="48">
        <f t="shared" si="4"/>
        <v>1</v>
      </c>
      <c r="AB13" s="48">
        <f t="shared" si="11"/>
        <v>0.66666666666666663</v>
      </c>
      <c r="AC13" s="48">
        <f t="shared" si="5"/>
        <v>0.8</v>
      </c>
    </row>
    <row r="14" spans="1:29" ht="15" customHeight="1" thickBot="1" x14ac:dyDescent="0.4">
      <c r="A14" s="185"/>
      <c r="B14" s="7" t="s">
        <v>15</v>
      </c>
      <c r="C14" s="8" t="s">
        <v>19</v>
      </c>
      <c r="D14" s="8">
        <v>2</v>
      </c>
      <c r="E14" s="7" t="s">
        <v>17</v>
      </c>
      <c r="F14" s="40">
        <f>'GT Input'!C4</f>
        <v>9</v>
      </c>
      <c r="G14" s="40">
        <f>'GT Input'!D4</f>
        <v>18</v>
      </c>
      <c r="H14" s="40">
        <f>'GT Input'!E4</f>
        <v>9</v>
      </c>
      <c r="I14" s="40">
        <f>'GT Input'!F4</f>
        <v>18</v>
      </c>
      <c r="J14" s="41">
        <v>5</v>
      </c>
      <c r="K14" s="41">
        <v>3</v>
      </c>
      <c r="L14" s="42">
        <f t="shared" si="6"/>
        <v>0.6</v>
      </c>
      <c r="M14" s="42">
        <f t="shared" si="7"/>
        <v>0.33333333333333331</v>
      </c>
      <c r="N14" s="42">
        <f t="shared" si="8"/>
        <v>0.42857142857142855</v>
      </c>
      <c r="O14" s="43">
        <f>'Detailed Results'!I14</f>
        <v>12</v>
      </c>
      <c r="P14" s="43">
        <f>'Detailed Results'!J14</f>
        <v>12</v>
      </c>
      <c r="Q14" s="44">
        <f t="shared" si="0"/>
        <v>1</v>
      </c>
      <c r="R14" s="44">
        <f t="shared" si="9"/>
        <v>0.66666666666666663</v>
      </c>
      <c r="S14" s="44">
        <f t="shared" si="1"/>
        <v>0.8</v>
      </c>
      <c r="T14" s="45">
        <f>'Detailed Results'!K14</f>
        <v>5</v>
      </c>
      <c r="U14" s="45">
        <f>'Detailed Results'!L14</f>
        <v>5</v>
      </c>
      <c r="V14" s="46">
        <f t="shared" si="2"/>
        <v>1</v>
      </c>
      <c r="W14" s="46">
        <f t="shared" si="10"/>
        <v>0.55555555555555558</v>
      </c>
      <c r="X14" s="46">
        <f t="shared" si="3"/>
        <v>0.7142857142857143</v>
      </c>
      <c r="Y14" s="47">
        <f>'Detailed Results'!M14</f>
        <v>12</v>
      </c>
      <c r="Z14" s="47">
        <f>'Detailed Results'!N14</f>
        <v>12</v>
      </c>
      <c r="AA14" s="48">
        <f t="shared" si="4"/>
        <v>1</v>
      </c>
      <c r="AB14" s="48">
        <f t="shared" si="11"/>
        <v>0.66666666666666663</v>
      </c>
      <c r="AC14" s="48">
        <f t="shared" si="5"/>
        <v>0.8</v>
      </c>
    </row>
    <row r="15" spans="1:29" ht="15" customHeight="1" thickBot="1" x14ac:dyDescent="0.4">
      <c r="A15" s="185"/>
      <c r="B15" s="7" t="s">
        <v>15</v>
      </c>
      <c r="C15" s="8" t="s">
        <v>19</v>
      </c>
      <c r="D15" s="8">
        <v>2</v>
      </c>
      <c r="E15" s="7" t="s">
        <v>109</v>
      </c>
      <c r="F15" s="40">
        <f>'GT Input'!C4</f>
        <v>9</v>
      </c>
      <c r="G15" s="40">
        <f>'GT Input'!D4</f>
        <v>18</v>
      </c>
      <c r="H15" s="40">
        <f>'GT Input'!E4</f>
        <v>9</v>
      </c>
      <c r="I15" s="40">
        <f>'GT Input'!F4</f>
        <v>18</v>
      </c>
      <c r="J15" s="41">
        <v>7</v>
      </c>
      <c r="K15" s="41">
        <v>7</v>
      </c>
      <c r="L15" s="42">
        <f t="shared" si="6"/>
        <v>1</v>
      </c>
      <c r="M15" s="42">
        <f t="shared" si="7"/>
        <v>0.77777777777777779</v>
      </c>
      <c r="N15" s="42">
        <f t="shared" si="8"/>
        <v>0.87500000000000011</v>
      </c>
      <c r="O15" s="43">
        <f>'Detailed Results'!I15</f>
        <v>12</v>
      </c>
      <c r="P15" s="43">
        <f>'Detailed Results'!J15</f>
        <v>12</v>
      </c>
      <c r="Q15" s="44">
        <f t="shared" si="0"/>
        <v>1</v>
      </c>
      <c r="R15" s="44">
        <f t="shared" si="9"/>
        <v>0.66666666666666663</v>
      </c>
      <c r="S15" s="44">
        <f t="shared" si="1"/>
        <v>0.8</v>
      </c>
      <c r="T15" s="45">
        <f>'Detailed Results'!K15</f>
        <v>7</v>
      </c>
      <c r="U15" s="45">
        <f>'Detailed Results'!L15</f>
        <v>5</v>
      </c>
      <c r="V15" s="46">
        <f t="shared" si="2"/>
        <v>0.7142857142857143</v>
      </c>
      <c r="W15" s="46">
        <f t="shared" si="10"/>
        <v>0.55555555555555558</v>
      </c>
      <c r="X15" s="46">
        <f t="shared" si="3"/>
        <v>0.62500000000000011</v>
      </c>
      <c r="Y15" s="47">
        <f>'Detailed Results'!M15</f>
        <v>12</v>
      </c>
      <c r="Z15" s="47">
        <f>'Detailed Results'!N15</f>
        <v>12</v>
      </c>
      <c r="AA15" s="48">
        <f t="shared" si="4"/>
        <v>1</v>
      </c>
      <c r="AB15" s="48">
        <f t="shared" si="11"/>
        <v>0.66666666666666663</v>
      </c>
      <c r="AC15" s="48">
        <f t="shared" si="5"/>
        <v>0.8</v>
      </c>
    </row>
    <row r="16" spans="1:29" ht="15" customHeight="1" thickBot="1" x14ac:dyDescent="0.4">
      <c r="A16" s="185"/>
      <c r="B16" s="10" t="s">
        <v>15</v>
      </c>
      <c r="C16" s="11" t="s">
        <v>19</v>
      </c>
      <c r="D16" s="11">
        <v>3</v>
      </c>
      <c r="E16" s="10" t="s">
        <v>17</v>
      </c>
      <c r="F16" s="40">
        <f>'GT Input'!C4</f>
        <v>9</v>
      </c>
      <c r="G16" s="40">
        <f>'GT Input'!D4</f>
        <v>18</v>
      </c>
      <c r="H16" s="40">
        <f>'GT Input'!E4</f>
        <v>9</v>
      </c>
      <c r="I16" s="40">
        <f>'GT Input'!F4</f>
        <v>18</v>
      </c>
      <c r="J16" s="41">
        <v>5</v>
      </c>
      <c r="K16" s="41">
        <v>3</v>
      </c>
      <c r="L16" s="42">
        <f t="shared" si="6"/>
        <v>0.6</v>
      </c>
      <c r="M16" s="42">
        <f t="shared" si="7"/>
        <v>0.33333333333333331</v>
      </c>
      <c r="N16" s="42">
        <f t="shared" si="8"/>
        <v>0.42857142857142855</v>
      </c>
      <c r="O16" s="43">
        <f>'Detailed Results'!I16</f>
        <v>12</v>
      </c>
      <c r="P16" s="43">
        <f>'Detailed Results'!J16</f>
        <v>12</v>
      </c>
      <c r="Q16" s="44">
        <f t="shared" si="0"/>
        <v>1</v>
      </c>
      <c r="R16" s="44">
        <f t="shared" si="9"/>
        <v>0.66666666666666663</v>
      </c>
      <c r="S16" s="44">
        <f t="shared" si="1"/>
        <v>0.8</v>
      </c>
      <c r="T16" s="45">
        <f>'Detailed Results'!K16</f>
        <v>5</v>
      </c>
      <c r="U16" s="45">
        <f>'Detailed Results'!L16</f>
        <v>5</v>
      </c>
      <c r="V16" s="46">
        <f t="shared" si="2"/>
        <v>1</v>
      </c>
      <c r="W16" s="46">
        <f t="shared" si="10"/>
        <v>0.55555555555555558</v>
      </c>
      <c r="X16" s="46">
        <f t="shared" si="3"/>
        <v>0.7142857142857143</v>
      </c>
      <c r="Y16" s="47">
        <f>'Detailed Results'!M16</f>
        <v>12</v>
      </c>
      <c r="Z16" s="47">
        <f>'Detailed Results'!N16</f>
        <v>12</v>
      </c>
      <c r="AA16" s="48">
        <f t="shared" si="4"/>
        <v>1</v>
      </c>
      <c r="AB16" s="48">
        <f t="shared" si="11"/>
        <v>0.66666666666666663</v>
      </c>
      <c r="AC16" s="48">
        <f t="shared" si="5"/>
        <v>0.8</v>
      </c>
    </row>
    <row r="17" spans="1:29" ht="15" customHeight="1" thickBot="1" x14ac:dyDescent="0.4">
      <c r="A17" s="185"/>
      <c r="B17" s="10" t="s">
        <v>15</v>
      </c>
      <c r="C17" s="11" t="s">
        <v>19</v>
      </c>
      <c r="D17" s="11">
        <v>3</v>
      </c>
      <c r="E17" s="10" t="s">
        <v>109</v>
      </c>
      <c r="F17" s="40">
        <f>'GT Input'!C4</f>
        <v>9</v>
      </c>
      <c r="G17" s="40">
        <f>'GT Input'!D4</f>
        <v>18</v>
      </c>
      <c r="H17" s="40">
        <f>'GT Input'!E4</f>
        <v>9</v>
      </c>
      <c r="I17" s="40">
        <f>'GT Input'!F4</f>
        <v>18</v>
      </c>
      <c r="J17" s="41">
        <v>7</v>
      </c>
      <c r="K17" s="41">
        <v>7</v>
      </c>
      <c r="L17" s="42">
        <f t="shared" si="6"/>
        <v>1</v>
      </c>
      <c r="M17" s="42">
        <f t="shared" si="7"/>
        <v>0.77777777777777779</v>
      </c>
      <c r="N17" s="42">
        <f t="shared" si="8"/>
        <v>0.87500000000000011</v>
      </c>
      <c r="O17" s="43">
        <f>'Detailed Results'!I17</f>
        <v>12</v>
      </c>
      <c r="P17" s="43">
        <f>'Detailed Results'!J17</f>
        <v>12</v>
      </c>
      <c r="Q17" s="44">
        <f t="shared" si="0"/>
        <v>1</v>
      </c>
      <c r="R17" s="44">
        <f t="shared" si="9"/>
        <v>0.66666666666666663</v>
      </c>
      <c r="S17" s="44">
        <f t="shared" si="1"/>
        <v>0.8</v>
      </c>
      <c r="T17" s="45">
        <f>'Detailed Results'!K17</f>
        <v>7</v>
      </c>
      <c r="U17" s="45">
        <f>'Detailed Results'!L17</f>
        <v>5</v>
      </c>
      <c r="V17" s="46">
        <f t="shared" si="2"/>
        <v>0.7142857142857143</v>
      </c>
      <c r="W17" s="46">
        <f t="shared" si="10"/>
        <v>0.55555555555555558</v>
      </c>
      <c r="X17" s="46">
        <f t="shared" si="3"/>
        <v>0.62500000000000011</v>
      </c>
      <c r="Y17" s="47">
        <f>'Detailed Results'!M17</f>
        <v>12</v>
      </c>
      <c r="Z17" s="47">
        <f>'Detailed Results'!N17</f>
        <v>12</v>
      </c>
      <c r="AA17" s="48">
        <f t="shared" si="4"/>
        <v>1</v>
      </c>
      <c r="AB17" s="48">
        <f t="shared" si="11"/>
        <v>0.66666666666666663</v>
      </c>
      <c r="AC17" s="48">
        <f t="shared" si="5"/>
        <v>0.8</v>
      </c>
    </row>
    <row r="18" spans="1:29" ht="15" customHeight="1" thickBot="1" x14ac:dyDescent="0.4">
      <c r="A18" s="185"/>
      <c r="B18" s="7" t="s">
        <v>15</v>
      </c>
      <c r="C18" s="8" t="s">
        <v>20</v>
      </c>
      <c r="D18" s="8">
        <v>1</v>
      </c>
      <c r="E18" s="7" t="s">
        <v>17</v>
      </c>
      <c r="F18" s="40">
        <f>'GT Input'!C4</f>
        <v>9</v>
      </c>
      <c r="G18" s="40">
        <f>'GT Input'!D4</f>
        <v>18</v>
      </c>
      <c r="H18" s="40">
        <f>'GT Input'!E4</f>
        <v>9</v>
      </c>
      <c r="I18" s="40">
        <f>'GT Input'!F4</f>
        <v>18</v>
      </c>
      <c r="J18" s="41">
        <v>5</v>
      </c>
      <c r="K18" s="41">
        <v>3</v>
      </c>
      <c r="L18" s="42">
        <f t="shared" si="6"/>
        <v>0.6</v>
      </c>
      <c r="M18" s="42">
        <f t="shared" si="7"/>
        <v>0.33333333333333331</v>
      </c>
      <c r="N18" s="42">
        <f t="shared" si="8"/>
        <v>0.42857142857142855</v>
      </c>
      <c r="O18" s="43">
        <f>'Detailed Results'!I18</f>
        <v>12</v>
      </c>
      <c r="P18" s="43">
        <f>'Detailed Results'!J18</f>
        <v>12</v>
      </c>
      <c r="Q18" s="44">
        <f t="shared" si="0"/>
        <v>1</v>
      </c>
      <c r="R18" s="44">
        <f t="shared" si="9"/>
        <v>0.66666666666666663</v>
      </c>
      <c r="S18" s="44">
        <f t="shared" si="1"/>
        <v>0.8</v>
      </c>
      <c r="T18" s="45">
        <f>'Detailed Results'!K18</f>
        <v>5</v>
      </c>
      <c r="U18" s="45">
        <f>'Detailed Results'!L18</f>
        <v>5</v>
      </c>
      <c r="V18" s="46">
        <f t="shared" si="2"/>
        <v>1</v>
      </c>
      <c r="W18" s="46">
        <f t="shared" si="10"/>
        <v>0.55555555555555558</v>
      </c>
      <c r="X18" s="46">
        <f t="shared" si="3"/>
        <v>0.7142857142857143</v>
      </c>
      <c r="Y18" s="47">
        <f>'Detailed Results'!M18</f>
        <v>12</v>
      </c>
      <c r="Z18" s="47">
        <f>'Detailed Results'!N18</f>
        <v>12</v>
      </c>
      <c r="AA18" s="48">
        <f t="shared" si="4"/>
        <v>1</v>
      </c>
      <c r="AB18" s="48">
        <f t="shared" si="11"/>
        <v>0.66666666666666663</v>
      </c>
      <c r="AC18" s="48">
        <f t="shared" si="5"/>
        <v>0.8</v>
      </c>
    </row>
    <row r="19" spans="1:29" ht="15" customHeight="1" thickBot="1" x14ac:dyDescent="0.4">
      <c r="A19" s="185"/>
      <c r="B19" s="7" t="s">
        <v>15</v>
      </c>
      <c r="C19" s="8" t="s">
        <v>20</v>
      </c>
      <c r="D19" s="8">
        <v>1</v>
      </c>
      <c r="E19" s="7" t="s">
        <v>109</v>
      </c>
      <c r="F19" s="40">
        <f>'GT Input'!C4</f>
        <v>9</v>
      </c>
      <c r="G19" s="40">
        <f>'GT Input'!D4</f>
        <v>18</v>
      </c>
      <c r="H19" s="40">
        <f>'GT Input'!E4</f>
        <v>9</v>
      </c>
      <c r="I19" s="40">
        <f>'GT Input'!F4</f>
        <v>18</v>
      </c>
      <c r="J19" s="41">
        <v>7</v>
      </c>
      <c r="K19" s="41">
        <v>7</v>
      </c>
      <c r="L19" s="42">
        <f t="shared" si="6"/>
        <v>1</v>
      </c>
      <c r="M19" s="42">
        <f t="shared" si="7"/>
        <v>0.77777777777777779</v>
      </c>
      <c r="N19" s="42">
        <f t="shared" si="8"/>
        <v>0.87500000000000011</v>
      </c>
      <c r="O19" s="43">
        <f>'Detailed Results'!I19</f>
        <v>12</v>
      </c>
      <c r="P19" s="43">
        <f>'Detailed Results'!J19</f>
        <v>12</v>
      </c>
      <c r="Q19" s="44">
        <f t="shared" si="0"/>
        <v>1</v>
      </c>
      <c r="R19" s="44">
        <f t="shared" si="9"/>
        <v>0.66666666666666663</v>
      </c>
      <c r="S19" s="44">
        <f t="shared" si="1"/>
        <v>0.8</v>
      </c>
      <c r="T19" s="45">
        <f>'Detailed Results'!K19</f>
        <v>7</v>
      </c>
      <c r="U19" s="45">
        <f>'Detailed Results'!L19</f>
        <v>5</v>
      </c>
      <c r="V19" s="46">
        <f t="shared" si="2"/>
        <v>0.7142857142857143</v>
      </c>
      <c r="W19" s="46">
        <f t="shared" si="10"/>
        <v>0.55555555555555558</v>
      </c>
      <c r="X19" s="46">
        <f t="shared" si="3"/>
        <v>0.62500000000000011</v>
      </c>
      <c r="Y19" s="47">
        <f>'Detailed Results'!M19</f>
        <v>12</v>
      </c>
      <c r="Z19" s="47">
        <f>'Detailed Results'!N19</f>
        <v>12</v>
      </c>
      <c r="AA19" s="48">
        <f t="shared" si="4"/>
        <v>1</v>
      </c>
      <c r="AB19" s="48">
        <f t="shared" si="11"/>
        <v>0.66666666666666663</v>
      </c>
      <c r="AC19" s="48">
        <f t="shared" si="5"/>
        <v>0.8</v>
      </c>
    </row>
    <row r="20" spans="1:29" ht="15" customHeight="1" thickBot="1" x14ac:dyDescent="0.4">
      <c r="A20" s="185"/>
      <c r="B20" s="10" t="s">
        <v>15</v>
      </c>
      <c r="C20" s="11" t="s">
        <v>20</v>
      </c>
      <c r="D20" s="11">
        <v>2</v>
      </c>
      <c r="E20" s="10" t="s">
        <v>17</v>
      </c>
      <c r="F20" s="40">
        <f>'GT Input'!C4</f>
        <v>9</v>
      </c>
      <c r="G20" s="40">
        <f>'GT Input'!D4</f>
        <v>18</v>
      </c>
      <c r="H20" s="40">
        <f>'GT Input'!E4</f>
        <v>9</v>
      </c>
      <c r="I20" s="40">
        <f>'GT Input'!F4</f>
        <v>18</v>
      </c>
      <c r="J20" s="41">
        <v>5</v>
      </c>
      <c r="K20" s="41">
        <v>3</v>
      </c>
      <c r="L20" s="42">
        <f t="shared" si="6"/>
        <v>0.6</v>
      </c>
      <c r="M20" s="42">
        <f t="shared" si="7"/>
        <v>0.33333333333333331</v>
      </c>
      <c r="N20" s="42">
        <f t="shared" si="8"/>
        <v>0.42857142857142855</v>
      </c>
      <c r="O20" s="43">
        <f>'Detailed Results'!I20</f>
        <v>12</v>
      </c>
      <c r="P20" s="43">
        <f>'Detailed Results'!J20</f>
        <v>12</v>
      </c>
      <c r="Q20" s="44">
        <f t="shared" si="0"/>
        <v>1</v>
      </c>
      <c r="R20" s="44">
        <f t="shared" si="9"/>
        <v>0.66666666666666663</v>
      </c>
      <c r="S20" s="44">
        <f t="shared" si="1"/>
        <v>0.8</v>
      </c>
      <c r="T20" s="45">
        <f>'Detailed Results'!K20</f>
        <v>5</v>
      </c>
      <c r="U20" s="45">
        <f>'Detailed Results'!L20</f>
        <v>5</v>
      </c>
      <c r="V20" s="46">
        <f t="shared" si="2"/>
        <v>1</v>
      </c>
      <c r="W20" s="46">
        <f t="shared" si="10"/>
        <v>0.55555555555555558</v>
      </c>
      <c r="X20" s="46">
        <f t="shared" si="3"/>
        <v>0.7142857142857143</v>
      </c>
      <c r="Y20" s="47">
        <f>'Detailed Results'!M20</f>
        <v>12</v>
      </c>
      <c r="Z20" s="47">
        <f>'Detailed Results'!N20</f>
        <v>12</v>
      </c>
      <c r="AA20" s="48">
        <f t="shared" si="4"/>
        <v>1</v>
      </c>
      <c r="AB20" s="48">
        <f t="shared" si="11"/>
        <v>0.66666666666666663</v>
      </c>
      <c r="AC20" s="48">
        <f t="shared" si="5"/>
        <v>0.8</v>
      </c>
    </row>
    <row r="21" spans="1:29" ht="15" customHeight="1" thickBot="1" x14ac:dyDescent="0.4">
      <c r="A21" s="185"/>
      <c r="B21" s="10" t="s">
        <v>15</v>
      </c>
      <c r="C21" s="11" t="s">
        <v>20</v>
      </c>
      <c r="D21" s="11">
        <v>2</v>
      </c>
      <c r="E21" s="10" t="s">
        <v>109</v>
      </c>
      <c r="F21" s="40">
        <f>'GT Input'!C4</f>
        <v>9</v>
      </c>
      <c r="G21" s="40">
        <f>'GT Input'!D4</f>
        <v>18</v>
      </c>
      <c r="H21" s="40">
        <f>'GT Input'!E4</f>
        <v>9</v>
      </c>
      <c r="I21" s="40">
        <f>'GT Input'!F4</f>
        <v>18</v>
      </c>
      <c r="J21" s="41">
        <v>7</v>
      </c>
      <c r="K21" s="41">
        <v>7</v>
      </c>
      <c r="L21" s="42">
        <f t="shared" si="6"/>
        <v>1</v>
      </c>
      <c r="M21" s="42">
        <f t="shared" si="7"/>
        <v>0.77777777777777779</v>
      </c>
      <c r="N21" s="42">
        <f t="shared" si="8"/>
        <v>0.87500000000000011</v>
      </c>
      <c r="O21" s="43">
        <f>'Detailed Results'!I21</f>
        <v>12</v>
      </c>
      <c r="P21" s="43">
        <f>'Detailed Results'!J21</f>
        <v>12</v>
      </c>
      <c r="Q21" s="44">
        <f t="shared" si="0"/>
        <v>1</v>
      </c>
      <c r="R21" s="44">
        <f t="shared" si="9"/>
        <v>0.66666666666666663</v>
      </c>
      <c r="S21" s="44">
        <f t="shared" si="1"/>
        <v>0.8</v>
      </c>
      <c r="T21" s="45">
        <f>'Detailed Results'!K21</f>
        <v>7</v>
      </c>
      <c r="U21" s="45">
        <f>'Detailed Results'!L21</f>
        <v>5</v>
      </c>
      <c r="V21" s="46">
        <f t="shared" si="2"/>
        <v>0.7142857142857143</v>
      </c>
      <c r="W21" s="46">
        <f t="shared" si="10"/>
        <v>0.55555555555555558</v>
      </c>
      <c r="X21" s="46">
        <f t="shared" si="3"/>
        <v>0.62500000000000011</v>
      </c>
      <c r="Y21" s="47">
        <f>'Detailed Results'!M21</f>
        <v>12</v>
      </c>
      <c r="Z21" s="47">
        <f>'Detailed Results'!N21</f>
        <v>12</v>
      </c>
      <c r="AA21" s="48">
        <f t="shared" si="4"/>
        <v>1</v>
      </c>
      <c r="AB21" s="48">
        <f t="shared" si="11"/>
        <v>0.66666666666666663</v>
      </c>
      <c r="AC21" s="48">
        <f t="shared" si="5"/>
        <v>0.8</v>
      </c>
    </row>
    <row r="22" spans="1:29" ht="15" customHeight="1" thickBot="1" x14ac:dyDescent="0.4">
      <c r="A22" s="185"/>
      <c r="B22" s="7" t="s">
        <v>15</v>
      </c>
      <c r="C22" s="8" t="s">
        <v>20</v>
      </c>
      <c r="D22" s="8">
        <v>3</v>
      </c>
      <c r="E22" s="7" t="s">
        <v>17</v>
      </c>
      <c r="F22" s="40">
        <f>'GT Input'!C4</f>
        <v>9</v>
      </c>
      <c r="G22" s="40">
        <f>'GT Input'!D4</f>
        <v>18</v>
      </c>
      <c r="H22" s="40">
        <f>'GT Input'!E4</f>
        <v>9</v>
      </c>
      <c r="I22" s="40">
        <f>'GT Input'!F4</f>
        <v>18</v>
      </c>
      <c r="J22" s="41">
        <v>7</v>
      </c>
      <c r="K22" s="41">
        <v>7</v>
      </c>
      <c r="L22" s="42">
        <f t="shared" si="6"/>
        <v>1</v>
      </c>
      <c r="M22" s="42">
        <f t="shared" si="7"/>
        <v>0.77777777777777779</v>
      </c>
      <c r="N22" s="42">
        <f t="shared" si="8"/>
        <v>0.87500000000000011</v>
      </c>
      <c r="O22" s="43">
        <f>'Detailed Results'!I22</f>
        <v>12</v>
      </c>
      <c r="P22" s="43">
        <f>'Detailed Results'!J22</f>
        <v>12</v>
      </c>
      <c r="Q22" s="44">
        <f t="shared" si="0"/>
        <v>1</v>
      </c>
      <c r="R22" s="44">
        <f t="shared" si="9"/>
        <v>0.66666666666666663</v>
      </c>
      <c r="S22" s="44">
        <f t="shared" si="1"/>
        <v>0.8</v>
      </c>
      <c r="T22" s="45">
        <f>'Detailed Results'!K22</f>
        <v>7</v>
      </c>
      <c r="U22" s="45">
        <f>'Detailed Results'!L22</f>
        <v>5</v>
      </c>
      <c r="V22" s="46">
        <f t="shared" si="2"/>
        <v>0.7142857142857143</v>
      </c>
      <c r="W22" s="46">
        <f t="shared" si="10"/>
        <v>0.55555555555555558</v>
      </c>
      <c r="X22" s="46">
        <f t="shared" si="3"/>
        <v>0.62500000000000011</v>
      </c>
      <c r="Y22" s="47">
        <f>'Detailed Results'!M22</f>
        <v>12</v>
      </c>
      <c r="Z22" s="47">
        <f>'Detailed Results'!N22</f>
        <v>12</v>
      </c>
      <c r="AA22" s="48">
        <f t="shared" si="4"/>
        <v>1</v>
      </c>
      <c r="AB22" s="48">
        <f t="shared" si="11"/>
        <v>0.66666666666666663</v>
      </c>
      <c r="AC22" s="48">
        <f t="shared" si="5"/>
        <v>0.8</v>
      </c>
    </row>
    <row r="23" spans="1:29" ht="15" customHeight="1" thickBot="1" x14ac:dyDescent="0.4">
      <c r="A23" s="185"/>
      <c r="B23" s="7" t="s">
        <v>15</v>
      </c>
      <c r="C23" s="8" t="s">
        <v>20</v>
      </c>
      <c r="D23" s="8">
        <v>3</v>
      </c>
      <c r="E23" s="7" t="s">
        <v>109</v>
      </c>
      <c r="F23" s="40">
        <f>'GT Input'!C4</f>
        <v>9</v>
      </c>
      <c r="G23" s="40">
        <f>'GT Input'!D4</f>
        <v>18</v>
      </c>
      <c r="H23" s="40">
        <f>'GT Input'!E4</f>
        <v>9</v>
      </c>
      <c r="I23" s="40">
        <f>'GT Input'!F4</f>
        <v>18</v>
      </c>
      <c r="J23" s="41">
        <v>5</v>
      </c>
      <c r="K23" s="41">
        <v>2</v>
      </c>
      <c r="L23" s="42">
        <f t="shared" si="6"/>
        <v>0.4</v>
      </c>
      <c r="M23" s="42">
        <f t="shared" si="7"/>
        <v>0.22222222222222221</v>
      </c>
      <c r="N23" s="42">
        <f t="shared" si="8"/>
        <v>0.2857142857142857</v>
      </c>
      <c r="O23" s="43">
        <f>'Detailed Results'!I23</f>
        <v>12</v>
      </c>
      <c r="P23" s="43">
        <f>'Detailed Results'!J23</f>
        <v>12</v>
      </c>
      <c r="Q23" s="44">
        <f t="shared" si="0"/>
        <v>1</v>
      </c>
      <c r="R23" s="44">
        <f t="shared" si="9"/>
        <v>0.66666666666666663</v>
      </c>
      <c r="S23" s="44">
        <f t="shared" si="1"/>
        <v>0.8</v>
      </c>
      <c r="T23" s="45">
        <f>'Detailed Results'!K23</f>
        <v>5</v>
      </c>
      <c r="U23" s="45">
        <f>'Detailed Results'!L23</f>
        <v>3</v>
      </c>
      <c r="V23" s="46">
        <f t="shared" si="2"/>
        <v>0.6</v>
      </c>
      <c r="W23" s="46">
        <f t="shared" si="10"/>
        <v>0.33333333333333331</v>
      </c>
      <c r="X23" s="46">
        <f t="shared" si="3"/>
        <v>0.42857142857142855</v>
      </c>
      <c r="Y23" s="47">
        <f>'Detailed Results'!M23</f>
        <v>12</v>
      </c>
      <c r="Z23" s="47">
        <f>'Detailed Results'!N23</f>
        <v>12</v>
      </c>
      <c r="AA23" s="48">
        <f t="shared" si="4"/>
        <v>1</v>
      </c>
      <c r="AB23" s="48">
        <f t="shared" si="11"/>
        <v>0.66666666666666663</v>
      </c>
      <c r="AC23" s="48">
        <f t="shared" si="5"/>
        <v>0.8</v>
      </c>
    </row>
    <row r="24" spans="1:29" ht="15" customHeight="1" thickBot="1" x14ac:dyDescent="0.4">
      <c r="A24" s="185"/>
      <c r="B24" s="12" t="s">
        <v>21</v>
      </c>
      <c r="C24" s="13" t="s">
        <v>16</v>
      </c>
      <c r="D24" s="13">
        <v>1</v>
      </c>
      <c r="E24" s="12" t="s">
        <v>17</v>
      </c>
      <c r="F24" s="40">
        <f>'GT Input'!C4</f>
        <v>9</v>
      </c>
      <c r="G24" s="40">
        <f>'GT Input'!D4</f>
        <v>18</v>
      </c>
      <c r="H24" s="40">
        <f>'GT Input'!E4</f>
        <v>9</v>
      </c>
      <c r="I24" s="40">
        <f>'GT Input'!F4</f>
        <v>18</v>
      </c>
      <c r="J24" s="41">
        <f>'Detailed Results'!G24</f>
        <v>9</v>
      </c>
      <c r="K24" s="41">
        <f>'Detailed Results'!H24</f>
        <v>9</v>
      </c>
      <c r="L24" s="42">
        <f t="shared" si="6"/>
        <v>1</v>
      </c>
      <c r="M24" s="42">
        <f t="shared" si="7"/>
        <v>1</v>
      </c>
      <c r="N24" s="42">
        <f t="shared" si="8"/>
        <v>1</v>
      </c>
      <c r="O24" s="43">
        <f>'Detailed Results'!I24</f>
        <v>18</v>
      </c>
      <c r="P24" s="43">
        <f>'Detailed Results'!J24</f>
        <v>18</v>
      </c>
      <c r="Q24" s="44">
        <f t="shared" si="0"/>
        <v>1</v>
      </c>
      <c r="R24" s="44">
        <f t="shared" si="9"/>
        <v>1</v>
      </c>
      <c r="S24" s="44">
        <f t="shared" si="1"/>
        <v>1</v>
      </c>
      <c r="T24" s="45">
        <f>'Detailed Results'!K24</f>
        <v>9</v>
      </c>
      <c r="U24" s="45">
        <f>'Detailed Results'!L24</f>
        <v>9</v>
      </c>
      <c r="V24" s="46">
        <f t="shared" si="2"/>
        <v>1</v>
      </c>
      <c r="W24" s="46">
        <f t="shared" si="10"/>
        <v>1</v>
      </c>
      <c r="X24" s="46">
        <f t="shared" si="3"/>
        <v>1</v>
      </c>
      <c r="Y24" s="47">
        <f>'Detailed Results'!M24</f>
        <v>18</v>
      </c>
      <c r="Z24" s="47">
        <f>'Detailed Results'!N24</f>
        <v>18</v>
      </c>
      <c r="AA24" s="48">
        <f t="shared" si="4"/>
        <v>1</v>
      </c>
      <c r="AB24" s="48">
        <f t="shared" si="11"/>
        <v>1</v>
      </c>
      <c r="AC24" s="48">
        <f t="shared" si="5"/>
        <v>1</v>
      </c>
    </row>
    <row r="25" spans="1:29" ht="15" customHeight="1" thickBot="1" x14ac:dyDescent="0.4">
      <c r="A25" s="185"/>
      <c r="B25" s="12" t="s">
        <v>21</v>
      </c>
      <c r="C25" s="13" t="s">
        <v>16</v>
      </c>
      <c r="D25" s="13">
        <v>1</v>
      </c>
      <c r="E25" s="12" t="s">
        <v>109</v>
      </c>
      <c r="F25" s="40">
        <f>'GT Input'!C4</f>
        <v>9</v>
      </c>
      <c r="G25" s="40">
        <f>'GT Input'!D4</f>
        <v>18</v>
      </c>
      <c r="H25" s="40">
        <f>'GT Input'!E4</f>
        <v>9</v>
      </c>
      <c r="I25" s="40">
        <f>'GT Input'!F4</f>
        <v>18</v>
      </c>
      <c r="J25" s="41">
        <v>7</v>
      </c>
      <c r="K25" s="41">
        <v>7</v>
      </c>
      <c r="L25" s="42">
        <f t="shared" si="6"/>
        <v>1</v>
      </c>
      <c r="M25" s="42">
        <f t="shared" si="7"/>
        <v>0.77777777777777779</v>
      </c>
      <c r="N25" s="42">
        <f t="shared" si="8"/>
        <v>0.87500000000000011</v>
      </c>
      <c r="O25" s="43">
        <f>'Detailed Results'!I25</f>
        <v>6</v>
      </c>
      <c r="P25" s="43">
        <f>'Detailed Results'!J25</f>
        <v>6</v>
      </c>
      <c r="Q25" s="44">
        <f t="shared" si="0"/>
        <v>1</v>
      </c>
      <c r="R25" s="44">
        <f t="shared" si="9"/>
        <v>0.33333333333333331</v>
      </c>
      <c r="S25" s="44">
        <f t="shared" si="1"/>
        <v>0.5</v>
      </c>
      <c r="T25" s="45">
        <f>'Detailed Results'!K25</f>
        <v>7</v>
      </c>
      <c r="U25" s="45">
        <f>'Detailed Results'!L25</f>
        <v>5</v>
      </c>
      <c r="V25" s="46">
        <f t="shared" si="2"/>
        <v>0.7142857142857143</v>
      </c>
      <c r="W25" s="46">
        <f t="shared" si="10"/>
        <v>0.55555555555555558</v>
      </c>
      <c r="X25" s="46">
        <f t="shared" si="3"/>
        <v>0.62500000000000011</v>
      </c>
      <c r="Y25" s="47">
        <f>'Detailed Results'!M25</f>
        <v>6</v>
      </c>
      <c r="Z25" s="47">
        <f>'Detailed Results'!N25</f>
        <v>6</v>
      </c>
      <c r="AA25" s="48">
        <f t="shared" si="4"/>
        <v>1</v>
      </c>
      <c r="AB25" s="48">
        <f t="shared" si="11"/>
        <v>0.33333333333333331</v>
      </c>
      <c r="AC25" s="48">
        <f t="shared" si="5"/>
        <v>0.5</v>
      </c>
    </row>
    <row r="26" spans="1:29" ht="15" customHeight="1" thickBot="1" x14ac:dyDescent="0.4">
      <c r="A26" s="185"/>
      <c r="B26" s="14" t="s">
        <v>21</v>
      </c>
      <c r="C26" s="15" t="s">
        <v>16</v>
      </c>
      <c r="D26" s="15">
        <v>2</v>
      </c>
      <c r="E26" s="14" t="s">
        <v>17</v>
      </c>
      <c r="F26" s="40">
        <f>'GT Input'!C4</f>
        <v>9</v>
      </c>
      <c r="G26" s="40">
        <f>'GT Input'!D4</f>
        <v>18</v>
      </c>
      <c r="H26" s="40">
        <f>'GT Input'!E4</f>
        <v>9</v>
      </c>
      <c r="I26" s="40">
        <f>'GT Input'!F4</f>
        <v>18</v>
      </c>
      <c r="J26" s="41">
        <v>9</v>
      </c>
      <c r="K26" s="41">
        <v>9</v>
      </c>
      <c r="L26" s="42">
        <f t="shared" si="6"/>
        <v>1</v>
      </c>
      <c r="M26" s="42">
        <f t="shared" si="7"/>
        <v>1</v>
      </c>
      <c r="N26" s="42">
        <f t="shared" si="8"/>
        <v>1</v>
      </c>
      <c r="O26" s="43">
        <f>'Detailed Results'!I26</f>
        <v>18</v>
      </c>
      <c r="P26" s="43">
        <f>'Detailed Results'!J26</f>
        <v>18</v>
      </c>
      <c r="Q26" s="44">
        <f t="shared" si="0"/>
        <v>1</v>
      </c>
      <c r="R26" s="44">
        <f t="shared" si="9"/>
        <v>1</v>
      </c>
      <c r="S26" s="44">
        <f t="shared" si="1"/>
        <v>1</v>
      </c>
      <c r="T26" s="45">
        <f>'Detailed Results'!K26</f>
        <v>9</v>
      </c>
      <c r="U26" s="45">
        <f>'Detailed Results'!L26</f>
        <v>9</v>
      </c>
      <c r="V26" s="46">
        <f t="shared" si="2"/>
        <v>1</v>
      </c>
      <c r="W26" s="46">
        <f t="shared" si="10"/>
        <v>1</v>
      </c>
      <c r="X26" s="46">
        <f t="shared" si="3"/>
        <v>1</v>
      </c>
      <c r="Y26" s="47">
        <f>'Detailed Results'!M26</f>
        <v>18</v>
      </c>
      <c r="Z26" s="47">
        <f>'Detailed Results'!N26</f>
        <v>18</v>
      </c>
      <c r="AA26" s="48">
        <f t="shared" si="4"/>
        <v>1</v>
      </c>
      <c r="AB26" s="48">
        <f t="shared" si="11"/>
        <v>1</v>
      </c>
      <c r="AC26" s="48">
        <f t="shared" si="5"/>
        <v>1</v>
      </c>
    </row>
    <row r="27" spans="1:29" ht="15" customHeight="1" thickBot="1" x14ac:dyDescent="0.4">
      <c r="A27" s="185"/>
      <c r="B27" s="14" t="s">
        <v>21</v>
      </c>
      <c r="C27" s="15" t="s">
        <v>16</v>
      </c>
      <c r="D27" s="15">
        <v>2</v>
      </c>
      <c r="E27" s="14" t="s">
        <v>109</v>
      </c>
      <c r="F27" s="40">
        <f>'GT Input'!C4</f>
        <v>9</v>
      </c>
      <c r="G27" s="40">
        <f>'GT Input'!D4</f>
        <v>18</v>
      </c>
      <c r="H27" s="40">
        <f>'GT Input'!E4</f>
        <v>9</v>
      </c>
      <c r="I27" s="40">
        <f>'GT Input'!F4</f>
        <v>18</v>
      </c>
      <c r="J27" s="41">
        <v>7</v>
      </c>
      <c r="K27" s="41">
        <v>7</v>
      </c>
      <c r="L27" s="42">
        <f t="shared" si="6"/>
        <v>1</v>
      </c>
      <c r="M27" s="42">
        <f t="shared" si="7"/>
        <v>0.77777777777777779</v>
      </c>
      <c r="N27" s="42">
        <f t="shared" si="8"/>
        <v>0.87500000000000011</v>
      </c>
      <c r="O27" s="43">
        <f>'Detailed Results'!I27</f>
        <v>6</v>
      </c>
      <c r="P27" s="43">
        <f>'Detailed Results'!J27</f>
        <v>5</v>
      </c>
      <c r="Q27" s="44">
        <f t="shared" si="0"/>
        <v>0.83333333333333337</v>
      </c>
      <c r="R27" s="44">
        <f t="shared" si="9"/>
        <v>0.27777777777777779</v>
      </c>
      <c r="S27" s="44">
        <f t="shared" si="1"/>
        <v>0.41666666666666669</v>
      </c>
      <c r="T27" s="45">
        <f>'Detailed Results'!K27</f>
        <v>7</v>
      </c>
      <c r="U27" s="45">
        <f>'Detailed Results'!L27</f>
        <v>5</v>
      </c>
      <c r="V27" s="46">
        <f t="shared" si="2"/>
        <v>0.7142857142857143</v>
      </c>
      <c r="W27" s="46">
        <f t="shared" si="10"/>
        <v>0.55555555555555558</v>
      </c>
      <c r="X27" s="46">
        <f t="shared" si="3"/>
        <v>0.62500000000000011</v>
      </c>
      <c r="Y27" s="47">
        <f>'Detailed Results'!M27</f>
        <v>6</v>
      </c>
      <c r="Z27" s="47">
        <f>'Detailed Results'!N27</f>
        <v>6</v>
      </c>
      <c r="AA27" s="48">
        <f t="shared" si="4"/>
        <v>1</v>
      </c>
      <c r="AB27" s="48">
        <f t="shared" si="11"/>
        <v>0.33333333333333331</v>
      </c>
      <c r="AC27" s="48">
        <f t="shared" si="5"/>
        <v>0.5</v>
      </c>
    </row>
    <row r="28" spans="1:29" ht="15" customHeight="1" thickBot="1" x14ac:dyDescent="0.4">
      <c r="A28" s="185"/>
      <c r="B28" s="12" t="s">
        <v>21</v>
      </c>
      <c r="C28" s="13" t="s">
        <v>16</v>
      </c>
      <c r="D28" s="13">
        <v>3</v>
      </c>
      <c r="E28" s="12" t="s">
        <v>17</v>
      </c>
      <c r="F28" s="40">
        <f>'GT Input'!C4</f>
        <v>9</v>
      </c>
      <c r="G28" s="40">
        <f>'GT Input'!D4</f>
        <v>18</v>
      </c>
      <c r="H28" s="40">
        <f>'GT Input'!E4</f>
        <v>9</v>
      </c>
      <c r="I28" s="40">
        <f>'GT Input'!F4</f>
        <v>18</v>
      </c>
      <c r="J28" s="41">
        <f>'Detailed Results'!G28</f>
        <v>9</v>
      </c>
      <c r="K28" s="41">
        <f>'Detailed Results'!H28</f>
        <v>9</v>
      </c>
      <c r="L28" s="42">
        <f t="shared" si="6"/>
        <v>1</v>
      </c>
      <c r="M28" s="42">
        <f t="shared" si="7"/>
        <v>1</v>
      </c>
      <c r="N28" s="42">
        <f t="shared" si="8"/>
        <v>1</v>
      </c>
      <c r="O28" s="43">
        <f>'Detailed Results'!I28</f>
        <v>18</v>
      </c>
      <c r="P28" s="43">
        <f>'Detailed Results'!J28</f>
        <v>18</v>
      </c>
      <c r="Q28" s="44">
        <f t="shared" si="0"/>
        <v>1</v>
      </c>
      <c r="R28" s="44">
        <f t="shared" si="9"/>
        <v>1</v>
      </c>
      <c r="S28" s="44">
        <f t="shared" si="1"/>
        <v>1</v>
      </c>
      <c r="T28" s="45">
        <f>'Detailed Results'!K28</f>
        <v>9</v>
      </c>
      <c r="U28" s="45">
        <f>'Detailed Results'!L28</f>
        <v>9</v>
      </c>
      <c r="V28" s="46">
        <f t="shared" si="2"/>
        <v>1</v>
      </c>
      <c r="W28" s="46">
        <f t="shared" si="10"/>
        <v>1</v>
      </c>
      <c r="X28" s="46">
        <f t="shared" si="3"/>
        <v>1</v>
      </c>
      <c r="Y28" s="47">
        <f>'Detailed Results'!M28</f>
        <v>18</v>
      </c>
      <c r="Z28" s="47">
        <f>'Detailed Results'!N28</f>
        <v>18</v>
      </c>
      <c r="AA28" s="48">
        <f t="shared" si="4"/>
        <v>1</v>
      </c>
      <c r="AB28" s="48">
        <f t="shared" si="11"/>
        <v>1</v>
      </c>
      <c r="AC28" s="48">
        <f t="shared" si="5"/>
        <v>1</v>
      </c>
    </row>
    <row r="29" spans="1:29" ht="15" customHeight="1" thickBot="1" x14ac:dyDescent="0.4">
      <c r="A29" s="185"/>
      <c r="B29" s="12" t="s">
        <v>21</v>
      </c>
      <c r="C29" s="13" t="s">
        <v>16</v>
      </c>
      <c r="D29" s="13">
        <v>3</v>
      </c>
      <c r="E29" s="12" t="s">
        <v>109</v>
      </c>
      <c r="F29" s="40">
        <f>'GT Input'!C4</f>
        <v>9</v>
      </c>
      <c r="G29" s="40">
        <f>'GT Input'!D4</f>
        <v>18</v>
      </c>
      <c r="H29" s="40">
        <f>'GT Input'!E4</f>
        <v>9</v>
      </c>
      <c r="I29" s="40">
        <f>'GT Input'!F4</f>
        <v>18</v>
      </c>
      <c r="J29" s="41">
        <v>7</v>
      </c>
      <c r="K29" s="41">
        <v>7</v>
      </c>
      <c r="L29" s="42">
        <f t="shared" si="6"/>
        <v>1</v>
      </c>
      <c r="M29" s="42">
        <f t="shared" si="7"/>
        <v>0.77777777777777779</v>
      </c>
      <c r="N29" s="42">
        <f t="shared" si="8"/>
        <v>0.87500000000000011</v>
      </c>
      <c r="O29" s="43">
        <f>'Detailed Results'!I29</f>
        <v>6</v>
      </c>
      <c r="P29" s="43">
        <f>'Detailed Results'!J29</f>
        <v>6</v>
      </c>
      <c r="Q29" s="44">
        <f t="shared" si="0"/>
        <v>1</v>
      </c>
      <c r="R29" s="44">
        <f t="shared" si="9"/>
        <v>0.33333333333333331</v>
      </c>
      <c r="S29" s="44">
        <f t="shared" si="1"/>
        <v>0.5</v>
      </c>
      <c r="T29" s="45">
        <f>'Detailed Results'!K29</f>
        <v>7</v>
      </c>
      <c r="U29" s="45">
        <f>'Detailed Results'!L29</f>
        <v>5</v>
      </c>
      <c r="V29" s="46">
        <f t="shared" si="2"/>
        <v>0.7142857142857143</v>
      </c>
      <c r="W29" s="46">
        <f t="shared" si="10"/>
        <v>0.55555555555555558</v>
      </c>
      <c r="X29" s="46">
        <f t="shared" si="3"/>
        <v>0.62500000000000011</v>
      </c>
      <c r="Y29" s="47">
        <f>'Detailed Results'!M29</f>
        <v>6</v>
      </c>
      <c r="Z29" s="47">
        <f>'Detailed Results'!N29</f>
        <v>6</v>
      </c>
      <c r="AA29" s="48">
        <f t="shared" si="4"/>
        <v>1</v>
      </c>
      <c r="AB29" s="48">
        <f t="shared" si="11"/>
        <v>0.33333333333333331</v>
      </c>
      <c r="AC29" s="48">
        <f t="shared" si="5"/>
        <v>0.5</v>
      </c>
    </row>
    <row r="30" spans="1:29" ht="15" customHeight="1" thickBot="1" x14ac:dyDescent="0.4">
      <c r="A30" s="185"/>
      <c r="B30" s="14" t="s">
        <v>21</v>
      </c>
      <c r="C30" s="15" t="s">
        <v>19</v>
      </c>
      <c r="D30" s="15">
        <v>1</v>
      </c>
      <c r="E30" s="14" t="s">
        <v>17</v>
      </c>
      <c r="F30" s="40">
        <f>'GT Input'!C4</f>
        <v>9</v>
      </c>
      <c r="G30" s="40">
        <f>'GT Input'!D4</f>
        <v>18</v>
      </c>
      <c r="H30" s="40">
        <f>'GT Input'!E4</f>
        <v>9</v>
      </c>
      <c r="I30" s="40">
        <f>'GT Input'!F4</f>
        <v>18</v>
      </c>
      <c r="J30" s="41">
        <f>'Detailed Results'!G30</f>
        <v>7</v>
      </c>
      <c r="K30" s="41">
        <f>'Detailed Results'!H30</f>
        <v>7</v>
      </c>
      <c r="L30" s="42">
        <f t="shared" si="6"/>
        <v>1</v>
      </c>
      <c r="M30" s="42">
        <f t="shared" si="7"/>
        <v>0.77777777777777779</v>
      </c>
      <c r="N30" s="42">
        <f t="shared" si="8"/>
        <v>0.87500000000000011</v>
      </c>
      <c r="O30" s="43">
        <f>'Detailed Results'!I30</f>
        <v>12</v>
      </c>
      <c r="P30" s="43">
        <f>'Detailed Results'!J30</f>
        <v>12</v>
      </c>
      <c r="Q30" s="44">
        <f t="shared" si="0"/>
        <v>1</v>
      </c>
      <c r="R30" s="44">
        <f t="shared" si="9"/>
        <v>0.66666666666666663</v>
      </c>
      <c r="S30" s="44">
        <f t="shared" si="1"/>
        <v>0.8</v>
      </c>
      <c r="T30" s="45">
        <f>'Detailed Results'!K30</f>
        <v>7</v>
      </c>
      <c r="U30" s="45">
        <f>'Detailed Results'!L30</f>
        <v>5</v>
      </c>
      <c r="V30" s="46">
        <f t="shared" si="2"/>
        <v>0.7142857142857143</v>
      </c>
      <c r="W30" s="46">
        <f t="shared" si="10"/>
        <v>0.55555555555555558</v>
      </c>
      <c r="X30" s="46">
        <f t="shared" si="3"/>
        <v>0.62500000000000011</v>
      </c>
      <c r="Y30" s="47">
        <f>'Detailed Results'!M30</f>
        <v>12</v>
      </c>
      <c r="Z30" s="47">
        <f>'Detailed Results'!N30</f>
        <v>12</v>
      </c>
      <c r="AA30" s="48">
        <f t="shared" si="4"/>
        <v>1</v>
      </c>
      <c r="AB30" s="48">
        <f t="shared" si="11"/>
        <v>0.66666666666666663</v>
      </c>
      <c r="AC30" s="48">
        <f t="shared" si="5"/>
        <v>0.8</v>
      </c>
    </row>
    <row r="31" spans="1:29" ht="15" customHeight="1" thickBot="1" x14ac:dyDescent="0.4">
      <c r="A31" s="185"/>
      <c r="B31" s="14" t="s">
        <v>21</v>
      </c>
      <c r="C31" s="15" t="s">
        <v>19</v>
      </c>
      <c r="D31" s="15">
        <v>1</v>
      </c>
      <c r="E31" s="14" t="s">
        <v>109</v>
      </c>
      <c r="F31" s="40">
        <f>'GT Input'!C4</f>
        <v>9</v>
      </c>
      <c r="G31" s="40">
        <f>'GT Input'!D4</f>
        <v>18</v>
      </c>
      <c r="H31" s="40">
        <f>'GT Input'!E4</f>
        <v>9</v>
      </c>
      <c r="I31" s="40">
        <f>'GT Input'!F4</f>
        <v>18</v>
      </c>
      <c r="J31" s="41">
        <v>7</v>
      </c>
      <c r="K31" s="41">
        <v>7</v>
      </c>
      <c r="L31" s="42">
        <f t="shared" si="6"/>
        <v>1</v>
      </c>
      <c r="M31" s="42">
        <f t="shared" si="7"/>
        <v>0.77777777777777779</v>
      </c>
      <c r="N31" s="42">
        <f t="shared" si="8"/>
        <v>0.87500000000000011</v>
      </c>
      <c r="O31" s="43">
        <f>'Detailed Results'!I31</f>
        <v>6</v>
      </c>
      <c r="P31" s="43">
        <f>'Detailed Results'!J31</f>
        <v>6</v>
      </c>
      <c r="Q31" s="44">
        <f t="shared" si="0"/>
        <v>1</v>
      </c>
      <c r="R31" s="44">
        <f t="shared" si="9"/>
        <v>0.33333333333333331</v>
      </c>
      <c r="S31" s="44">
        <f t="shared" si="1"/>
        <v>0.5</v>
      </c>
      <c r="T31" s="45">
        <f>'Detailed Results'!K31</f>
        <v>7</v>
      </c>
      <c r="U31" s="45">
        <f>'Detailed Results'!L31</f>
        <v>5</v>
      </c>
      <c r="V31" s="46">
        <f t="shared" si="2"/>
        <v>0.7142857142857143</v>
      </c>
      <c r="W31" s="46">
        <f t="shared" si="10"/>
        <v>0.55555555555555558</v>
      </c>
      <c r="X31" s="46">
        <f t="shared" si="3"/>
        <v>0.62500000000000011</v>
      </c>
      <c r="Y31" s="47">
        <f>'Detailed Results'!M31</f>
        <v>6</v>
      </c>
      <c r="Z31" s="47">
        <f>'Detailed Results'!N31</f>
        <v>6</v>
      </c>
      <c r="AA31" s="48">
        <f t="shared" si="4"/>
        <v>1</v>
      </c>
      <c r="AB31" s="48">
        <f t="shared" si="11"/>
        <v>0.33333333333333331</v>
      </c>
      <c r="AC31" s="48">
        <f t="shared" si="5"/>
        <v>0.5</v>
      </c>
    </row>
    <row r="32" spans="1:29" ht="15" customHeight="1" thickBot="1" x14ac:dyDescent="0.4">
      <c r="A32" s="185"/>
      <c r="B32" s="12" t="s">
        <v>21</v>
      </c>
      <c r="C32" s="13" t="s">
        <v>19</v>
      </c>
      <c r="D32" s="13">
        <v>2</v>
      </c>
      <c r="E32" s="12" t="s">
        <v>17</v>
      </c>
      <c r="F32" s="40">
        <f>'GT Input'!C4</f>
        <v>9</v>
      </c>
      <c r="G32" s="40">
        <f>'GT Input'!D4</f>
        <v>18</v>
      </c>
      <c r="H32" s="40">
        <f>'GT Input'!E4</f>
        <v>9</v>
      </c>
      <c r="I32" s="40">
        <f>'GT Input'!F4</f>
        <v>18</v>
      </c>
      <c r="J32" s="41">
        <f>'Detailed Results'!G32</f>
        <v>7</v>
      </c>
      <c r="K32" s="41">
        <f>'Detailed Results'!H32</f>
        <v>7</v>
      </c>
      <c r="L32" s="42">
        <f t="shared" si="6"/>
        <v>1</v>
      </c>
      <c r="M32" s="42">
        <f t="shared" si="7"/>
        <v>0.77777777777777779</v>
      </c>
      <c r="N32" s="42">
        <f t="shared" si="8"/>
        <v>0.87500000000000011</v>
      </c>
      <c r="O32" s="43">
        <f>'Detailed Results'!I32</f>
        <v>12</v>
      </c>
      <c r="P32" s="43">
        <f>'Detailed Results'!J32</f>
        <v>12</v>
      </c>
      <c r="Q32" s="44">
        <f t="shared" si="0"/>
        <v>1</v>
      </c>
      <c r="R32" s="44">
        <f t="shared" si="9"/>
        <v>0.66666666666666663</v>
      </c>
      <c r="S32" s="44">
        <f t="shared" si="1"/>
        <v>0.8</v>
      </c>
      <c r="T32" s="45">
        <f>'Detailed Results'!K32</f>
        <v>7</v>
      </c>
      <c r="U32" s="45">
        <f>'Detailed Results'!L32</f>
        <v>5</v>
      </c>
      <c r="V32" s="46">
        <f t="shared" si="2"/>
        <v>0.7142857142857143</v>
      </c>
      <c r="W32" s="46">
        <f t="shared" si="10"/>
        <v>0.55555555555555558</v>
      </c>
      <c r="X32" s="46">
        <f t="shared" si="3"/>
        <v>0.62500000000000011</v>
      </c>
      <c r="Y32" s="47">
        <f>'Detailed Results'!M32</f>
        <v>12</v>
      </c>
      <c r="Z32" s="47">
        <f>'Detailed Results'!N32</f>
        <v>12</v>
      </c>
      <c r="AA32" s="48">
        <f t="shared" si="4"/>
        <v>1</v>
      </c>
      <c r="AB32" s="48">
        <f t="shared" si="11"/>
        <v>0.66666666666666663</v>
      </c>
      <c r="AC32" s="48">
        <f t="shared" si="5"/>
        <v>0.8</v>
      </c>
    </row>
    <row r="33" spans="1:29" ht="15" customHeight="1" thickBot="1" x14ac:dyDescent="0.4">
      <c r="A33" s="185"/>
      <c r="B33" s="12" t="s">
        <v>21</v>
      </c>
      <c r="C33" s="13" t="s">
        <v>19</v>
      </c>
      <c r="D33" s="13">
        <v>2</v>
      </c>
      <c r="E33" s="12" t="s">
        <v>109</v>
      </c>
      <c r="F33" s="40">
        <f>'GT Input'!C4</f>
        <v>9</v>
      </c>
      <c r="G33" s="40">
        <f>'GT Input'!D4</f>
        <v>18</v>
      </c>
      <c r="H33" s="40">
        <f>'GT Input'!E4</f>
        <v>9</v>
      </c>
      <c r="I33" s="40">
        <f>'GT Input'!F4</f>
        <v>18</v>
      </c>
      <c r="J33" s="41">
        <v>7</v>
      </c>
      <c r="K33" s="41">
        <v>7</v>
      </c>
      <c r="L33" s="42">
        <f t="shared" si="6"/>
        <v>1</v>
      </c>
      <c r="M33" s="42">
        <f t="shared" si="7"/>
        <v>0.77777777777777779</v>
      </c>
      <c r="N33" s="42">
        <f t="shared" si="8"/>
        <v>0.87500000000000011</v>
      </c>
      <c r="O33" s="43">
        <f>'Detailed Results'!I33</f>
        <v>6</v>
      </c>
      <c r="P33" s="43">
        <f>'Detailed Results'!J33</f>
        <v>6</v>
      </c>
      <c r="Q33" s="44">
        <f t="shared" si="0"/>
        <v>1</v>
      </c>
      <c r="R33" s="44">
        <f t="shared" si="9"/>
        <v>0.33333333333333331</v>
      </c>
      <c r="S33" s="44">
        <f t="shared" si="1"/>
        <v>0.5</v>
      </c>
      <c r="T33" s="45">
        <f>'Detailed Results'!K33</f>
        <v>7</v>
      </c>
      <c r="U33" s="45">
        <f>'Detailed Results'!L33</f>
        <v>5</v>
      </c>
      <c r="V33" s="46">
        <f t="shared" si="2"/>
        <v>0.7142857142857143</v>
      </c>
      <c r="W33" s="46">
        <f t="shared" si="10"/>
        <v>0.55555555555555558</v>
      </c>
      <c r="X33" s="46">
        <f t="shared" si="3"/>
        <v>0.62500000000000011</v>
      </c>
      <c r="Y33" s="47">
        <f>'Detailed Results'!M33</f>
        <v>6</v>
      </c>
      <c r="Z33" s="47">
        <f>'Detailed Results'!N33</f>
        <v>6</v>
      </c>
      <c r="AA33" s="48">
        <f t="shared" si="4"/>
        <v>1</v>
      </c>
      <c r="AB33" s="48">
        <f t="shared" si="11"/>
        <v>0.33333333333333331</v>
      </c>
      <c r="AC33" s="48">
        <f t="shared" si="5"/>
        <v>0.5</v>
      </c>
    </row>
    <row r="34" spans="1:29" ht="15" customHeight="1" thickBot="1" x14ac:dyDescent="0.4">
      <c r="A34" s="185"/>
      <c r="B34" s="14" t="s">
        <v>21</v>
      </c>
      <c r="C34" s="15" t="s">
        <v>19</v>
      </c>
      <c r="D34" s="15">
        <v>3</v>
      </c>
      <c r="E34" s="14" t="s">
        <v>17</v>
      </c>
      <c r="F34" s="40">
        <f>'GT Input'!C4</f>
        <v>9</v>
      </c>
      <c r="G34" s="40">
        <f>'GT Input'!D4</f>
        <v>18</v>
      </c>
      <c r="H34" s="40">
        <f>'GT Input'!E4</f>
        <v>9</v>
      </c>
      <c r="I34" s="40">
        <f>'GT Input'!F4</f>
        <v>18</v>
      </c>
      <c r="J34" s="41">
        <f>'Detailed Results'!G34</f>
        <v>7</v>
      </c>
      <c r="K34" s="41">
        <f>'Detailed Results'!H34</f>
        <v>7</v>
      </c>
      <c r="L34" s="42">
        <f t="shared" si="6"/>
        <v>1</v>
      </c>
      <c r="M34" s="42">
        <f t="shared" si="7"/>
        <v>0.77777777777777779</v>
      </c>
      <c r="N34" s="42">
        <f t="shared" si="8"/>
        <v>0.87500000000000011</v>
      </c>
      <c r="O34" s="43">
        <f>'Detailed Results'!I34</f>
        <v>12</v>
      </c>
      <c r="P34" s="43">
        <f>'Detailed Results'!J34</f>
        <v>12</v>
      </c>
      <c r="Q34" s="44">
        <f t="shared" si="0"/>
        <v>1</v>
      </c>
      <c r="R34" s="44">
        <f t="shared" si="9"/>
        <v>0.66666666666666663</v>
      </c>
      <c r="S34" s="44">
        <f t="shared" si="1"/>
        <v>0.8</v>
      </c>
      <c r="T34" s="45">
        <f>'Detailed Results'!K34</f>
        <v>7</v>
      </c>
      <c r="U34" s="45">
        <f>'Detailed Results'!L34</f>
        <v>5</v>
      </c>
      <c r="V34" s="46">
        <f t="shared" si="2"/>
        <v>0.7142857142857143</v>
      </c>
      <c r="W34" s="46">
        <f t="shared" si="10"/>
        <v>0.55555555555555558</v>
      </c>
      <c r="X34" s="46">
        <f t="shared" si="3"/>
        <v>0.62500000000000011</v>
      </c>
      <c r="Y34" s="47">
        <f>'Detailed Results'!M34</f>
        <v>12</v>
      </c>
      <c r="Z34" s="47">
        <f>'Detailed Results'!N34</f>
        <v>12</v>
      </c>
      <c r="AA34" s="48">
        <f t="shared" si="4"/>
        <v>1</v>
      </c>
      <c r="AB34" s="48">
        <f t="shared" si="11"/>
        <v>0.66666666666666663</v>
      </c>
      <c r="AC34" s="48">
        <f t="shared" si="5"/>
        <v>0.8</v>
      </c>
    </row>
    <row r="35" spans="1:29" ht="15" customHeight="1" thickBot="1" x14ac:dyDescent="0.4">
      <c r="A35" s="185"/>
      <c r="B35" s="14" t="s">
        <v>21</v>
      </c>
      <c r="C35" s="15" t="s">
        <v>19</v>
      </c>
      <c r="D35" s="15">
        <v>3</v>
      </c>
      <c r="E35" s="14" t="s">
        <v>109</v>
      </c>
      <c r="F35" s="40">
        <f>'GT Input'!C4</f>
        <v>9</v>
      </c>
      <c r="G35" s="40">
        <f>'GT Input'!D4</f>
        <v>18</v>
      </c>
      <c r="H35" s="40">
        <f>'GT Input'!E4</f>
        <v>9</v>
      </c>
      <c r="I35" s="40">
        <f>'GT Input'!F4</f>
        <v>18</v>
      </c>
      <c r="J35" s="41">
        <v>7</v>
      </c>
      <c r="K35" s="41">
        <v>7</v>
      </c>
      <c r="L35" s="42">
        <f t="shared" si="6"/>
        <v>1</v>
      </c>
      <c r="M35" s="42">
        <f t="shared" si="7"/>
        <v>0.77777777777777779</v>
      </c>
      <c r="N35" s="42">
        <f t="shared" si="8"/>
        <v>0.87500000000000011</v>
      </c>
      <c r="O35" s="43">
        <f>'Detailed Results'!I35</f>
        <v>6</v>
      </c>
      <c r="P35" s="43">
        <f>'Detailed Results'!J35</f>
        <v>6</v>
      </c>
      <c r="Q35" s="44">
        <f t="shared" si="0"/>
        <v>1</v>
      </c>
      <c r="R35" s="44">
        <f t="shared" si="9"/>
        <v>0.33333333333333331</v>
      </c>
      <c r="S35" s="44">
        <f t="shared" si="1"/>
        <v>0.5</v>
      </c>
      <c r="T35" s="45">
        <f>'Detailed Results'!K35</f>
        <v>7</v>
      </c>
      <c r="U35" s="45">
        <f>'Detailed Results'!L35</f>
        <v>5</v>
      </c>
      <c r="V35" s="46">
        <f t="shared" si="2"/>
        <v>0.7142857142857143</v>
      </c>
      <c r="W35" s="46">
        <f t="shared" si="10"/>
        <v>0.55555555555555558</v>
      </c>
      <c r="X35" s="46">
        <f t="shared" si="3"/>
        <v>0.62500000000000011</v>
      </c>
      <c r="Y35" s="47">
        <f>'Detailed Results'!M35</f>
        <v>6</v>
      </c>
      <c r="Z35" s="47">
        <f>'Detailed Results'!N35</f>
        <v>6</v>
      </c>
      <c r="AA35" s="48">
        <f t="shared" si="4"/>
        <v>1</v>
      </c>
      <c r="AB35" s="48">
        <f t="shared" si="11"/>
        <v>0.33333333333333331</v>
      </c>
      <c r="AC35" s="48">
        <f t="shared" si="5"/>
        <v>0.5</v>
      </c>
    </row>
    <row r="36" spans="1:29" ht="15" customHeight="1" thickBot="1" x14ac:dyDescent="0.4">
      <c r="A36" s="185"/>
      <c r="B36" s="12" t="s">
        <v>21</v>
      </c>
      <c r="C36" s="13" t="s">
        <v>20</v>
      </c>
      <c r="D36" s="13">
        <v>1</v>
      </c>
      <c r="E36" s="12" t="s">
        <v>17</v>
      </c>
      <c r="F36" s="40">
        <f>'GT Input'!C4</f>
        <v>9</v>
      </c>
      <c r="G36" s="40">
        <f>'GT Input'!D4</f>
        <v>18</v>
      </c>
      <c r="H36" s="40">
        <f>'GT Input'!E4</f>
        <v>9</v>
      </c>
      <c r="I36" s="40">
        <f>'GT Input'!F4</f>
        <v>18</v>
      </c>
      <c r="J36" s="41">
        <v>7</v>
      </c>
      <c r="K36" s="41">
        <v>4</v>
      </c>
      <c r="L36" s="42">
        <f t="shared" si="6"/>
        <v>0.5714285714285714</v>
      </c>
      <c r="M36" s="42">
        <f t="shared" si="7"/>
        <v>0.44444444444444442</v>
      </c>
      <c r="N36" s="42">
        <f t="shared" si="8"/>
        <v>0.5</v>
      </c>
      <c r="O36" s="43">
        <f>'Detailed Results'!I36</f>
        <v>5</v>
      </c>
      <c r="P36" s="43">
        <f>'Detailed Results'!J36</f>
        <v>5</v>
      </c>
      <c r="Q36" s="44">
        <f t="shared" si="0"/>
        <v>1</v>
      </c>
      <c r="R36" s="44">
        <f t="shared" si="9"/>
        <v>0.27777777777777779</v>
      </c>
      <c r="S36" s="44">
        <f t="shared" si="1"/>
        <v>0.43478260869565222</v>
      </c>
      <c r="T36" s="45">
        <f>'Detailed Results'!K36</f>
        <v>7</v>
      </c>
      <c r="U36" s="45">
        <f>'Detailed Results'!L36</f>
        <v>5</v>
      </c>
      <c r="V36" s="46">
        <f t="shared" si="2"/>
        <v>0.7142857142857143</v>
      </c>
      <c r="W36" s="46">
        <f t="shared" si="10"/>
        <v>0.55555555555555558</v>
      </c>
      <c r="X36" s="46">
        <f t="shared" si="3"/>
        <v>0.62500000000000011</v>
      </c>
      <c r="Y36" s="47">
        <f>'Detailed Results'!M36</f>
        <v>5</v>
      </c>
      <c r="Z36" s="47">
        <f>'Detailed Results'!N36</f>
        <v>5</v>
      </c>
      <c r="AA36" s="48">
        <f t="shared" si="4"/>
        <v>1</v>
      </c>
      <c r="AB36" s="48">
        <f t="shared" si="11"/>
        <v>0.27777777777777779</v>
      </c>
      <c r="AC36" s="48">
        <f t="shared" si="5"/>
        <v>0.43478260869565222</v>
      </c>
    </row>
    <row r="37" spans="1:29" ht="15" customHeight="1" thickBot="1" x14ac:dyDescent="0.4">
      <c r="A37" s="185"/>
      <c r="B37" s="12" t="s">
        <v>21</v>
      </c>
      <c r="C37" s="13" t="s">
        <v>20</v>
      </c>
      <c r="D37" s="13">
        <v>1</v>
      </c>
      <c r="E37" s="12" t="s">
        <v>109</v>
      </c>
      <c r="F37" s="40">
        <f>'GT Input'!C4</f>
        <v>9</v>
      </c>
      <c r="G37" s="40">
        <f>'GT Input'!D4</f>
        <v>18</v>
      </c>
      <c r="H37" s="40">
        <f>'GT Input'!E4</f>
        <v>9</v>
      </c>
      <c r="I37" s="40">
        <f>'GT Input'!F4</f>
        <v>18</v>
      </c>
      <c r="J37" s="41">
        <v>7</v>
      </c>
      <c r="K37" s="41">
        <v>3</v>
      </c>
      <c r="L37" s="42">
        <f t="shared" si="6"/>
        <v>0.42857142857142855</v>
      </c>
      <c r="M37" s="42">
        <f t="shared" si="7"/>
        <v>0.33333333333333331</v>
      </c>
      <c r="N37" s="42">
        <f t="shared" si="8"/>
        <v>0.375</v>
      </c>
      <c r="O37" s="43">
        <f>'Detailed Results'!I37</f>
        <v>5</v>
      </c>
      <c r="P37" s="43">
        <f>'Detailed Results'!J37</f>
        <v>5</v>
      </c>
      <c r="Q37" s="44">
        <f t="shared" si="0"/>
        <v>1</v>
      </c>
      <c r="R37" s="44">
        <f t="shared" si="9"/>
        <v>0.27777777777777779</v>
      </c>
      <c r="S37" s="44">
        <f t="shared" si="1"/>
        <v>0.43478260869565222</v>
      </c>
      <c r="T37" s="45">
        <f>'Detailed Results'!K37</f>
        <v>7</v>
      </c>
      <c r="U37" s="45">
        <f>'Detailed Results'!L37</f>
        <v>5</v>
      </c>
      <c r="V37" s="46">
        <f t="shared" si="2"/>
        <v>0.7142857142857143</v>
      </c>
      <c r="W37" s="46">
        <f t="shared" si="10"/>
        <v>0.55555555555555558</v>
      </c>
      <c r="X37" s="46">
        <f t="shared" si="3"/>
        <v>0.62500000000000011</v>
      </c>
      <c r="Y37" s="47">
        <f>'Detailed Results'!M37</f>
        <v>5</v>
      </c>
      <c r="Z37" s="47">
        <f>'Detailed Results'!N37</f>
        <v>5</v>
      </c>
      <c r="AA37" s="48">
        <f t="shared" si="4"/>
        <v>1</v>
      </c>
      <c r="AB37" s="48">
        <f t="shared" si="11"/>
        <v>0.27777777777777779</v>
      </c>
      <c r="AC37" s="48">
        <f t="shared" si="5"/>
        <v>0.43478260869565222</v>
      </c>
    </row>
    <row r="38" spans="1:29" ht="15" customHeight="1" thickBot="1" x14ac:dyDescent="0.4">
      <c r="A38" s="185"/>
      <c r="B38" s="14" t="s">
        <v>21</v>
      </c>
      <c r="C38" s="15" t="s">
        <v>20</v>
      </c>
      <c r="D38" s="15">
        <v>2</v>
      </c>
      <c r="E38" s="14" t="s">
        <v>17</v>
      </c>
      <c r="F38" s="40">
        <f>'GT Input'!C4</f>
        <v>9</v>
      </c>
      <c r="G38" s="40">
        <f>'GT Input'!D4</f>
        <v>18</v>
      </c>
      <c r="H38" s="40">
        <f>'GT Input'!E4</f>
        <v>9</v>
      </c>
      <c r="I38" s="40">
        <f>'GT Input'!F4</f>
        <v>18</v>
      </c>
      <c r="J38" s="41">
        <v>7</v>
      </c>
      <c r="K38" s="41">
        <v>4</v>
      </c>
      <c r="L38" s="42">
        <f t="shared" si="6"/>
        <v>0.5714285714285714</v>
      </c>
      <c r="M38" s="42">
        <f t="shared" si="7"/>
        <v>0.44444444444444442</v>
      </c>
      <c r="N38" s="42">
        <f t="shared" si="8"/>
        <v>0.5</v>
      </c>
      <c r="O38" s="43">
        <f>'Detailed Results'!I38</f>
        <v>5</v>
      </c>
      <c r="P38" s="43">
        <f>'Detailed Results'!J38</f>
        <v>5</v>
      </c>
      <c r="Q38" s="44">
        <f t="shared" si="0"/>
        <v>1</v>
      </c>
      <c r="R38" s="44">
        <f t="shared" si="9"/>
        <v>0.27777777777777779</v>
      </c>
      <c r="S38" s="44">
        <f t="shared" si="1"/>
        <v>0.43478260869565222</v>
      </c>
      <c r="T38" s="45">
        <f>'Detailed Results'!K38</f>
        <v>7</v>
      </c>
      <c r="U38" s="45">
        <f>'Detailed Results'!L38</f>
        <v>5</v>
      </c>
      <c r="V38" s="46">
        <f t="shared" si="2"/>
        <v>0.7142857142857143</v>
      </c>
      <c r="W38" s="46">
        <f t="shared" si="10"/>
        <v>0.55555555555555558</v>
      </c>
      <c r="X38" s="46">
        <f t="shared" si="3"/>
        <v>0.62500000000000011</v>
      </c>
      <c r="Y38" s="47">
        <f>'Detailed Results'!M38</f>
        <v>5</v>
      </c>
      <c r="Z38" s="47">
        <f>'Detailed Results'!N38</f>
        <v>5</v>
      </c>
      <c r="AA38" s="48">
        <f t="shared" si="4"/>
        <v>1</v>
      </c>
      <c r="AB38" s="48">
        <f t="shared" si="11"/>
        <v>0.27777777777777779</v>
      </c>
      <c r="AC38" s="48">
        <f t="shared" si="5"/>
        <v>0.43478260869565222</v>
      </c>
    </row>
    <row r="39" spans="1:29" ht="15" customHeight="1" thickBot="1" x14ac:dyDescent="0.4">
      <c r="A39" s="185"/>
      <c r="B39" s="14" t="s">
        <v>21</v>
      </c>
      <c r="C39" s="15" t="s">
        <v>20</v>
      </c>
      <c r="D39" s="15">
        <v>2</v>
      </c>
      <c r="E39" s="14" t="s">
        <v>109</v>
      </c>
      <c r="F39" s="40">
        <f>'GT Input'!C4</f>
        <v>9</v>
      </c>
      <c r="G39" s="40">
        <f>'GT Input'!D4</f>
        <v>18</v>
      </c>
      <c r="H39" s="40">
        <f>'GT Input'!E4</f>
        <v>9</v>
      </c>
      <c r="I39" s="40">
        <f>'GT Input'!F4</f>
        <v>18</v>
      </c>
      <c r="J39" s="41">
        <v>7</v>
      </c>
      <c r="K39" s="41">
        <v>7</v>
      </c>
      <c r="L39" s="42">
        <f t="shared" si="6"/>
        <v>1</v>
      </c>
      <c r="M39" s="42">
        <f t="shared" si="7"/>
        <v>0.77777777777777779</v>
      </c>
      <c r="N39" s="42">
        <f t="shared" si="8"/>
        <v>0.87500000000000011</v>
      </c>
      <c r="O39" s="43">
        <f>'Detailed Results'!I39</f>
        <v>13</v>
      </c>
      <c r="P39" s="43">
        <f>'Detailed Results'!J39</f>
        <v>13</v>
      </c>
      <c r="Q39" s="44">
        <f t="shared" si="0"/>
        <v>1</v>
      </c>
      <c r="R39" s="44">
        <f t="shared" si="9"/>
        <v>0.72222222222222221</v>
      </c>
      <c r="S39" s="44">
        <f t="shared" si="1"/>
        <v>0.83870967741935476</v>
      </c>
      <c r="T39" s="45">
        <f>'Detailed Results'!K39</f>
        <v>7</v>
      </c>
      <c r="U39" s="45">
        <f>'Detailed Results'!L39</f>
        <v>5</v>
      </c>
      <c r="V39" s="46">
        <f t="shared" si="2"/>
        <v>0.7142857142857143</v>
      </c>
      <c r="W39" s="46">
        <f t="shared" si="10"/>
        <v>0.55555555555555558</v>
      </c>
      <c r="X39" s="46">
        <f t="shared" si="3"/>
        <v>0.62500000000000011</v>
      </c>
      <c r="Y39" s="47">
        <f>'Detailed Results'!M39</f>
        <v>13</v>
      </c>
      <c r="Z39" s="47">
        <f>'Detailed Results'!N39</f>
        <v>13</v>
      </c>
      <c r="AA39" s="48">
        <f t="shared" si="4"/>
        <v>1</v>
      </c>
      <c r="AB39" s="48">
        <f t="shared" si="11"/>
        <v>0.72222222222222221</v>
      </c>
      <c r="AC39" s="48">
        <f t="shared" si="5"/>
        <v>0.83870967741935476</v>
      </c>
    </row>
    <row r="40" spans="1:29" ht="15" customHeight="1" thickBot="1" x14ac:dyDescent="0.4">
      <c r="A40" s="185"/>
      <c r="B40" s="12" t="s">
        <v>21</v>
      </c>
      <c r="C40" s="13" t="s">
        <v>20</v>
      </c>
      <c r="D40" s="13">
        <v>3</v>
      </c>
      <c r="E40" s="12" t="s">
        <v>17</v>
      </c>
      <c r="F40" s="40">
        <f>'GT Input'!C4</f>
        <v>9</v>
      </c>
      <c r="G40" s="40">
        <f>'GT Input'!D4</f>
        <v>18</v>
      </c>
      <c r="H40" s="40">
        <f>'GT Input'!E4</f>
        <v>9</v>
      </c>
      <c r="I40" s="40">
        <f>'GT Input'!F4</f>
        <v>18</v>
      </c>
      <c r="J40" s="41">
        <v>9</v>
      </c>
      <c r="K40" s="41">
        <v>9</v>
      </c>
      <c r="L40" s="42">
        <f t="shared" si="6"/>
        <v>1</v>
      </c>
      <c r="M40" s="42">
        <f t="shared" si="7"/>
        <v>1</v>
      </c>
      <c r="N40" s="42">
        <f t="shared" si="8"/>
        <v>1</v>
      </c>
      <c r="O40" s="43">
        <f>'Detailed Results'!I40</f>
        <v>18</v>
      </c>
      <c r="P40" s="43">
        <f>'Detailed Results'!J40</f>
        <v>18</v>
      </c>
      <c r="Q40" s="44">
        <f t="shared" si="0"/>
        <v>1</v>
      </c>
      <c r="R40" s="44">
        <f t="shared" si="9"/>
        <v>1</v>
      </c>
      <c r="S40" s="44">
        <f t="shared" si="1"/>
        <v>1</v>
      </c>
      <c r="T40" s="45">
        <f>'Detailed Results'!K40</f>
        <v>9</v>
      </c>
      <c r="U40" s="45">
        <f>'Detailed Results'!L40</f>
        <v>9</v>
      </c>
      <c r="V40" s="46">
        <f t="shared" si="2"/>
        <v>1</v>
      </c>
      <c r="W40" s="46">
        <f t="shared" si="10"/>
        <v>1</v>
      </c>
      <c r="X40" s="46">
        <f t="shared" si="3"/>
        <v>1</v>
      </c>
      <c r="Y40" s="47">
        <f>'Detailed Results'!M40</f>
        <v>18</v>
      </c>
      <c r="Z40" s="47">
        <f>'Detailed Results'!N40</f>
        <v>18</v>
      </c>
      <c r="AA40" s="48">
        <f t="shared" si="4"/>
        <v>1</v>
      </c>
      <c r="AB40" s="48">
        <f t="shared" si="11"/>
        <v>1</v>
      </c>
      <c r="AC40" s="48">
        <f t="shared" si="5"/>
        <v>1</v>
      </c>
    </row>
    <row r="41" spans="1:29" ht="15" customHeight="1" thickBot="1" x14ac:dyDescent="0.4">
      <c r="A41" s="185"/>
      <c r="B41" s="12" t="s">
        <v>21</v>
      </c>
      <c r="C41" s="13" t="s">
        <v>20</v>
      </c>
      <c r="D41" s="13">
        <v>3</v>
      </c>
      <c r="E41" s="12" t="s">
        <v>109</v>
      </c>
      <c r="F41" s="40">
        <f>'GT Input'!C4</f>
        <v>9</v>
      </c>
      <c r="G41" s="40">
        <f>'GT Input'!D4</f>
        <v>18</v>
      </c>
      <c r="H41" s="40">
        <f>'GT Input'!E4</f>
        <v>9</v>
      </c>
      <c r="I41" s="40">
        <f>'GT Input'!F4</f>
        <v>18</v>
      </c>
      <c r="J41" s="41">
        <v>7</v>
      </c>
      <c r="K41" s="41">
        <v>4</v>
      </c>
      <c r="L41" s="42">
        <f t="shared" si="6"/>
        <v>0.5714285714285714</v>
      </c>
      <c r="M41" s="42">
        <f t="shared" si="7"/>
        <v>0.44444444444444442</v>
      </c>
      <c r="N41" s="42">
        <f t="shared" si="8"/>
        <v>0.5</v>
      </c>
      <c r="O41" s="43">
        <f>'Detailed Results'!I41</f>
        <v>6</v>
      </c>
      <c r="P41" s="43">
        <f>'Detailed Results'!J41</f>
        <v>6</v>
      </c>
      <c r="Q41" s="44">
        <f t="shared" si="0"/>
        <v>1</v>
      </c>
      <c r="R41" s="44">
        <f t="shared" si="9"/>
        <v>0.33333333333333331</v>
      </c>
      <c r="S41" s="44">
        <f t="shared" si="1"/>
        <v>0.5</v>
      </c>
      <c r="T41" s="45">
        <f>'Detailed Results'!K41</f>
        <v>7</v>
      </c>
      <c r="U41" s="45">
        <f>'Detailed Results'!L41</f>
        <v>5</v>
      </c>
      <c r="V41" s="46">
        <f t="shared" si="2"/>
        <v>0.7142857142857143</v>
      </c>
      <c r="W41" s="46">
        <f t="shared" si="10"/>
        <v>0.55555555555555558</v>
      </c>
      <c r="X41" s="46">
        <f t="shared" si="3"/>
        <v>0.62500000000000011</v>
      </c>
      <c r="Y41" s="47">
        <f>'Detailed Results'!M41</f>
        <v>6</v>
      </c>
      <c r="Z41" s="47">
        <f>'Detailed Results'!N41</f>
        <v>6</v>
      </c>
      <c r="AA41" s="48">
        <f t="shared" si="4"/>
        <v>1</v>
      </c>
      <c r="AB41" s="48">
        <f t="shared" si="11"/>
        <v>0.33333333333333331</v>
      </c>
      <c r="AC41" s="48">
        <f t="shared" si="5"/>
        <v>0.5</v>
      </c>
    </row>
    <row r="42" spans="1:29" ht="15" customHeight="1" thickBot="1" x14ac:dyDescent="0.4">
      <c r="A42" s="185"/>
      <c r="B42" s="16" t="s">
        <v>22</v>
      </c>
      <c r="C42" s="17" t="s">
        <v>16</v>
      </c>
      <c r="D42" s="17">
        <v>1</v>
      </c>
      <c r="E42" s="16" t="s">
        <v>17</v>
      </c>
      <c r="F42" s="40">
        <f>'GT Input'!C4</f>
        <v>9</v>
      </c>
      <c r="G42" s="40">
        <f>'GT Input'!D4</f>
        <v>18</v>
      </c>
      <c r="H42" s="40">
        <f>'GT Input'!E4</f>
        <v>9</v>
      </c>
      <c r="I42" s="40">
        <f>'GT Input'!F4</f>
        <v>18</v>
      </c>
      <c r="J42" s="41">
        <f>'Detailed Results'!G42</f>
        <v>9</v>
      </c>
      <c r="K42" s="41">
        <f>'Detailed Results'!H42</f>
        <v>9</v>
      </c>
      <c r="L42" s="42">
        <f t="shared" si="6"/>
        <v>1</v>
      </c>
      <c r="M42" s="42">
        <f t="shared" si="7"/>
        <v>1</v>
      </c>
      <c r="N42" s="42">
        <f t="shared" si="8"/>
        <v>1</v>
      </c>
      <c r="O42" s="43">
        <f>'Detailed Results'!I42</f>
        <v>12</v>
      </c>
      <c r="P42" s="43">
        <f>'Detailed Results'!J42</f>
        <v>12</v>
      </c>
      <c r="Q42" s="44">
        <f t="shared" si="0"/>
        <v>1</v>
      </c>
      <c r="R42" s="44">
        <f t="shared" si="9"/>
        <v>0.66666666666666663</v>
      </c>
      <c r="S42" s="44">
        <f t="shared" si="1"/>
        <v>0.8</v>
      </c>
      <c r="T42" s="45">
        <f>'Detailed Results'!K42</f>
        <v>9</v>
      </c>
      <c r="U42" s="45">
        <f>'Detailed Results'!L42</f>
        <v>9</v>
      </c>
      <c r="V42" s="46">
        <f t="shared" si="2"/>
        <v>1</v>
      </c>
      <c r="W42" s="46">
        <f t="shared" si="10"/>
        <v>1</v>
      </c>
      <c r="X42" s="46">
        <f t="shared" si="3"/>
        <v>1</v>
      </c>
      <c r="Y42" s="47">
        <f>'Detailed Results'!M42</f>
        <v>12</v>
      </c>
      <c r="Z42" s="47">
        <f>'Detailed Results'!N42</f>
        <v>12</v>
      </c>
      <c r="AA42" s="48">
        <f t="shared" si="4"/>
        <v>1</v>
      </c>
      <c r="AB42" s="48">
        <f t="shared" si="11"/>
        <v>0.66666666666666663</v>
      </c>
      <c r="AC42" s="48">
        <f t="shared" si="5"/>
        <v>0.8</v>
      </c>
    </row>
    <row r="43" spans="1:29" ht="15" customHeight="1" thickBot="1" x14ac:dyDescent="0.4">
      <c r="A43" s="185"/>
      <c r="B43" s="16" t="s">
        <v>22</v>
      </c>
      <c r="C43" s="17" t="s">
        <v>16</v>
      </c>
      <c r="D43" s="17">
        <v>1</v>
      </c>
      <c r="E43" s="16" t="s">
        <v>109</v>
      </c>
      <c r="F43" s="40">
        <f>'GT Input'!C4</f>
        <v>9</v>
      </c>
      <c r="G43" s="40">
        <f>'GT Input'!D4</f>
        <v>18</v>
      </c>
      <c r="H43" s="40">
        <f>'GT Input'!E4</f>
        <v>9</v>
      </c>
      <c r="I43" s="40">
        <f>'GT Input'!F4</f>
        <v>18</v>
      </c>
      <c r="J43" s="41">
        <f>'Detailed Results'!G43</f>
        <v>7</v>
      </c>
      <c r="K43" s="41">
        <f>'Detailed Results'!H43</f>
        <v>7</v>
      </c>
      <c r="L43" s="42">
        <f t="shared" si="6"/>
        <v>1</v>
      </c>
      <c r="M43" s="42">
        <f t="shared" si="7"/>
        <v>0.77777777777777779</v>
      </c>
      <c r="N43" s="42">
        <f t="shared" si="8"/>
        <v>0.87500000000000011</v>
      </c>
      <c r="O43" s="43">
        <f>'Detailed Results'!I43</f>
        <v>12</v>
      </c>
      <c r="P43" s="43">
        <f>'Detailed Results'!J43</f>
        <v>12</v>
      </c>
      <c r="Q43" s="44">
        <f t="shared" si="0"/>
        <v>1</v>
      </c>
      <c r="R43" s="44">
        <f t="shared" si="9"/>
        <v>0.66666666666666663</v>
      </c>
      <c r="S43" s="44">
        <f t="shared" si="1"/>
        <v>0.8</v>
      </c>
      <c r="T43" s="45">
        <f>'Detailed Results'!K43</f>
        <v>7</v>
      </c>
      <c r="U43" s="45">
        <f>'Detailed Results'!L43</f>
        <v>5</v>
      </c>
      <c r="V43" s="46">
        <f t="shared" si="2"/>
        <v>0.7142857142857143</v>
      </c>
      <c r="W43" s="46">
        <f t="shared" si="10"/>
        <v>0.55555555555555558</v>
      </c>
      <c r="X43" s="46">
        <f t="shared" si="3"/>
        <v>0.62500000000000011</v>
      </c>
      <c r="Y43" s="47">
        <f>'Detailed Results'!M43</f>
        <v>12</v>
      </c>
      <c r="Z43" s="47">
        <f>'Detailed Results'!N43</f>
        <v>12</v>
      </c>
      <c r="AA43" s="48">
        <f t="shared" si="4"/>
        <v>1</v>
      </c>
      <c r="AB43" s="48">
        <f t="shared" si="11"/>
        <v>0.66666666666666663</v>
      </c>
      <c r="AC43" s="48">
        <f t="shared" si="5"/>
        <v>0.8</v>
      </c>
    </row>
    <row r="44" spans="1:29" ht="15" customHeight="1" thickBot="1" x14ac:dyDescent="0.4">
      <c r="A44" s="185"/>
      <c r="B44" s="18" t="s">
        <v>22</v>
      </c>
      <c r="C44" s="19" t="s">
        <v>16</v>
      </c>
      <c r="D44" s="19">
        <v>2</v>
      </c>
      <c r="E44" s="18" t="s">
        <v>17</v>
      </c>
      <c r="F44" s="40">
        <f>'GT Input'!C4</f>
        <v>9</v>
      </c>
      <c r="G44" s="40">
        <f>'GT Input'!D4</f>
        <v>18</v>
      </c>
      <c r="H44" s="40">
        <f>'GT Input'!E4</f>
        <v>9</v>
      </c>
      <c r="I44" s="40">
        <f>'GT Input'!F4</f>
        <v>18</v>
      </c>
      <c r="J44" s="41">
        <f>'Detailed Results'!G44</f>
        <v>9</v>
      </c>
      <c r="K44" s="41">
        <f>'Detailed Results'!H44</f>
        <v>8</v>
      </c>
      <c r="L44" s="42">
        <f t="shared" si="6"/>
        <v>0.88888888888888884</v>
      </c>
      <c r="M44" s="42">
        <f t="shared" si="7"/>
        <v>0.88888888888888884</v>
      </c>
      <c r="N44" s="42">
        <f t="shared" si="8"/>
        <v>0.88888888888888884</v>
      </c>
      <c r="O44" s="43">
        <f>'Detailed Results'!I44</f>
        <v>12</v>
      </c>
      <c r="P44" s="43">
        <f>'Detailed Results'!J44</f>
        <v>12</v>
      </c>
      <c r="Q44" s="44">
        <f t="shared" si="0"/>
        <v>1</v>
      </c>
      <c r="R44" s="44">
        <f t="shared" si="9"/>
        <v>0.66666666666666663</v>
      </c>
      <c r="S44" s="44">
        <f t="shared" si="1"/>
        <v>0.8</v>
      </c>
      <c r="T44" s="45">
        <f>'Detailed Results'!K44</f>
        <v>9</v>
      </c>
      <c r="U44" s="45">
        <f>'Detailed Results'!L44</f>
        <v>9</v>
      </c>
      <c r="V44" s="46">
        <f t="shared" si="2"/>
        <v>1</v>
      </c>
      <c r="W44" s="46">
        <f t="shared" si="10"/>
        <v>1</v>
      </c>
      <c r="X44" s="46">
        <f t="shared" si="3"/>
        <v>1</v>
      </c>
      <c r="Y44" s="47">
        <f>'Detailed Results'!M44</f>
        <v>12</v>
      </c>
      <c r="Z44" s="47">
        <f>'Detailed Results'!N44</f>
        <v>12</v>
      </c>
      <c r="AA44" s="48">
        <f t="shared" si="4"/>
        <v>1</v>
      </c>
      <c r="AB44" s="48">
        <f t="shared" si="11"/>
        <v>0.66666666666666663</v>
      </c>
      <c r="AC44" s="48">
        <f t="shared" si="5"/>
        <v>0.8</v>
      </c>
    </row>
    <row r="45" spans="1:29" ht="15" customHeight="1" thickBot="1" x14ac:dyDescent="0.4">
      <c r="A45" s="185"/>
      <c r="B45" s="18" t="s">
        <v>22</v>
      </c>
      <c r="C45" s="19" t="s">
        <v>16</v>
      </c>
      <c r="D45" s="19">
        <v>2</v>
      </c>
      <c r="E45" s="18" t="s">
        <v>109</v>
      </c>
      <c r="F45" s="40">
        <f>'GT Input'!C4</f>
        <v>9</v>
      </c>
      <c r="G45" s="40">
        <f>'GT Input'!D4</f>
        <v>18</v>
      </c>
      <c r="H45" s="40">
        <f>'GT Input'!E4</f>
        <v>9</v>
      </c>
      <c r="I45" s="40">
        <f>'GT Input'!F4</f>
        <v>18</v>
      </c>
      <c r="J45" s="41">
        <f>'Detailed Results'!G45</f>
        <v>7</v>
      </c>
      <c r="K45" s="41">
        <f>'Detailed Results'!H45</f>
        <v>7</v>
      </c>
      <c r="L45" s="42">
        <f t="shared" si="6"/>
        <v>1</v>
      </c>
      <c r="M45" s="42">
        <f t="shared" si="7"/>
        <v>0.77777777777777779</v>
      </c>
      <c r="N45" s="42">
        <f t="shared" si="8"/>
        <v>0.87500000000000011</v>
      </c>
      <c r="O45" s="43">
        <f>'Detailed Results'!I45</f>
        <v>12</v>
      </c>
      <c r="P45" s="43">
        <f>'Detailed Results'!J45</f>
        <v>12</v>
      </c>
      <c r="Q45" s="44">
        <f t="shared" si="0"/>
        <v>1</v>
      </c>
      <c r="R45" s="44">
        <f t="shared" si="9"/>
        <v>0.66666666666666663</v>
      </c>
      <c r="S45" s="44">
        <f t="shared" si="1"/>
        <v>0.8</v>
      </c>
      <c r="T45" s="45">
        <f>'Detailed Results'!K45</f>
        <v>7</v>
      </c>
      <c r="U45" s="45">
        <f>'Detailed Results'!L45</f>
        <v>5</v>
      </c>
      <c r="V45" s="46">
        <f t="shared" si="2"/>
        <v>0.7142857142857143</v>
      </c>
      <c r="W45" s="46">
        <f t="shared" si="10"/>
        <v>0.55555555555555558</v>
      </c>
      <c r="X45" s="46">
        <f t="shared" si="3"/>
        <v>0.62500000000000011</v>
      </c>
      <c r="Y45" s="47">
        <f>'Detailed Results'!M45</f>
        <v>12</v>
      </c>
      <c r="Z45" s="47">
        <f>'Detailed Results'!N45</f>
        <v>12</v>
      </c>
      <c r="AA45" s="48">
        <f t="shared" si="4"/>
        <v>1</v>
      </c>
      <c r="AB45" s="48">
        <f t="shared" si="11"/>
        <v>0.66666666666666663</v>
      </c>
      <c r="AC45" s="48">
        <f t="shared" si="5"/>
        <v>0.8</v>
      </c>
    </row>
    <row r="46" spans="1:29" ht="15" customHeight="1" thickBot="1" x14ac:dyDescent="0.4">
      <c r="A46" s="185"/>
      <c r="B46" s="16" t="s">
        <v>22</v>
      </c>
      <c r="C46" s="17" t="s">
        <v>16</v>
      </c>
      <c r="D46" s="17">
        <v>3</v>
      </c>
      <c r="E46" s="16" t="s">
        <v>17</v>
      </c>
      <c r="F46" s="40">
        <f>'GT Input'!C4</f>
        <v>9</v>
      </c>
      <c r="G46" s="40">
        <f>'GT Input'!D4</f>
        <v>18</v>
      </c>
      <c r="H46" s="40">
        <f>'GT Input'!E4</f>
        <v>9</v>
      </c>
      <c r="I46" s="40">
        <f>'GT Input'!F4</f>
        <v>18</v>
      </c>
      <c r="J46" s="41">
        <f>'Detailed Results'!G46</f>
        <v>9</v>
      </c>
      <c r="K46" s="41">
        <f>'Detailed Results'!H46</f>
        <v>8</v>
      </c>
      <c r="L46" s="42">
        <f t="shared" si="6"/>
        <v>0.88888888888888884</v>
      </c>
      <c r="M46" s="42">
        <f t="shared" si="7"/>
        <v>0.88888888888888884</v>
      </c>
      <c r="N46" s="42">
        <f t="shared" si="8"/>
        <v>0.88888888888888884</v>
      </c>
      <c r="O46" s="43">
        <f>'Detailed Results'!I46</f>
        <v>12</v>
      </c>
      <c r="P46" s="43">
        <f>'Detailed Results'!J46</f>
        <v>12</v>
      </c>
      <c r="Q46" s="44">
        <f t="shared" si="0"/>
        <v>1</v>
      </c>
      <c r="R46" s="44">
        <f t="shared" si="9"/>
        <v>0.66666666666666663</v>
      </c>
      <c r="S46" s="44">
        <f t="shared" si="1"/>
        <v>0.8</v>
      </c>
      <c r="T46" s="45">
        <f>'Detailed Results'!K46</f>
        <v>9</v>
      </c>
      <c r="U46" s="45">
        <f>'Detailed Results'!L46</f>
        <v>8</v>
      </c>
      <c r="V46" s="46">
        <f t="shared" si="2"/>
        <v>0.88888888888888884</v>
      </c>
      <c r="W46" s="46">
        <f t="shared" si="10"/>
        <v>0.88888888888888884</v>
      </c>
      <c r="X46" s="46">
        <f t="shared" si="3"/>
        <v>0.88888888888888884</v>
      </c>
      <c r="Y46" s="47">
        <f>'Detailed Results'!M46</f>
        <v>12</v>
      </c>
      <c r="Z46" s="47">
        <f>'Detailed Results'!N46</f>
        <v>12</v>
      </c>
      <c r="AA46" s="48">
        <f t="shared" si="4"/>
        <v>1</v>
      </c>
      <c r="AB46" s="48">
        <f t="shared" si="11"/>
        <v>0.66666666666666663</v>
      </c>
      <c r="AC46" s="48">
        <f t="shared" si="5"/>
        <v>0.8</v>
      </c>
    </row>
    <row r="47" spans="1:29" ht="15" customHeight="1" thickBot="1" x14ac:dyDescent="0.4">
      <c r="A47" s="185"/>
      <c r="B47" s="16" t="s">
        <v>22</v>
      </c>
      <c r="C47" s="17" t="s">
        <v>16</v>
      </c>
      <c r="D47" s="17">
        <v>3</v>
      </c>
      <c r="E47" s="16" t="s">
        <v>109</v>
      </c>
      <c r="F47" s="40">
        <f>'GT Input'!C4</f>
        <v>9</v>
      </c>
      <c r="G47" s="40">
        <f>'GT Input'!D4</f>
        <v>18</v>
      </c>
      <c r="H47" s="40">
        <f>'GT Input'!E4</f>
        <v>9</v>
      </c>
      <c r="I47" s="40">
        <f>'GT Input'!F4</f>
        <v>18</v>
      </c>
      <c r="J47" s="41">
        <f>'Detailed Results'!G47</f>
        <v>7</v>
      </c>
      <c r="K47" s="41">
        <f>'Detailed Results'!H47</f>
        <v>7</v>
      </c>
      <c r="L47" s="42">
        <f t="shared" si="6"/>
        <v>1</v>
      </c>
      <c r="M47" s="42">
        <f t="shared" si="7"/>
        <v>0.77777777777777779</v>
      </c>
      <c r="N47" s="42">
        <f t="shared" si="8"/>
        <v>0.87500000000000011</v>
      </c>
      <c r="O47" s="43">
        <f>'Detailed Results'!I47</f>
        <v>11</v>
      </c>
      <c r="P47" s="43">
        <f>'Detailed Results'!J47</f>
        <v>11</v>
      </c>
      <c r="Q47" s="44">
        <f t="shared" si="0"/>
        <v>1</v>
      </c>
      <c r="R47" s="44">
        <f t="shared" si="9"/>
        <v>0.61111111111111116</v>
      </c>
      <c r="S47" s="44">
        <f t="shared" si="1"/>
        <v>0.75862068965517249</v>
      </c>
      <c r="T47" s="45">
        <f>'Detailed Results'!K47</f>
        <v>7</v>
      </c>
      <c r="U47" s="45">
        <f>'Detailed Results'!L47</f>
        <v>5</v>
      </c>
      <c r="V47" s="46">
        <f t="shared" si="2"/>
        <v>0.7142857142857143</v>
      </c>
      <c r="W47" s="46">
        <f t="shared" si="10"/>
        <v>0.55555555555555558</v>
      </c>
      <c r="X47" s="46">
        <f t="shared" si="3"/>
        <v>0.62500000000000011</v>
      </c>
      <c r="Y47" s="47">
        <f>'Detailed Results'!M47</f>
        <v>11</v>
      </c>
      <c r="Z47" s="47">
        <f>'Detailed Results'!N47</f>
        <v>11</v>
      </c>
      <c r="AA47" s="48">
        <f t="shared" si="4"/>
        <v>1</v>
      </c>
      <c r="AB47" s="48">
        <f t="shared" si="11"/>
        <v>0.61111111111111116</v>
      </c>
      <c r="AC47" s="48">
        <f t="shared" si="5"/>
        <v>0.75862068965517249</v>
      </c>
    </row>
    <row r="48" spans="1:29" ht="15" customHeight="1" thickBot="1" x14ac:dyDescent="0.4">
      <c r="A48" s="185"/>
      <c r="B48" s="18" t="s">
        <v>22</v>
      </c>
      <c r="C48" s="19" t="s">
        <v>19</v>
      </c>
      <c r="D48" s="19">
        <v>1</v>
      </c>
      <c r="E48" s="18" t="s">
        <v>17</v>
      </c>
      <c r="F48" s="40">
        <f>'GT Input'!C4</f>
        <v>9</v>
      </c>
      <c r="G48" s="40">
        <f>'GT Input'!D4</f>
        <v>18</v>
      </c>
      <c r="H48" s="40">
        <f>'GT Input'!E4</f>
        <v>9</v>
      </c>
      <c r="I48" s="40">
        <f>'GT Input'!F4</f>
        <v>18</v>
      </c>
      <c r="J48" s="41">
        <f>'Detailed Results'!G48</f>
        <v>8</v>
      </c>
      <c r="K48" s="41">
        <f>'Detailed Results'!H48</f>
        <v>6</v>
      </c>
      <c r="L48" s="42">
        <f t="shared" si="6"/>
        <v>0.75</v>
      </c>
      <c r="M48" s="42">
        <f t="shared" si="7"/>
        <v>0.66666666666666663</v>
      </c>
      <c r="N48" s="42">
        <f t="shared" si="8"/>
        <v>0.70588235294117652</v>
      </c>
      <c r="O48" s="43">
        <f>'Detailed Results'!I48</f>
        <v>12</v>
      </c>
      <c r="P48" s="43">
        <f>'Detailed Results'!J48</f>
        <v>12</v>
      </c>
      <c r="Q48" s="44">
        <f t="shared" si="0"/>
        <v>1</v>
      </c>
      <c r="R48" s="44">
        <f t="shared" si="9"/>
        <v>0.66666666666666663</v>
      </c>
      <c r="S48" s="44">
        <f t="shared" si="1"/>
        <v>0.8</v>
      </c>
      <c r="T48" s="45">
        <f>'Detailed Results'!K48</f>
        <v>8</v>
      </c>
      <c r="U48" s="45">
        <f>'Detailed Results'!L48</f>
        <v>5</v>
      </c>
      <c r="V48" s="46">
        <f t="shared" si="2"/>
        <v>0.625</v>
      </c>
      <c r="W48" s="46">
        <f t="shared" si="10"/>
        <v>0.55555555555555558</v>
      </c>
      <c r="X48" s="46">
        <f t="shared" si="3"/>
        <v>0.58823529411764708</v>
      </c>
      <c r="Y48" s="47">
        <f>'Detailed Results'!M48</f>
        <v>12</v>
      </c>
      <c r="Z48" s="47">
        <f>'Detailed Results'!N48</f>
        <v>12</v>
      </c>
      <c r="AA48" s="48">
        <f t="shared" si="4"/>
        <v>1</v>
      </c>
      <c r="AB48" s="48">
        <f t="shared" si="11"/>
        <v>0.66666666666666663</v>
      </c>
      <c r="AC48" s="48">
        <f t="shared" si="5"/>
        <v>0.8</v>
      </c>
    </row>
    <row r="49" spans="1:29" ht="15" customHeight="1" thickBot="1" x14ac:dyDescent="0.4">
      <c r="A49" s="185"/>
      <c r="B49" s="18" t="s">
        <v>22</v>
      </c>
      <c r="C49" s="19" t="s">
        <v>19</v>
      </c>
      <c r="D49" s="19">
        <v>1</v>
      </c>
      <c r="E49" s="18" t="s">
        <v>109</v>
      </c>
      <c r="F49" s="40">
        <f>'GT Input'!C4</f>
        <v>9</v>
      </c>
      <c r="G49" s="40">
        <f>'GT Input'!D4</f>
        <v>18</v>
      </c>
      <c r="H49" s="40">
        <f>'GT Input'!E4</f>
        <v>9</v>
      </c>
      <c r="I49" s="40">
        <f>'GT Input'!F4</f>
        <v>18</v>
      </c>
      <c r="J49" s="41">
        <f>'Detailed Results'!G49</f>
        <v>8</v>
      </c>
      <c r="K49" s="41">
        <f>'Detailed Results'!H49</f>
        <v>6</v>
      </c>
      <c r="L49" s="42">
        <f t="shared" si="6"/>
        <v>0.75</v>
      </c>
      <c r="M49" s="42">
        <f t="shared" si="7"/>
        <v>0.66666666666666663</v>
      </c>
      <c r="N49" s="42">
        <f t="shared" si="8"/>
        <v>0.70588235294117652</v>
      </c>
      <c r="O49" s="43">
        <f>'Detailed Results'!I49</f>
        <v>12</v>
      </c>
      <c r="P49" s="43">
        <f>'Detailed Results'!J49</f>
        <v>12</v>
      </c>
      <c r="Q49" s="44">
        <f t="shared" si="0"/>
        <v>1</v>
      </c>
      <c r="R49" s="44">
        <f t="shared" si="9"/>
        <v>0.66666666666666663</v>
      </c>
      <c r="S49" s="44">
        <f t="shared" si="1"/>
        <v>0.8</v>
      </c>
      <c r="T49" s="45">
        <f>'Detailed Results'!K49</f>
        <v>8</v>
      </c>
      <c r="U49" s="45">
        <f>'Detailed Results'!L49</f>
        <v>5</v>
      </c>
      <c r="V49" s="46">
        <f t="shared" si="2"/>
        <v>0.625</v>
      </c>
      <c r="W49" s="46">
        <f t="shared" si="10"/>
        <v>0.55555555555555558</v>
      </c>
      <c r="X49" s="46">
        <f t="shared" si="3"/>
        <v>0.58823529411764708</v>
      </c>
      <c r="Y49" s="47">
        <f>'Detailed Results'!M49</f>
        <v>12</v>
      </c>
      <c r="Z49" s="47">
        <f>'Detailed Results'!N49</f>
        <v>12</v>
      </c>
      <c r="AA49" s="48">
        <f t="shared" si="4"/>
        <v>1</v>
      </c>
      <c r="AB49" s="48">
        <f t="shared" si="11"/>
        <v>0.66666666666666663</v>
      </c>
      <c r="AC49" s="48">
        <f t="shared" si="5"/>
        <v>0.8</v>
      </c>
    </row>
    <row r="50" spans="1:29" ht="15" customHeight="1" thickBot="1" x14ac:dyDescent="0.4">
      <c r="A50" s="185"/>
      <c r="B50" s="16" t="s">
        <v>22</v>
      </c>
      <c r="C50" s="17" t="s">
        <v>19</v>
      </c>
      <c r="D50" s="17">
        <v>2</v>
      </c>
      <c r="E50" s="16" t="s">
        <v>17</v>
      </c>
      <c r="F50" s="40">
        <f>'GT Input'!C4</f>
        <v>9</v>
      </c>
      <c r="G50" s="40">
        <f>'GT Input'!D4</f>
        <v>18</v>
      </c>
      <c r="H50" s="40">
        <f>'GT Input'!E4</f>
        <v>9</v>
      </c>
      <c r="I50" s="40">
        <f>'GT Input'!F4</f>
        <v>18</v>
      </c>
      <c r="J50" s="41">
        <f>'Detailed Results'!G50</f>
        <v>7</v>
      </c>
      <c r="K50" s="41">
        <f>'Detailed Results'!H50</f>
        <v>7</v>
      </c>
      <c r="L50" s="42">
        <f t="shared" si="6"/>
        <v>1</v>
      </c>
      <c r="M50" s="42">
        <f t="shared" si="7"/>
        <v>0.77777777777777779</v>
      </c>
      <c r="N50" s="42">
        <f t="shared" si="8"/>
        <v>0.87500000000000011</v>
      </c>
      <c r="O50" s="43">
        <f>'Detailed Results'!I50</f>
        <v>12</v>
      </c>
      <c r="P50" s="43">
        <f>'Detailed Results'!J50</f>
        <v>12</v>
      </c>
      <c r="Q50" s="44">
        <f t="shared" si="0"/>
        <v>1</v>
      </c>
      <c r="R50" s="44">
        <f t="shared" si="9"/>
        <v>0.66666666666666663</v>
      </c>
      <c r="S50" s="44">
        <f t="shared" si="1"/>
        <v>0.8</v>
      </c>
      <c r="T50" s="45">
        <f>'Detailed Results'!K50</f>
        <v>7</v>
      </c>
      <c r="U50" s="45">
        <f>'Detailed Results'!L50</f>
        <v>5</v>
      </c>
      <c r="V50" s="46">
        <f t="shared" si="2"/>
        <v>0.7142857142857143</v>
      </c>
      <c r="W50" s="46">
        <f t="shared" si="10"/>
        <v>0.55555555555555558</v>
      </c>
      <c r="X50" s="46">
        <f t="shared" si="3"/>
        <v>0.62500000000000011</v>
      </c>
      <c r="Y50" s="47">
        <f>'Detailed Results'!M50</f>
        <v>12</v>
      </c>
      <c r="Z50" s="47">
        <f>'Detailed Results'!N50</f>
        <v>12</v>
      </c>
      <c r="AA50" s="48">
        <f t="shared" si="4"/>
        <v>1</v>
      </c>
      <c r="AB50" s="48">
        <f t="shared" si="11"/>
        <v>0.66666666666666663</v>
      </c>
      <c r="AC50" s="48">
        <f t="shared" si="5"/>
        <v>0.8</v>
      </c>
    </row>
    <row r="51" spans="1:29" ht="15" customHeight="1" thickBot="1" x14ac:dyDescent="0.4">
      <c r="A51" s="185"/>
      <c r="B51" s="16" t="s">
        <v>22</v>
      </c>
      <c r="C51" s="17" t="s">
        <v>19</v>
      </c>
      <c r="D51" s="17">
        <v>2</v>
      </c>
      <c r="E51" s="16" t="s">
        <v>109</v>
      </c>
      <c r="F51" s="40">
        <f>'GT Input'!C4</f>
        <v>9</v>
      </c>
      <c r="G51" s="40">
        <f>'GT Input'!D4</f>
        <v>18</v>
      </c>
      <c r="H51" s="40">
        <f>'GT Input'!E4</f>
        <v>9</v>
      </c>
      <c r="I51" s="40">
        <f>'GT Input'!F4</f>
        <v>18</v>
      </c>
      <c r="J51" s="41">
        <f>'Detailed Results'!G51</f>
        <v>7</v>
      </c>
      <c r="K51" s="41">
        <f>'Detailed Results'!H51</f>
        <v>7</v>
      </c>
      <c r="L51" s="42">
        <f t="shared" si="6"/>
        <v>1</v>
      </c>
      <c r="M51" s="42">
        <f t="shared" si="7"/>
        <v>0.77777777777777779</v>
      </c>
      <c r="N51" s="42">
        <f t="shared" si="8"/>
        <v>0.87500000000000011</v>
      </c>
      <c r="O51" s="43">
        <f>'Detailed Results'!I51</f>
        <v>12</v>
      </c>
      <c r="P51" s="43">
        <f>'Detailed Results'!J51</f>
        <v>12</v>
      </c>
      <c r="Q51" s="44">
        <f t="shared" si="0"/>
        <v>1</v>
      </c>
      <c r="R51" s="44">
        <f t="shared" si="9"/>
        <v>0.66666666666666663</v>
      </c>
      <c r="S51" s="44">
        <f t="shared" si="1"/>
        <v>0.8</v>
      </c>
      <c r="T51" s="45">
        <f>'Detailed Results'!K51</f>
        <v>7</v>
      </c>
      <c r="U51" s="45">
        <f>'Detailed Results'!L51</f>
        <v>5</v>
      </c>
      <c r="V51" s="46">
        <f t="shared" si="2"/>
        <v>0.7142857142857143</v>
      </c>
      <c r="W51" s="46">
        <f t="shared" si="10"/>
        <v>0.55555555555555558</v>
      </c>
      <c r="X51" s="46">
        <f t="shared" si="3"/>
        <v>0.62500000000000011</v>
      </c>
      <c r="Y51" s="47">
        <f>'Detailed Results'!M51</f>
        <v>12</v>
      </c>
      <c r="Z51" s="47">
        <f>'Detailed Results'!N51</f>
        <v>12</v>
      </c>
      <c r="AA51" s="48">
        <f t="shared" si="4"/>
        <v>1</v>
      </c>
      <c r="AB51" s="48">
        <f t="shared" si="11"/>
        <v>0.66666666666666663</v>
      </c>
      <c r="AC51" s="48">
        <f t="shared" si="5"/>
        <v>0.8</v>
      </c>
    </row>
    <row r="52" spans="1:29" ht="15" customHeight="1" thickBot="1" x14ac:dyDescent="0.4">
      <c r="A52" s="185"/>
      <c r="B52" s="18" t="s">
        <v>22</v>
      </c>
      <c r="C52" s="19" t="s">
        <v>19</v>
      </c>
      <c r="D52" s="19">
        <v>3</v>
      </c>
      <c r="E52" s="18" t="s">
        <v>17</v>
      </c>
      <c r="F52" s="40">
        <f>'GT Input'!C4</f>
        <v>9</v>
      </c>
      <c r="G52" s="40">
        <f>'GT Input'!D4</f>
        <v>18</v>
      </c>
      <c r="H52" s="40">
        <f>'GT Input'!E4</f>
        <v>9</v>
      </c>
      <c r="I52" s="40">
        <f>'GT Input'!F4</f>
        <v>18</v>
      </c>
      <c r="J52" s="41">
        <f>'Detailed Results'!G52</f>
        <v>11</v>
      </c>
      <c r="K52" s="41">
        <f>'Detailed Results'!H52</f>
        <v>10</v>
      </c>
      <c r="L52" s="42">
        <f t="shared" si="6"/>
        <v>0.90909090909090906</v>
      </c>
      <c r="M52" s="42">
        <f t="shared" si="7"/>
        <v>1.1111111111111112</v>
      </c>
      <c r="N52" s="42">
        <f t="shared" si="8"/>
        <v>1</v>
      </c>
      <c r="O52" s="43">
        <f>'Detailed Results'!I52</f>
        <v>18</v>
      </c>
      <c r="P52" s="43">
        <f>'Detailed Results'!J52</f>
        <v>18</v>
      </c>
      <c r="Q52" s="44">
        <f t="shared" si="0"/>
        <v>1</v>
      </c>
      <c r="R52" s="44">
        <f t="shared" si="9"/>
        <v>1</v>
      </c>
      <c r="S52" s="44">
        <f t="shared" si="1"/>
        <v>1</v>
      </c>
      <c r="T52" s="45">
        <f>'Detailed Results'!K52</f>
        <v>11</v>
      </c>
      <c r="U52" s="45">
        <f>'Detailed Results'!L52</f>
        <v>8</v>
      </c>
      <c r="V52" s="46">
        <f t="shared" si="2"/>
        <v>0.72727272727272729</v>
      </c>
      <c r="W52" s="46">
        <f t="shared" si="10"/>
        <v>0.88888888888888884</v>
      </c>
      <c r="X52" s="46">
        <f t="shared" si="3"/>
        <v>0.79999999999999993</v>
      </c>
      <c r="Y52" s="47">
        <f>'Detailed Results'!M52</f>
        <v>18</v>
      </c>
      <c r="Z52" s="47">
        <f>'Detailed Results'!N52</f>
        <v>18</v>
      </c>
      <c r="AA52" s="48">
        <f t="shared" si="4"/>
        <v>1</v>
      </c>
      <c r="AB52" s="48">
        <f t="shared" si="11"/>
        <v>1</v>
      </c>
      <c r="AC52" s="48">
        <f t="shared" si="5"/>
        <v>1</v>
      </c>
    </row>
    <row r="53" spans="1:29" ht="15" customHeight="1" thickBot="1" x14ac:dyDescent="0.4">
      <c r="A53" s="185"/>
      <c r="B53" s="18" t="s">
        <v>22</v>
      </c>
      <c r="C53" s="19" t="s">
        <v>19</v>
      </c>
      <c r="D53" s="19">
        <v>3</v>
      </c>
      <c r="E53" s="18" t="s">
        <v>109</v>
      </c>
      <c r="F53" s="40">
        <f>'GT Input'!C4</f>
        <v>9</v>
      </c>
      <c r="G53" s="40">
        <f>'GT Input'!D4</f>
        <v>18</v>
      </c>
      <c r="H53" s="40">
        <f>'GT Input'!E4</f>
        <v>9</v>
      </c>
      <c r="I53" s="40">
        <f>'GT Input'!F4</f>
        <v>18</v>
      </c>
      <c r="J53" s="41">
        <f>'Detailed Results'!G53</f>
        <v>11</v>
      </c>
      <c r="K53" s="41">
        <f>'Detailed Results'!H53</f>
        <v>10</v>
      </c>
      <c r="L53" s="42">
        <f t="shared" si="6"/>
        <v>0.90909090909090906</v>
      </c>
      <c r="M53" s="42">
        <f t="shared" si="7"/>
        <v>1.1111111111111112</v>
      </c>
      <c r="N53" s="42">
        <f t="shared" si="8"/>
        <v>1</v>
      </c>
      <c r="O53" s="43">
        <f>'Detailed Results'!I53</f>
        <v>18</v>
      </c>
      <c r="P53" s="43">
        <f>'Detailed Results'!J53</f>
        <v>18</v>
      </c>
      <c r="Q53" s="44">
        <f t="shared" si="0"/>
        <v>1</v>
      </c>
      <c r="R53" s="44">
        <f t="shared" si="9"/>
        <v>1</v>
      </c>
      <c r="S53" s="44">
        <f t="shared" si="1"/>
        <v>1</v>
      </c>
      <c r="T53" s="45">
        <f>'Detailed Results'!K53</f>
        <v>11</v>
      </c>
      <c r="U53" s="45">
        <f>'Detailed Results'!L53</f>
        <v>8</v>
      </c>
      <c r="V53" s="46">
        <f t="shared" si="2"/>
        <v>0.72727272727272729</v>
      </c>
      <c r="W53" s="46">
        <f t="shared" si="10"/>
        <v>0.88888888888888884</v>
      </c>
      <c r="X53" s="46">
        <f t="shared" si="3"/>
        <v>0.79999999999999993</v>
      </c>
      <c r="Y53" s="47">
        <f>'Detailed Results'!M53</f>
        <v>18</v>
      </c>
      <c r="Z53" s="47">
        <f>'Detailed Results'!N53</f>
        <v>18</v>
      </c>
      <c r="AA53" s="48">
        <f t="shared" si="4"/>
        <v>1</v>
      </c>
      <c r="AB53" s="48">
        <f t="shared" si="11"/>
        <v>1</v>
      </c>
      <c r="AC53" s="48">
        <f t="shared" si="5"/>
        <v>1</v>
      </c>
    </row>
    <row r="54" spans="1:29" ht="15" customHeight="1" thickBot="1" x14ac:dyDescent="0.4">
      <c r="A54" s="185"/>
      <c r="B54" s="16" t="s">
        <v>22</v>
      </c>
      <c r="C54" s="17" t="s">
        <v>20</v>
      </c>
      <c r="D54" s="17">
        <v>1</v>
      </c>
      <c r="E54" s="16" t="s">
        <v>17</v>
      </c>
      <c r="F54" s="40">
        <f>'GT Input'!C4</f>
        <v>9</v>
      </c>
      <c r="G54" s="40">
        <f>'GT Input'!D4</f>
        <v>18</v>
      </c>
      <c r="H54" s="40">
        <f>'GT Input'!E4</f>
        <v>9</v>
      </c>
      <c r="I54" s="40">
        <f>'GT Input'!F4</f>
        <v>18</v>
      </c>
      <c r="J54" s="41">
        <f>'Detailed Results'!G54</f>
        <v>9</v>
      </c>
      <c r="K54" s="41">
        <f>'Detailed Results'!H54</f>
        <v>8</v>
      </c>
      <c r="L54" s="42">
        <f t="shared" si="6"/>
        <v>0.88888888888888884</v>
      </c>
      <c r="M54" s="42">
        <f t="shared" si="7"/>
        <v>0.88888888888888884</v>
      </c>
      <c r="N54" s="42">
        <f t="shared" si="8"/>
        <v>0.88888888888888884</v>
      </c>
      <c r="O54" s="43">
        <f>'Detailed Results'!I54</f>
        <v>18</v>
      </c>
      <c r="P54" s="43">
        <f>'Detailed Results'!J54</f>
        <v>18</v>
      </c>
      <c r="Q54" s="44">
        <f t="shared" si="0"/>
        <v>1</v>
      </c>
      <c r="R54" s="44">
        <f t="shared" si="9"/>
        <v>1</v>
      </c>
      <c r="S54" s="44">
        <f t="shared" si="1"/>
        <v>1</v>
      </c>
      <c r="T54" s="45">
        <f>'Detailed Results'!K54</f>
        <v>9</v>
      </c>
      <c r="U54" s="45">
        <f>'Detailed Results'!L54</f>
        <v>8</v>
      </c>
      <c r="V54" s="46">
        <f t="shared" si="2"/>
        <v>0.88888888888888884</v>
      </c>
      <c r="W54" s="46">
        <f t="shared" si="10"/>
        <v>0.88888888888888884</v>
      </c>
      <c r="X54" s="46">
        <f t="shared" si="3"/>
        <v>0.88888888888888884</v>
      </c>
      <c r="Y54" s="47">
        <f>'Detailed Results'!M54</f>
        <v>18</v>
      </c>
      <c r="Z54" s="47">
        <f>'Detailed Results'!N54</f>
        <v>9</v>
      </c>
      <c r="AA54" s="48">
        <f t="shared" si="4"/>
        <v>0.5</v>
      </c>
      <c r="AB54" s="48">
        <f t="shared" si="11"/>
        <v>0.5</v>
      </c>
      <c r="AC54" s="48">
        <f t="shared" si="5"/>
        <v>0.5</v>
      </c>
    </row>
    <row r="55" spans="1:29" ht="15" customHeight="1" thickBot="1" x14ac:dyDescent="0.4">
      <c r="A55" s="185"/>
      <c r="B55" s="16" t="s">
        <v>22</v>
      </c>
      <c r="C55" s="17" t="s">
        <v>20</v>
      </c>
      <c r="D55" s="17">
        <v>1</v>
      </c>
      <c r="E55" s="16" t="s">
        <v>109</v>
      </c>
      <c r="F55" s="40">
        <f>'GT Input'!C4</f>
        <v>9</v>
      </c>
      <c r="G55" s="40">
        <f>'GT Input'!D4</f>
        <v>18</v>
      </c>
      <c r="H55" s="40">
        <f>'GT Input'!E4</f>
        <v>9</v>
      </c>
      <c r="I55" s="40">
        <f>'GT Input'!F4</f>
        <v>18</v>
      </c>
      <c r="J55" s="41">
        <f>'Detailed Results'!G55</f>
        <v>5</v>
      </c>
      <c r="K55" s="41">
        <f>'Detailed Results'!H55</f>
        <v>5</v>
      </c>
      <c r="L55" s="42">
        <f t="shared" si="6"/>
        <v>1</v>
      </c>
      <c r="M55" s="42">
        <f t="shared" si="7"/>
        <v>0.55555555555555558</v>
      </c>
      <c r="N55" s="42">
        <f t="shared" si="8"/>
        <v>0.7142857142857143</v>
      </c>
      <c r="O55" s="43">
        <f>'Detailed Results'!I55</f>
        <v>12</v>
      </c>
      <c r="P55" s="43">
        <f>'Detailed Results'!J55</f>
        <v>12</v>
      </c>
      <c r="Q55" s="44">
        <f t="shared" si="0"/>
        <v>1</v>
      </c>
      <c r="R55" s="44">
        <f t="shared" si="9"/>
        <v>0.66666666666666663</v>
      </c>
      <c r="S55" s="44">
        <f t="shared" si="1"/>
        <v>0.8</v>
      </c>
      <c r="T55" s="45">
        <f>'Detailed Results'!K55</f>
        <v>5</v>
      </c>
      <c r="U55" s="45">
        <f>'Detailed Results'!L55</f>
        <v>3</v>
      </c>
      <c r="V55" s="46">
        <f t="shared" si="2"/>
        <v>0.6</v>
      </c>
      <c r="W55" s="46">
        <f t="shared" si="10"/>
        <v>0.33333333333333331</v>
      </c>
      <c r="X55" s="46">
        <f t="shared" si="3"/>
        <v>0.42857142857142855</v>
      </c>
      <c r="Y55" s="47">
        <f>'Detailed Results'!M55</f>
        <v>12</v>
      </c>
      <c r="Z55" s="47">
        <f>'Detailed Results'!N55</f>
        <v>12</v>
      </c>
      <c r="AA55" s="48">
        <f t="shared" si="4"/>
        <v>1</v>
      </c>
      <c r="AB55" s="48">
        <f t="shared" si="11"/>
        <v>0.66666666666666663</v>
      </c>
      <c r="AC55" s="48">
        <f t="shared" si="5"/>
        <v>0.8</v>
      </c>
    </row>
    <row r="56" spans="1:29" ht="15" customHeight="1" thickBot="1" x14ac:dyDescent="0.4">
      <c r="A56" s="185"/>
      <c r="B56" s="18" t="s">
        <v>22</v>
      </c>
      <c r="C56" s="19" t="s">
        <v>20</v>
      </c>
      <c r="D56" s="19">
        <v>2</v>
      </c>
      <c r="E56" s="18" t="s">
        <v>17</v>
      </c>
      <c r="F56" s="40">
        <f>'GT Input'!C4</f>
        <v>9</v>
      </c>
      <c r="G56" s="40">
        <f>'GT Input'!D4</f>
        <v>18</v>
      </c>
      <c r="H56" s="40">
        <f>'GT Input'!E4</f>
        <v>9</v>
      </c>
      <c r="I56" s="40">
        <f>'GT Input'!F4</f>
        <v>18</v>
      </c>
      <c r="J56" s="41">
        <f>'Detailed Results'!G56</f>
        <v>9</v>
      </c>
      <c r="K56" s="41">
        <f>'Detailed Results'!H56</f>
        <v>8</v>
      </c>
      <c r="L56" s="42">
        <f t="shared" si="6"/>
        <v>0.88888888888888884</v>
      </c>
      <c r="M56" s="42">
        <f t="shared" si="7"/>
        <v>0.88888888888888884</v>
      </c>
      <c r="N56" s="42">
        <f t="shared" si="8"/>
        <v>0.88888888888888884</v>
      </c>
      <c r="O56" s="43">
        <f>'Detailed Results'!I56</f>
        <v>18</v>
      </c>
      <c r="P56" s="43">
        <f>'Detailed Results'!J56</f>
        <v>18</v>
      </c>
      <c r="Q56" s="44">
        <f t="shared" si="0"/>
        <v>1</v>
      </c>
      <c r="R56" s="44">
        <f t="shared" si="9"/>
        <v>1</v>
      </c>
      <c r="S56" s="44">
        <f t="shared" si="1"/>
        <v>1</v>
      </c>
      <c r="T56" s="45">
        <f>'Detailed Results'!K56</f>
        <v>9</v>
      </c>
      <c r="U56" s="45">
        <f>'Detailed Results'!L56</f>
        <v>8</v>
      </c>
      <c r="V56" s="46">
        <f t="shared" si="2"/>
        <v>0.88888888888888884</v>
      </c>
      <c r="W56" s="46">
        <f t="shared" si="10"/>
        <v>0.88888888888888884</v>
      </c>
      <c r="X56" s="46">
        <f t="shared" si="3"/>
        <v>0.88888888888888884</v>
      </c>
      <c r="Y56" s="47">
        <f>'Detailed Results'!M56</f>
        <v>18</v>
      </c>
      <c r="Z56" s="47">
        <f>'Detailed Results'!N56</f>
        <v>18</v>
      </c>
      <c r="AA56" s="48">
        <f t="shared" si="4"/>
        <v>1</v>
      </c>
      <c r="AB56" s="48">
        <f t="shared" si="11"/>
        <v>1</v>
      </c>
      <c r="AC56" s="48">
        <f t="shared" si="5"/>
        <v>1</v>
      </c>
    </row>
    <row r="57" spans="1:29" ht="15" customHeight="1" thickBot="1" x14ac:dyDescent="0.4">
      <c r="A57" s="185"/>
      <c r="B57" s="18" t="s">
        <v>22</v>
      </c>
      <c r="C57" s="19" t="s">
        <v>20</v>
      </c>
      <c r="D57" s="19">
        <v>2</v>
      </c>
      <c r="E57" s="18" t="s">
        <v>109</v>
      </c>
      <c r="F57" s="40">
        <f>'GT Input'!C4</f>
        <v>9</v>
      </c>
      <c r="G57" s="40">
        <f>'GT Input'!D4</f>
        <v>18</v>
      </c>
      <c r="H57" s="40">
        <f>'GT Input'!E4</f>
        <v>9</v>
      </c>
      <c r="I57" s="40">
        <f>'GT Input'!F4</f>
        <v>18</v>
      </c>
      <c r="J57" s="41">
        <f>'Detailed Results'!G57</f>
        <v>5</v>
      </c>
      <c r="K57" s="41">
        <f>'Detailed Results'!H57</f>
        <v>5</v>
      </c>
      <c r="L57" s="42">
        <f t="shared" si="6"/>
        <v>1</v>
      </c>
      <c r="M57" s="42">
        <f t="shared" si="7"/>
        <v>0.55555555555555558</v>
      </c>
      <c r="N57" s="42">
        <f t="shared" si="8"/>
        <v>0.7142857142857143</v>
      </c>
      <c r="O57" s="43">
        <f>'Detailed Results'!I57</f>
        <v>11</v>
      </c>
      <c r="P57" s="43">
        <f>'Detailed Results'!J57</f>
        <v>11</v>
      </c>
      <c r="Q57" s="44">
        <f t="shared" si="0"/>
        <v>1</v>
      </c>
      <c r="R57" s="44">
        <f t="shared" si="9"/>
        <v>0.61111111111111116</v>
      </c>
      <c r="S57" s="44">
        <f t="shared" si="1"/>
        <v>0.75862068965517249</v>
      </c>
      <c r="T57" s="45">
        <f>'Detailed Results'!K57</f>
        <v>5</v>
      </c>
      <c r="U57" s="45">
        <f>'Detailed Results'!L57</f>
        <v>3</v>
      </c>
      <c r="V57" s="46">
        <f t="shared" si="2"/>
        <v>0.6</v>
      </c>
      <c r="W57" s="46">
        <f t="shared" si="10"/>
        <v>0.33333333333333331</v>
      </c>
      <c r="X57" s="46">
        <f t="shared" si="3"/>
        <v>0.42857142857142855</v>
      </c>
      <c r="Y57" s="47">
        <f>'Detailed Results'!M57</f>
        <v>11</v>
      </c>
      <c r="Z57" s="47">
        <f>'Detailed Results'!N57</f>
        <v>11</v>
      </c>
      <c r="AA57" s="48">
        <f t="shared" si="4"/>
        <v>1</v>
      </c>
      <c r="AB57" s="48">
        <f t="shared" si="11"/>
        <v>0.61111111111111116</v>
      </c>
      <c r="AC57" s="48">
        <f t="shared" si="5"/>
        <v>0.75862068965517249</v>
      </c>
    </row>
    <row r="58" spans="1:29" ht="15" customHeight="1" thickBot="1" x14ac:dyDescent="0.4">
      <c r="A58" s="185"/>
      <c r="B58" s="16" t="s">
        <v>22</v>
      </c>
      <c r="C58" s="17" t="s">
        <v>20</v>
      </c>
      <c r="D58" s="17">
        <v>3</v>
      </c>
      <c r="E58" s="16" t="s">
        <v>17</v>
      </c>
      <c r="F58" s="40">
        <f>'GT Input'!C4</f>
        <v>9</v>
      </c>
      <c r="G58" s="40">
        <f>'GT Input'!D4</f>
        <v>18</v>
      </c>
      <c r="H58" s="40">
        <f>'GT Input'!E4</f>
        <v>9</v>
      </c>
      <c r="I58" s="40">
        <f>'GT Input'!F4</f>
        <v>18</v>
      </c>
      <c r="J58" s="41">
        <f>'Detailed Results'!G58</f>
        <v>9</v>
      </c>
      <c r="K58" s="41">
        <f>'Detailed Results'!H58</f>
        <v>8</v>
      </c>
      <c r="L58" s="42">
        <f t="shared" si="6"/>
        <v>0.88888888888888884</v>
      </c>
      <c r="M58" s="42">
        <f t="shared" si="7"/>
        <v>0.88888888888888884</v>
      </c>
      <c r="N58" s="42">
        <f t="shared" si="8"/>
        <v>0.88888888888888884</v>
      </c>
      <c r="O58" s="43">
        <f>'Detailed Results'!I58</f>
        <v>18</v>
      </c>
      <c r="P58" s="43">
        <f>'Detailed Results'!J58</f>
        <v>18</v>
      </c>
      <c r="Q58" s="44">
        <f t="shared" si="0"/>
        <v>1</v>
      </c>
      <c r="R58" s="44">
        <f t="shared" si="9"/>
        <v>1</v>
      </c>
      <c r="S58" s="44">
        <f t="shared" si="1"/>
        <v>1</v>
      </c>
      <c r="T58" s="45">
        <f>'Detailed Results'!K58</f>
        <v>9</v>
      </c>
      <c r="U58" s="45">
        <f>'Detailed Results'!L58</f>
        <v>8</v>
      </c>
      <c r="V58" s="46">
        <f t="shared" si="2"/>
        <v>0.88888888888888884</v>
      </c>
      <c r="W58" s="46">
        <f t="shared" si="10"/>
        <v>0.88888888888888884</v>
      </c>
      <c r="X58" s="46">
        <f t="shared" si="3"/>
        <v>0.88888888888888884</v>
      </c>
      <c r="Y58" s="47">
        <f>'Detailed Results'!M58</f>
        <v>18</v>
      </c>
      <c r="Z58" s="47">
        <f>'Detailed Results'!N58</f>
        <v>18</v>
      </c>
      <c r="AA58" s="48">
        <f t="shared" si="4"/>
        <v>1</v>
      </c>
      <c r="AB58" s="48">
        <f t="shared" si="11"/>
        <v>1</v>
      </c>
      <c r="AC58" s="48">
        <f t="shared" si="5"/>
        <v>1</v>
      </c>
    </row>
    <row r="59" spans="1:29" s="64" customFormat="1" ht="15" customHeight="1" thickBot="1" x14ac:dyDescent="0.4">
      <c r="A59" s="185"/>
      <c r="B59" s="53" t="s">
        <v>22</v>
      </c>
      <c r="C59" s="54" t="s">
        <v>20</v>
      </c>
      <c r="D59" s="54">
        <v>3</v>
      </c>
      <c r="E59" s="53" t="s">
        <v>109</v>
      </c>
      <c r="F59" s="55">
        <f>'GT Input'!C4</f>
        <v>9</v>
      </c>
      <c r="G59" s="55">
        <f>'GT Input'!D4</f>
        <v>18</v>
      </c>
      <c r="H59" s="55">
        <f>'GT Input'!E4</f>
        <v>9</v>
      </c>
      <c r="I59" s="55">
        <f>'GT Input'!F4</f>
        <v>18</v>
      </c>
      <c r="J59" s="56">
        <f>'Detailed Results'!G59</f>
        <v>7</v>
      </c>
      <c r="K59" s="56">
        <f>'Detailed Results'!H59</f>
        <v>7</v>
      </c>
      <c r="L59" s="57">
        <f t="shared" si="6"/>
        <v>1</v>
      </c>
      <c r="M59" s="57">
        <f t="shared" si="7"/>
        <v>0.77777777777777779</v>
      </c>
      <c r="N59" s="57">
        <f t="shared" si="8"/>
        <v>0.87500000000000011</v>
      </c>
      <c r="O59" s="58">
        <f>'Detailed Results'!I59</f>
        <v>12</v>
      </c>
      <c r="P59" s="58">
        <f>'Detailed Results'!J59</f>
        <v>12</v>
      </c>
      <c r="Q59" s="59">
        <f t="shared" si="0"/>
        <v>1</v>
      </c>
      <c r="R59" s="59">
        <f t="shared" si="9"/>
        <v>0.66666666666666663</v>
      </c>
      <c r="S59" s="59">
        <f t="shared" si="1"/>
        <v>0.8</v>
      </c>
      <c r="T59" s="60">
        <f>'Detailed Results'!K59</f>
        <v>7</v>
      </c>
      <c r="U59" s="60">
        <f>'Detailed Results'!L59</f>
        <v>4</v>
      </c>
      <c r="V59" s="61">
        <f t="shared" si="2"/>
        <v>0.5714285714285714</v>
      </c>
      <c r="W59" s="61">
        <f t="shared" si="10"/>
        <v>0.44444444444444442</v>
      </c>
      <c r="X59" s="61">
        <f t="shared" si="3"/>
        <v>0.5</v>
      </c>
      <c r="Y59" s="62">
        <f>'Detailed Results'!M59</f>
        <v>12</v>
      </c>
      <c r="Z59" s="62">
        <f>'Detailed Results'!N59</f>
        <v>12</v>
      </c>
      <c r="AA59" s="63">
        <f t="shared" si="4"/>
        <v>1</v>
      </c>
      <c r="AB59" s="63">
        <f t="shared" si="11"/>
        <v>0.66666666666666663</v>
      </c>
      <c r="AC59" s="63">
        <f t="shared" si="5"/>
        <v>0.8</v>
      </c>
    </row>
    <row r="60" spans="1:29" ht="15" customHeight="1" thickBot="1" x14ac:dyDescent="0.4">
      <c r="A60" s="185" t="s">
        <v>23</v>
      </c>
      <c r="B60" s="65" t="s">
        <v>15</v>
      </c>
      <c r="C60" s="66" t="s">
        <v>16</v>
      </c>
      <c r="D60" s="66">
        <v>1</v>
      </c>
      <c r="E60" s="65" t="s">
        <v>17</v>
      </c>
      <c r="F60" s="67">
        <f>'GT Input'!C5</f>
        <v>9</v>
      </c>
      <c r="G60" s="67">
        <f>'GT Input'!D5</f>
        <v>15</v>
      </c>
      <c r="H60" s="67">
        <f>'GT Input'!E5</f>
        <v>9</v>
      </c>
      <c r="I60" s="67">
        <f>'GT Input'!F5</f>
        <v>15</v>
      </c>
      <c r="J60" s="68">
        <f>'Detailed Results'!G60</f>
        <v>9</v>
      </c>
      <c r="K60" s="68">
        <f>'Detailed Results'!H60</f>
        <v>9</v>
      </c>
      <c r="L60" s="69">
        <f t="shared" si="6"/>
        <v>1</v>
      </c>
      <c r="M60" s="69">
        <f t="shared" si="7"/>
        <v>1</v>
      </c>
      <c r="N60" s="69">
        <f t="shared" si="8"/>
        <v>1</v>
      </c>
      <c r="O60" s="70">
        <f>'Detailed Results'!I60</f>
        <v>19</v>
      </c>
      <c r="P60" s="70">
        <f>'Detailed Results'!J60</f>
        <v>19</v>
      </c>
      <c r="Q60" s="71">
        <f t="shared" si="0"/>
        <v>1</v>
      </c>
      <c r="R60" s="71">
        <f t="shared" si="9"/>
        <v>1.2666666666666666</v>
      </c>
      <c r="S60" s="71">
        <f t="shared" si="1"/>
        <v>1.1176470588235294</v>
      </c>
      <c r="T60" s="72">
        <f>'Detailed Results'!K60</f>
        <v>9</v>
      </c>
      <c r="U60" s="72">
        <f>'Detailed Results'!L60</f>
        <v>9</v>
      </c>
      <c r="V60" s="73">
        <f t="shared" si="2"/>
        <v>1</v>
      </c>
      <c r="W60" s="73">
        <f t="shared" si="10"/>
        <v>1</v>
      </c>
      <c r="X60" s="73">
        <f t="shared" si="3"/>
        <v>1</v>
      </c>
      <c r="Y60" s="74">
        <f>'Detailed Results'!M60</f>
        <v>19</v>
      </c>
      <c r="Z60" s="74">
        <f>'Detailed Results'!N60</f>
        <v>15</v>
      </c>
      <c r="AA60" s="75">
        <f t="shared" si="4"/>
        <v>0.78947368421052633</v>
      </c>
      <c r="AB60" s="75">
        <f t="shared" si="11"/>
        <v>1</v>
      </c>
      <c r="AC60" s="75">
        <f t="shared" si="5"/>
        <v>0.88235294117647056</v>
      </c>
    </row>
    <row r="61" spans="1:29" ht="15" customHeight="1" thickBot="1" x14ac:dyDescent="0.4">
      <c r="A61" s="185"/>
      <c r="B61" s="7" t="s">
        <v>15</v>
      </c>
      <c r="C61" s="8" t="s">
        <v>16</v>
      </c>
      <c r="D61" s="8">
        <v>1</v>
      </c>
      <c r="E61" s="7" t="s">
        <v>109</v>
      </c>
      <c r="F61" s="40">
        <f>'GT Input'!C5</f>
        <v>9</v>
      </c>
      <c r="G61" s="40">
        <f>'GT Input'!D5</f>
        <v>15</v>
      </c>
      <c r="H61" s="40">
        <f>'GT Input'!E5</f>
        <v>9</v>
      </c>
      <c r="I61" s="40">
        <f>'GT Input'!F5</f>
        <v>15</v>
      </c>
      <c r="J61" s="41">
        <f>'Detailed Results'!G61</f>
        <v>9</v>
      </c>
      <c r="K61" s="41">
        <f>'Detailed Results'!H61</f>
        <v>9</v>
      </c>
      <c r="L61" s="42">
        <f t="shared" si="6"/>
        <v>1</v>
      </c>
      <c r="M61" s="42">
        <f t="shared" si="7"/>
        <v>1</v>
      </c>
      <c r="N61" s="42">
        <f t="shared" si="8"/>
        <v>1</v>
      </c>
      <c r="O61" s="43">
        <f>'Detailed Results'!I61</f>
        <v>19</v>
      </c>
      <c r="P61" s="43">
        <f>'Detailed Results'!J61</f>
        <v>19</v>
      </c>
      <c r="Q61" s="44">
        <f t="shared" si="0"/>
        <v>1</v>
      </c>
      <c r="R61" s="44">
        <f t="shared" si="9"/>
        <v>1.2666666666666666</v>
      </c>
      <c r="S61" s="44">
        <f t="shared" si="1"/>
        <v>1.1176470588235294</v>
      </c>
      <c r="T61" s="45">
        <f>'Detailed Results'!K61</f>
        <v>9</v>
      </c>
      <c r="U61" s="45">
        <f>'Detailed Results'!L61</f>
        <v>9</v>
      </c>
      <c r="V61" s="46">
        <f t="shared" si="2"/>
        <v>1</v>
      </c>
      <c r="W61" s="46">
        <f t="shared" si="10"/>
        <v>1</v>
      </c>
      <c r="X61" s="46">
        <f t="shared" si="3"/>
        <v>1</v>
      </c>
      <c r="Y61" s="47">
        <f>'Detailed Results'!M61</f>
        <v>19</v>
      </c>
      <c r="Z61" s="47">
        <f>'Detailed Results'!N61</f>
        <v>15</v>
      </c>
      <c r="AA61" s="48">
        <f t="shared" si="4"/>
        <v>0.78947368421052633</v>
      </c>
      <c r="AB61" s="48">
        <f t="shared" si="11"/>
        <v>1</v>
      </c>
      <c r="AC61" s="48">
        <f t="shared" si="5"/>
        <v>0.88235294117647056</v>
      </c>
    </row>
    <row r="62" spans="1:29" ht="15" customHeight="1" thickBot="1" x14ac:dyDescent="0.4">
      <c r="A62" s="185"/>
      <c r="B62" s="10" t="s">
        <v>15</v>
      </c>
      <c r="C62" s="11" t="s">
        <v>16</v>
      </c>
      <c r="D62" s="11">
        <v>2</v>
      </c>
      <c r="E62" s="10" t="s">
        <v>17</v>
      </c>
      <c r="F62" s="40">
        <f>'GT Input'!C5</f>
        <v>9</v>
      </c>
      <c r="G62" s="40">
        <f>'GT Input'!D5</f>
        <v>15</v>
      </c>
      <c r="H62" s="40">
        <f>'GT Input'!E5</f>
        <v>9</v>
      </c>
      <c r="I62" s="40">
        <f>'GT Input'!F5</f>
        <v>15</v>
      </c>
      <c r="J62" s="41">
        <f>'Detailed Results'!G62</f>
        <v>9</v>
      </c>
      <c r="K62" s="41">
        <f>'Detailed Results'!H62</f>
        <v>9</v>
      </c>
      <c r="L62" s="42">
        <f t="shared" si="6"/>
        <v>1</v>
      </c>
      <c r="M62" s="42">
        <f t="shared" si="7"/>
        <v>1</v>
      </c>
      <c r="N62" s="42">
        <f t="shared" si="8"/>
        <v>1</v>
      </c>
      <c r="O62" s="43">
        <f>'Detailed Results'!I62</f>
        <v>16</v>
      </c>
      <c r="P62" s="43">
        <f>'Detailed Results'!J62</f>
        <v>16</v>
      </c>
      <c r="Q62" s="44">
        <f t="shared" si="0"/>
        <v>1</v>
      </c>
      <c r="R62" s="44">
        <f t="shared" si="9"/>
        <v>1.0666666666666667</v>
      </c>
      <c r="S62" s="44">
        <f t="shared" si="1"/>
        <v>1.0322580645161292</v>
      </c>
      <c r="T62" s="45">
        <f>'Detailed Results'!K62</f>
        <v>9</v>
      </c>
      <c r="U62" s="45">
        <f>'Detailed Results'!L62</f>
        <v>9</v>
      </c>
      <c r="V62" s="46">
        <f t="shared" si="2"/>
        <v>1</v>
      </c>
      <c r="W62" s="46">
        <f t="shared" si="10"/>
        <v>1</v>
      </c>
      <c r="X62" s="46">
        <f t="shared" si="3"/>
        <v>1</v>
      </c>
      <c r="Y62" s="47">
        <f>'Detailed Results'!M62</f>
        <v>16</v>
      </c>
      <c r="Z62" s="47">
        <f>'Detailed Results'!N62</f>
        <v>12</v>
      </c>
      <c r="AA62" s="48">
        <f t="shared" si="4"/>
        <v>0.75</v>
      </c>
      <c r="AB62" s="48">
        <f t="shared" si="11"/>
        <v>0.8</v>
      </c>
      <c r="AC62" s="48">
        <f t="shared" si="5"/>
        <v>0.77419354838709686</v>
      </c>
    </row>
    <row r="63" spans="1:29" ht="15" customHeight="1" thickBot="1" x14ac:dyDescent="0.4">
      <c r="A63" s="185"/>
      <c r="B63" s="10" t="s">
        <v>15</v>
      </c>
      <c r="C63" s="11" t="s">
        <v>16</v>
      </c>
      <c r="D63" s="11">
        <v>2</v>
      </c>
      <c r="E63" s="10" t="s">
        <v>109</v>
      </c>
      <c r="F63" s="40">
        <f>'GT Input'!C5</f>
        <v>9</v>
      </c>
      <c r="G63" s="40">
        <f>'GT Input'!D5</f>
        <v>15</v>
      </c>
      <c r="H63" s="40">
        <f>'GT Input'!E5</f>
        <v>9</v>
      </c>
      <c r="I63" s="40">
        <f>'GT Input'!F5</f>
        <v>15</v>
      </c>
      <c r="J63" s="41">
        <f>'Detailed Results'!G63</f>
        <v>9</v>
      </c>
      <c r="K63" s="41">
        <f>'Detailed Results'!H63</f>
        <v>9</v>
      </c>
      <c r="L63" s="42">
        <f t="shared" si="6"/>
        <v>1</v>
      </c>
      <c r="M63" s="42">
        <f t="shared" si="7"/>
        <v>1</v>
      </c>
      <c r="N63" s="42">
        <f t="shared" si="8"/>
        <v>1</v>
      </c>
      <c r="O63" s="43">
        <f>'Detailed Results'!I63</f>
        <v>19</v>
      </c>
      <c r="P63" s="43">
        <f>'Detailed Results'!J63</f>
        <v>19</v>
      </c>
      <c r="Q63" s="44">
        <f t="shared" si="0"/>
        <v>1</v>
      </c>
      <c r="R63" s="44">
        <f t="shared" si="9"/>
        <v>1.2666666666666666</v>
      </c>
      <c r="S63" s="44">
        <f t="shared" si="1"/>
        <v>1.1176470588235294</v>
      </c>
      <c r="T63" s="45">
        <f>'Detailed Results'!K63</f>
        <v>9</v>
      </c>
      <c r="U63" s="45">
        <f>'Detailed Results'!L63</f>
        <v>9</v>
      </c>
      <c r="V63" s="46">
        <f t="shared" si="2"/>
        <v>1</v>
      </c>
      <c r="W63" s="46">
        <f t="shared" si="10"/>
        <v>1</v>
      </c>
      <c r="X63" s="46">
        <f t="shared" si="3"/>
        <v>1</v>
      </c>
      <c r="Y63" s="47">
        <f>'Detailed Results'!M63</f>
        <v>19</v>
      </c>
      <c r="Z63" s="47">
        <f>'Detailed Results'!N63</f>
        <v>16</v>
      </c>
      <c r="AA63" s="48">
        <f t="shared" si="4"/>
        <v>0.84210526315789469</v>
      </c>
      <c r="AB63" s="48">
        <f t="shared" si="11"/>
        <v>1.0666666666666667</v>
      </c>
      <c r="AC63" s="48">
        <f t="shared" si="5"/>
        <v>0.94117647058823528</v>
      </c>
    </row>
    <row r="64" spans="1:29" ht="15" customHeight="1" thickBot="1" x14ac:dyDescent="0.4">
      <c r="A64" s="185"/>
      <c r="B64" s="7" t="s">
        <v>15</v>
      </c>
      <c r="C64" s="8" t="s">
        <v>16</v>
      </c>
      <c r="D64" s="8">
        <v>3</v>
      </c>
      <c r="E64" s="7" t="s">
        <v>17</v>
      </c>
      <c r="F64" s="40">
        <f>'GT Input'!C5</f>
        <v>9</v>
      </c>
      <c r="G64" s="40">
        <f>'GT Input'!D5</f>
        <v>15</v>
      </c>
      <c r="H64" s="40">
        <f>'GT Input'!E5</f>
        <v>9</v>
      </c>
      <c r="I64" s="40">
        <f>'GT Input'!F5</f>
        <v>15</v>
      </c>
      <c r="J64" s="41">
        <f>'Detailed Results'!G64</f>
        <v>9</v>
      </c>
      <c r="K64" s="41">
        <f>'Detailed Results'!H64</f>
        <v>9</v>
      </c>
      <c r="L64" s="42">
        <f t="shared" si="6"/>
        <v>1</v>
      </c>
      <c r="M64" s="42">
        <f t="shared" si="7"/>
        <v>1</v>
      </c>
      <c r="N64" s="42">
        <f t="shared" si="8"/>
        <v>1</v>
      </c>
      <c r="O64" s="43">
        <f>'Detailed Results'!I64</f>
        <v>15</v>
      </c>
      <c r="P64" s="43">
        <f>'Detailed Results'!J64</f>
        <v>15</v>
      </c>
      <c r="Q64" s="44">
        <f t="shared" si="0"/>
        <v>1</v>
      </c>
      <c r="R64" s="44">
        <f t="shared" si="9"/>
        <v>1</v>
      </c>
      <c r="S64" s="44">
        <f t="shared" si="1"/>
        <v>1</v>
      </c>
      <c r="T64" s="45">
        <f>'Detailed Results'!K64</f>
        <v>9</v>
      </c>
      <c r="U64" s="45">
        <f>'Detailed Results'!L64</f>
        <v>9</v>
      </c>
      <c r="V64" s="46">
        <f t="shared" si="2"/>
        <v>1</v>
      </c>
      <c r="W64" s="46">
        <f t="shared" si="10"/>
        <v>1</v>
      </c>
      <c r="X64" s="46">
        <f t="shared" si="3"/>
        <v>1</v>
      </c>
      <c r="Y64" s="47">
        <f>'Detailed Results'!M64</f>
        <v>15</v>
      </c>
      <c r="Z64" s="47">
        <f>'Detailed Results'!N64</f>
        <v>10</v>
      </c>
      <c r="AA64" s="48">
        <f t="shared" si="4"/>
        <v>0.66666666666666663</v>
      </c>
      <c r="AB64" s="48">
        <f t="shared" si="11"/>
        <v>0.66666666666666663</v>
      </c>
      <c r="AC64" s="48">
        <f t="shared" si="5"/>
        <v>0.66666666666666663</v>
      </c>
    </row>
    <row r="65" spans="1:29" ht="15" customHeight="1" thickBot="1" x14ac:dyDescent="0.4">
      <c r="A65" s="185"/>
      <c r="B65" s="7" t="s">
        <v>15</v>
      </c>
      <c r="C65" s="8" t="s">
        <v>16</v>
      </c>
      <c r="D65" s="8">
        <v>3</v>
      </c>
      <c r="E65" s="7" t="s">
        <v>109</v>
      </c>
      <c r="F65" s="40">
        <f>'GT Input'!C5</f>
        <v>9</v>
      </c>
      <c r="G65" s="40">
        <f>'GT Input'!D5</f>
        <v>15</v>
      </c>
      <c r="H65" s="40">
        <f>'GT Input'!E5</f>
        <v>9</v>
      </c>
      <c r="I65" s="40">
        <f>'GT Input'!F5</f>
        <v>15</v>
      </c>
      <c r="J65" s="41">
        <f>'Detailed Results'!G65</f>
        <v>9</v>
      </c>
      <c r="K65" s="41">
        <f>'Detailed Results'!H65</f>
        <v>9</v>
      </c>
      <c r="L65" s="42">
        <f t="shared" si="6"/>
        <v>1</v>
      </c>
      <c r="M65" s="42">
        <f t="shared" si="7"/>
        <v>1</v>
      </c>
      <c r="N65" s="42">
        <f t="shared" si="8"/>
        <v>1</v>
      </c>
      <c r="O65" s="43">
        <f>'Detailed Results'!I65</f>
        <v>19</v>
      </c>
      <c r="P65" s="43">
        <f>'Detailed Results'!J65</f>
        <v>19</v>
      </c>
      <c r="Q65" s="44">
        <f t="shared" si="0"/>
        <v>1</v>
      </c>
      <c r="R65" s="44">
        <f t="shared" si="9"/>
        <v>1.2666666666666666</v>
      </c>
      <c r="S65" s="44">
        <f t="shared" si="1"/>
        <v>1.1176470588235294</v>
      </c>
      <c r="T65" s="45">
        <f>'Detailed Results'!K65</f>
        <v>9</v>
      </c>
      <c r="U65" s="45">
        <f>'Detailed Results'!L65</f>
        <v>9</v>
      </c>
      <c r="V65" s="46">
        <f t="shared" si="2"/>
        <v>1</v>
      </c>
      <c r="W65" s="46">
        <f t="shared" si="10"/>
        <v>1</v>
      </c>
      <c r="X65" s="46">
        <f t="shared" si="3"/>
        <v>1</v>
      </c>
      <c r="Y65" s="47">
        <f>'Detailed Results'!M65</f>
        <v>19</v>
      </c>
      <c r="Z65" s="47">
        <f>'Detailed Results'!N65</f>
        <v>16</v>
      </c>
      <c r="AA65" s="48">
        <f t="shared" si="4"/>
        <v>0.84210526315789469</v>
      </c>
      <c r="AB65" s="48">
        <f t="shared" si="11"/>
        <v>1.0666666666666667</v>
      </c>
      <c r="AC65" s="48">
        <f t="shared" si="5"/>
        <v>0.94117647058823528</v>
      </c>
    </row>
    <row r="66" spans="1:29" ht="15" customHeight="1" thickBot="1" x14ac:dyDescent="0.4">
      <c r="A66" s="185"/>
      <c r="B66" s="10" t="s">
        <v>15</v>
      </c>
      <c r="C66" s="11" t="s">
        <v>19</v>
      </c>
      <c r="D66" s="11">
        <v>1</v>
      </c>
      <c r="E66" s="10" t="s">
        <v>17</v>
      </c>
      <c r="F66" s="40">
        <f>'GT Input'!C5</f>
        <v>9</v>
      </c>
      <c r="G66" s="40">
        <f>'GT Input'!D5</f>
        <v>15</v>
      </c>
      <c r="H66" s="40">
        <f>'GT Input'!E5</f>
        <v>9</v>
      </c>
      <c r="I66" s="40">
        <f>'GT Input'!F5</f>
        <v>15</v>
      </c>
      <c r="J66" s="41">
        <f>'Detailed Results'!G66</f>
        <v>9</v>
      </c>
      <c r="K66" s="41">
        <f>'Detailed Results'!H66</f>
        <v>9</v>
      </c>
      <c r="L66" s="42">
        <f t="shared" si="6"/>
        <v>1</v>
      </c>
      <c r="M66" s="42">
        <f t="shared" si="7"/>
        <v>1</v>
      </c>
      <c r="N66" s="42">
        <f t="shared" si="8"/>
        <v>1</v>
      </c>
      <c r="O66" s="43">
        <f>'Detailed Results'!I66</f>
        <v>19</v>
      </c>
      <c r="P66" s="43">
        <f>'Detailed Results'!J66</f>
        <v>19</v>
      </c>
      <c r="Q66" s="44">
        <f t="shared" si="0"/>
        <v>1</v>
      </c>
      <c r="R66" s="44">
        <f t="shared" si="9"/>
        <v>1.2666666666666666</v>
      </c>
      <c r="S66" s="44">
        <f t="shared" si="1"/>
        <v>1.1176470588235294</v>
      </c>
      <c r="T66" s="45">
        <f>'Detailed Results'!K66</f>
        <v>9</v>
      </c>
      <c r="U66" s="45">
        <f>'Detailed Results'!L66</f>
        <v>9</v>
      </c>
      <c r="V66" s="46">
        <f t="shared" si="2"/>
        <v>1</v>
      </c>
      <c r="W66" s="46">
        <f t="shared" si="10"/>
        <v>1</v>
      </c>
      <c r="X66" s="46">
        <f t="shared" si="3"/>
        <v>1</v>
      </c>
      <c r="Y66" s="47">
        <f>'Detailed Results'!M66</f>
        <v>19</v>
      </c>
      <c r="Z66" s="47">
        <f>'Detailed Results'!N66</f>
        <v>19</v>
      </c>
      <c r="AA66" s="48">
        <f t="shared" si="4"/>
        <v>1</v>
      </c>
      <c r="AB66" s="48">
        <f t="shared" si="11"/>
        <v>1.2666666666666666</v>
      </c>
      <c r="AC66" s="48">
        <f t="shared" si="5"/>
        <v>1.1176470588235294</v>
      </c>
    </row>
    <row r="67" spans="1:29" ht="15" customHeight="1" thickBot="1" x14ac:dyDescent="0.4">
      <c r="A67" s="185"/>
      <c r="B67" s="10" t="s">
        <v>15</v>
      </c>
      <c r="C67" s="11" t="s">
        <v>19</v>
      </c>
      <c r="D67" s="11">
        <v>1</v>
      </c>
      <c r="E67" s="10" t="s">
        <v>109</v>
      </c>
      <c r="F67" s="40">
        <f>'GT Input'!C5</f>
        <v>9</v>
      </c>
      <c r="G67" s="40">
        <f>'GT Input'!D5</f>
        <v>15</v>
      </c>
      <c r="H67" s="40">
        <f>'GT Input'!E5</f>
        <v>9</v>
      </c>
      <c r="I67" s="40">
        <f>'GT Input'!F5</f>
        <v>15</v>
      </c>
      <c r="J67" s="41">
        <f>'Detailed Results'!G67</f>
        <v>9</v>
      </c>
      <c r="K67" s="41">
        <f>'Detailed Results'!H67</f>
        <v>9</v>
      </c>
      <c r="L67" s="42">
        <f t="shared" si="6"/>
        <v>1</v>
      </c>
      <c r="M67" s="42">
        <f t="shared" si="7"/>
        <v>1</v>
      </c>
      <c r="N67" s="42">
        <f t="shared" si="8"/>
        <v>1</v>
      </c>
      <c r="O67" s="43">
        <f>'Detailed Results'!I67</f>
        <v>19</v>
      </c>
      <c r="P67" s="43">
        <f>'Detailed Results'!J67</f>
        <v>19</v>
      </c>
      <c r="Q67" s="44">
        <f t="shared" si="0"/>
        <v>1</v>
      </c>
      <c r="R67" s="44">
        <f t="shared" si="9"/>
        <v>1.2666666666666666</v>
      </c>
      <c r="S67" s="44">
        <f t="shared" si="1"/>
        <v>1.1176470588235294</v>
      </c>
      <c r="T67" s="45">
        <f>'Detailed Results'!K67</f>
        <v>9</v>
      </c>
      <c r="U67" s="45">
        <f>'Detailed Results'!L67</f>
        <v>9</v>
      </c>
      <c r="V67" s="46">
        <f t="shared" si="2"/>
        <v>1</v>
      </c>
      <c r="W67" s="46">
        <f t="shared" si="10"/>
        <v>1</v>
      </c>
      <c r="X67" s="46">
        <f t="shared" si="3"/>
        <v>1</v>
      </c>
      <c r="Y67" s="47">
        <f>'Detailed Results'!M67</f>
        <v>19</v>
      </c>
      <c r="Z67" s="47">
        <f>'Detailed Results'!N67</f>
        <v>15</v>
      </c>
      <c r="AA67" s="48">
        <f t="shared" si="4"/>
        <v>0.78947368421052633</v>
      </c>
      <c r="AB67" s="48">
        <f t="shared" si="11"/>
        <v>1</v>
      </c>
      <c r="AC67" s="48">
        <f t="shared" si="5"/>
        <v>0.88235294117647056</v>
      </c>
    </row>
    <row r="68" spans="1:29" ht="15" customHeight="1" thickBot="1" x14ac:dyDescent="0.4">
      <c r="A68" s="185"/>
      <c r="B68" s="7" t="s">
        <v>15</v>
      </c>
      <c r="C68" s="8" t="s">
        <v>19</v>
      </c>
      <c r="D68" s="8">
        <v>2</v>
      </c>
      <c r="E68" s="7" t="s">
        <v>17</v>
      </c>
      <c r="F68" s="40">
        <f>'GT Input'!C5</f>
        <v>9</v>
      </c>
      <c r="G68" s="40">
        <f>'GT Input'!D5</f>
        <v>15</v>
      </c>
      <c r="H68" s="40">
        <f>'GT Input'!E5</f>
        <v>9</v>
      </c>
      <c r="I68" s="40">
        <f>'GT Input'!F5</f>
        <v>15</v>
      </c>
      <c r="J68" s="41">
        <f>'Detailed Results'!G68</f>
        <v>9</v>
      </c>
      <c r="K68" s="41">
        <f>'Detailed Results'!H68</f>
        <v>9</v>
      </c>
      <c r="L68" s="42">
        <f t="shared" si="6"/>
        <v>1</v>
      </c>
      <c r="M68" s="42">
        <f t="shared" si="7"/>
        <v>1</v>
      </c>
      <c r="N68" s="42">
        <f t="shared" si="8"/>
        <v>1</v>
      </c>
      <c r="O68" s="43">
        <f>'Detailed Results'!I68</f>
        <v>19</v>
      </c>
      <c r="P68" s="43">
        <f>'Detailed Results'!J68</f>
        <v>19</v>
      </c>
      <c r="Q68" s="44">
        <f t="shared" si="0"/>
        <v>1</v>
      </c>
      <c r="R68" s="44">
        <f t="shared" si="9"/>
        <v>1.2666666666666666</v>
      </c>
      <c r="S68" s="44">
        <f t="shared" si="1"/>
        <v>1.1176470588235294</v>
      </c>
      <c r="T68" s="45">
        <f>'Detailed Results'!K68</f>
        <v>9</v>
      </c>
      <c r="U68" s="45">
        <f>'Detailed Results'!L68</f>
        <v>9</v>
      </c>
      <c r="V68" s="46">
        <f t="shared" si="2"/>
        <v>1</v>
      </c>
      <c r="W68" s="46">
        <f t="shared" si="10"/>
        <v>1</v>
      </c>
      <c r="X68" s="46">
        <f t="shared" si="3"/>
        <v>1</v>
      </c>
      <c r="Y68" s="47">
        <f>'Detailed Results'!M68</f>
        <v>19</v>
      </c>
      <c r="Z68" s="47">
        <f>'Detailed Results'!N68</f>
        <v>19</v>
      </c>
      <c r="AA68" s="48">
        <f t="shared" si="4"/>
        <v>1</v>
      </c>
      <c r="AB68" s="48">
        <f t="shared" si="11"/>
        <v>1.2666666666666666</v>
      </c>
      <c r="AC68" s="48">
        <f t="shared" si="5"/>
        <v>1.1176470588235294</v>
      </c>
    </row>
    <row r="69" spans="1:29" ht="15" customHeight="1" thickBot="1" x14ac:dyDescent="0.4">
      <c r="A69" s="185"/>
      <c r="B69" s="7" t="s">
        <v>15</v>
      </c>
      <c r="C69" s="8" t="s">
        <v>19</v>
      </c>
      <c r="D69" s="8">
        <v>2</v>
      </c>
      <c r="E69" s="7" t="s">
        <v>109</v>
      </c>
      <c r="F69" s="40">
        <f>'GT Input'!C5</f>
        <v>9</v>
      </c>
      <c r="G69" s="40">
        <f>'GT Input'!D5</f>
        <v>15</v>
      </c>
      <c r="H69" s="40">
        <f>'GT Input'!E5</f>
        <v>9</v>
      </c>
      <c r="I69" s="40">
        <f>'GT Input'!F5</f>
        <v>15</v>
      </c>
      <c r="J69" s="41">
        <f>'Detailed Results'!G69</f>
        <v>9</v>
      </c>
      <c r="K69" s="41">
        <f>'Detailed Results'!H69</f>
        <v>9</v>
      </c>
      <c r="L69" s="42">
        <f t="shared" si="6"/>
        <v>1</v>
      </c>
      <c r="M69" s="42">
        <f t="shared" si="7"/>
        <v>1</v>
      </c>
      <c r="N69" s="42">
        <f t="shared" si="8"/>
        <v>1</v>
      </c>
      <c r="O69" s="43">
        <f>'Detailed Results'!I69</f>
        <v>19</v>
      </c>
      <c r="P69" s="43">
        <f>'Detailed Results'!J69</f>
        <v>19</v>
      </c>
      <c r="Q69" s="44">
        <f t="shared" si="0"/>
        <v>1</v>
      </c>
      <c r="R69" s="44">
        <f t="shared" si="9"/>
        <v>1.2666666666666666</v>
      </c>
      <c r="S69" s="44">
        <f t="shared" si="1"/>
        <v>1.1176470588235294</v>
      </c>
      <c r="T69" s="45">
        <f>'Detailed Results'!K69</f>
        <v>9</v>
      </c>
      <c r="U69" s="45">
        <f>'Detailed Results'!L69</f>
        <v>9</v>
      </c>
      <c r="V69" s="46">
        <f t="shared" si="2"/>
        <v>1</v>
      </c>
      <c r="W69" s="46">
        <f t="shared" si="10"/>
        <v>1</v>
      </c>
      <c r="X69" s="46">
        <f t="shared" si="3"/>
        <v>1</v>
      </c>
      <c r="Y69" s="47">
        <f>'Detailed Results'!M69</f>
        <v>19</v>
      </c>
      <c r="Z69" s="47">
        <f>'Detailed Results'!N69</f>
        <v>19</v>
      </c>
      <c r="AA69" s="48">
        <f t="shared" si="4"/>
        <v>1</v>
      </c>
      <c r="AB69" s="48">
        <f t="shared" si="11"/>
        <v>1.2666666666666666</v>
      </c>
      <c r="AC69" s="48">
        <f t="shared" si="5"/>
        <v>1.1176470588235294</v>
      </c>
    </row>
    <row r="70" spans="1:29" ht="15" customHeight="1" thickBot="1" x14ac:dyDescent="0.4">
      <c r="A70" s="185"/>
      <c r="B70" s="10" t="s">
        <v>15</v>
      </c>
      <c r="C70" s="11" t="s">
        <v>19</v>
      </c>
      <c r="D70" s="11">
        <v>3</v>
      </c>
      <c r="E70" s="10" t="s">
        <v>17</v>
      </c>
      <c r="F70" s="40">
        <f>'GT Input'!C5</f>
        <v>9</v>
      </c>
      <c r="G70" s="40">
        <f>'GT Input'!D5</f>
        <v>15</v>
      </c>
      <c r="H70" s="40">
        <f>'GT Input'!E5</f>
        <v>9</v>
      </c>
      <c r="I70" s="40">
        <f>'GT Input'!F5</f>
        <v>15</v>
      </c>
      <c r="J70" s="41">
        <f>'Detailed Results'!G70</f>
        <v>9</v>
      </c>
      <c r="K70" s="41">
        <f>'Detailed Results'!H70</f>
        <v>9</v>
      </c>
      <c r="L70" s="42">
        <f t="shared" ref="L70:L133" si="12">IFERROR(K70/J70,"")</f>
        <v>1</v>
      </c>
      <c r="M70" s="42">
        <f t="shared" si="7"/>
        <v>1</v>
      </c>
      <c r="N70" s="42">
        <f t="shared" ref="N70:N133" si="13">IFERROR(2*L70*M70/(L70+M70),"")</f>
        <v>1</v>
      </c>
      <c r="O70" s="43">
        <f>'Detailed Results'!I70</f>
        <v>19</v>
      </c>
      <c r="P70" s="43">
        <f>'Detailed Results'!J70</f>
        <v>19</v>
      </c>
      <c r="Q70" s="44">
        <f t="shared" ref="Q70:Q133" si="14">IFERROR(P70/O70,"")</f>
        <v>1</v>
      </c>
      <c r="R70" s="44">
        <f t="shared" si="9"/>
        <v>1.2666666666666666</v>
      </c>
      <c r="S70" s="44">
        <f t="shared" ref="S70:S133" si="15">IFERROR(2*Q70*R70/(Q70+R70),"")</f>
        <v>1.1176470588235294</v>
      </c>
      <c r="T70" s="45">
        <f>'Detailed Results'!K70</f>
        <v>9</v>
      </c>
      <c r="U70" s="45">
        <f>'Detailed Results'!L70</f>
        <v>9</v>
      </c>
      <c r="V70" s="46">
        <f t="shared" ref="V70:V133" si="16">IFERROR(U70/T70,"")</f>
        <v>1</v>
      </c>
      <c r="W70" s="46">
        <f t="shared" si="10"/>
        <v>1</v>
      </c>
      <c r="X70" s="46">
        <f t="shared" ref="X70:X133" si="17">IFERROR(2*V70*W70/(V70+W70),"")</f>
        <v>1</v>
      </c>
      <c r="Y70" s="47">
        <f>'Detailed Results'!M70</f>
        <v>19</v>
      </c>
      <c r="Z70" s="47">
        <f>'Detailed Results'!N70</f>
        <v>19</v>
      </c>
      <c r="AA70" s="48">
        <f t="shared" ref="AA70:AA133" si="18">IFERROR(Z70/Y70,"")</f>
        <v>1</v>
      </c>
      <c r="AB70" s="48">
        <f t="shared" si="11"/>
        <v>1.2666666666666666</v>
      </c>
      <c r="AC70" s="48">
        <f t="shared" ref="AC70:AC133" si="19">IFERROR(2*AA70*AB70/(AA70+AB70),"")</f>
        <v>1.1176470588235294</v>
      </c>
    </row>
    <row r="71" spans="1:29" ht="15" customHeight="1" thickBot="1" x14ac:dyDescent="0.4">
      <c r="A71" s="185"/>
      <c r="B71" s="10" t="s">
        <v>15</v>
      </c>
      <c r="C71" s="11" t="s">
        <v>19</v>
      </c>
      <c r="D71" s="11">
        <v>3</v>
      </c>
      <c r="E71" s="10" t="s">
        <v>109</v>
      </c>
      <c r="F71" s="40">
        <f>'GT Input'!C5</f>
        <v>9</v>
      </c>
      <c r="G71" s="40">
        <f>'GT Input'!D5</f>
        <v>15</v>
      </c>
      <c r="H71" s="40">
        <f>'GT Input'!E5</f>
        <v>9</v>
      </c>
      <c r="I71" s="40">
        <f>'GT Input'!F5</f>
        <v>15</v>
      </c>
      <c r="J71" s="41">
        <f>'Detailed Results'!G71</f>
        <v>9</v>
      </c>
      <c r="K71" s="41">
        <f>'Detailed Results'!H71</f>
        <v>9</v>
      </c>
      <c r="L71" s="42">
        <f t="shared" si="12"/>
        <v>1</v>
      </c>
      <c r="M71" s="42">
        <f t="shared" ref="M71:M134" si="20">IFERROR(K71/F71,"")</f>
        <v>1</v>
      </c>
      <c r="N71" s="42">
        <f t="shared" si="13"/>
        <v>1</v>
      </c>
      <c r="O71" s="43">
        <f>'Detailed Results'!I71</f>
        <v>19</v>
      </c>
      <c r="P71" s="43">
        <f>'Detailed Results'!J71</f>
        <v>19</v>
      </c>
      <c r="Q71" s="44">
        <f t="shared" si="14"/>
        <v>1</v>
      </c>
      <c r="R71" s="44">
        <f t="shared" ref="R71:R134" si="21">IFERROR(P71/G71,"")</f>
        <v>1.2666666666666666</v>
      </c>
      <c r="S71" s="44">
        <f t="shared" si="15"/>
        <v>1.1176470588235294</v>
      </c>
      <c r="T71" s="45">
        <f>'Detailed Results'!K71</f>
        <v>9</v>
      </c>
      <c r="U71" s="45">
        <f>'Detailed Results'!L71</f>
        <v>9</v>
      </c>
      <c r="V71" s="46">
        <f t="shared" si="16"/>
        <v>1</v>
      </c>
      <c r="W71" s="46">
        <f t="shared" ref="W71:W134" si="22">IFERROR(U71/H71,"")</f>
        <v>1</v>
      </c>
      <c r="X71" s="46">
        <f t="shared" si="17"/>
        <v>1</v>
      </c>
      <c r="Y71" s="47">
        <f>'Detailed Results'!M71</f>
        <v>19</v>
      </c>
      <c r="Z71" s="47">
        <f>'Detailed Results'!N71</f>
        <v>19</v>
      </c>
      <c r="AA71" s="48">
        <f t="shared" si="18"/>
        <v>1</v>
      </c>
      <c r="AB71" s="48">
        <f t="shared" ref="AB71:AB134" si="23">IFERROR(Z71/I71,"")</f>
        <v>1.2666666666666666</v>
      </c>
      <c r="AC71" s="48">
        <f t="shared" si="19"/>
        <v>1.1176470588235294</v>
      </c>
    </row>
    <row r="72" spans="1:29" ht="15" customHeight="1" thickBot="1" x14ac:dyDescent="0.4">
      <c r="A72" s="185"/>
      <c r="B72" s="7" t="s">
        <v>15</v>
      </c>
      <c r="C72" s="8" t="s">
        <v>20</v>
      </c>
      <c r="D72" s="8">
        <v>1</v>
      </c>
      <c r="E72" s="7" t="s">
        <v>17</v>
      </c>
      <c r="F72" s="40">
        <f>'GT Input'!C5</f>
        <v>9</v>
      </c>
      <c r="G72" s="40">
        <f>'GT Input'!D5</f>
        <v>15</v>
      </c>
      <c r="H72" s="40">
        <f>'GT Input'!E5</f>
        <v>9</v>
      </c>
      <c r="I72" s="40">
        <f>'GT Input'!F5</f>
        <v>15</v>
      </c>
      <c r="J72" s="41">
        <f>'Detailed Results'!G72</f>
        <v>9</v>
      </c>
      <c r="K72" s="41">
        <f>'Detailed Results'!H72</f>
        <v>9</v>
      </c>
      <c r="L72" s="42">
        <f t="shared" si="12"/>
        <v>1</v>
      </c>
      <c r="M72" s="42">
        <f t="shared" si="20"/>
        <v>1</v>
      </c>
      <c r="N72" s="42">
        <f t="shared" si="13"/>
        <v>1</v>
      </c>
      <c r="O72" s="43">
        <f>'Detailed Results'!I72</f>
        <v>18</v>
      </c>
      <c r="P72" s="43">
        <f>'Detailed Results'!J72</f>
        <v>18</v>
      </c>
      <c r="Q72" s="44">
        <f t="shared" si="14"/>
        <v>1</v>
      </c>
      <c r="R72" s="44">
        <f t="shared" si="21"/>
        <v>1.2</v>
      </c>
      <c r="S72" s="44">
        <f t="shared" si="15"/>
        <v>1.0909090909090908</v>
      </c>
      <c r="T72" s="45">
        <f>'Detailed Results'!K72</f>
        <v>9</v>
      </c>
      <c r="U72" s="45">
        <f>'Detailed Results'!L72</f>
        <v>9</v>
      </c>
      <c r="V72" s="46">
        <f t="shared" si="16"/>
        <v>1</v>
      </c>
      <c r="W72" s="46">
        <f t="shared" si="22"/>
        <v>1</v>
      </c>
      <c r="X72" s="46">
        <f t="shared" si="17"/>
        <v>1</v>
      </c>
      <c r="Y72" s="47">
        <f>'Detailed Results'!M72</f>
        <v>18</v>
      </c>
      <c r="Z72" s="47">
        <f>'Detailed Results'!N72</f>
        <v>18</v>
      </c>
      <c r="AA72" s="48">
        <f t="shared" si="18"/>
        <v>1</v>
      </c>
      <c r="AB72" s="48">
        <f t="shared" si="23"/>
        <v>1.2</v>
      </c>
      <c r="AC72" s="48">
        <f t="shared" si="19"/>
        <v>1.0909090909090908</v>
      </c>
    </row>
    <row r="73" spans="1:29" ht="15" customHeight="1" thickBot="1" x14ac:dyDescent="0.4">
      <c r="A73" s="185"/>
      <c r="B73" s="7" t="s">
        <v>15</v>
      </c>
      <c r="C73" s="8" t="s">
        <v>20</v>
      </c>
      <c r="D73" s="8">
        <v>1</v>
      </c>
      <c r="E73" s="7" t="s">
        <v>109</v>
      </c>
      <c r="F73" s="40">
        <f>'GT Input'!C5</f>
        <v>9</v>
      </c>
      <c r="G73" s="40">
        <f>'GT Input'!D5</f>
        <v>15</v>
      </c>
      <c r="H73" s="40">
        <f>'GT Input'!E5</f>
        <v>9</v>
      </c>
      <c r="I73" s="40">
        <f>'GT Input'!F5</f>
        <v>15</v>
      </c>
      <c r="J73" s="41">
        <f>'Detailed Results'!G73</f>
        <v>9</v>
      </c>
      <c r="K73" s="41">
        <f>'Detailed Results'!H73</f>
        <v>9</v>
      </c>
      <c r="L73" s="42">
        <f t="shared" si="12"/>
        <v>1</v>
      </c>
      <c r="M73" s="42">
        <f t="shared" si="20"/>
        <v>1</v>
      </c>
      <c r="N73" s="42">
        <f t="shared" si="13"/>
        <v>1</v>
      </c>
      <c r="O73" s="43">
        <f>'Detailed Results'!I73</f>
        <v>19</v>
      </c>
      <c r="P73" s="43">
        <f>'Detailed Results'!J73</f>
        <v>19</v>
      </c>
      <c r="Q73" s="44">
        <f t="shared" si="14"/>
        <v>1</v>
      </c>
      <c r="R73" s="44">
        <f t="shared" si="21"/>
        <v>1.2666666666666666</v>
      </c>
      <c r="S73" s="44">
        <f t="shared" si="15"/>
        <v>1.1176470588235294</v>
      </c>
      <c r="T73" s="45">
        <f>'Detailed Results'!K73</f>
        <v>9</v>
      </c>
      <c r="U73" s="45">
        <f>'Detailed Results'!L73</f>
        <v>9</v>
      </c>
      <c r="V73" s="46">
        <f t="shared" si="16"/>
        <v>1</v>
      </c>
      <c r="W73" s="46">
        <f t="shared" si="22"/>
        <v>1</v>
      </c>
      <c r="X73" s="46">
        <f t="shared" si="17"/>
        <v>1</v>
      </c>
      <c r="Y73" s="47">
        <f>'Detailed Results'!M73</f>
        <v>19</v>
      </c>
      <c r="Z73" s="47">
        <f>'Detailed Results'!N73</f>
        <v>19</v>
      </c>
      <c r="AA73" s="48">
        <f t="shared" si="18"/>
        <v>1</v>
      </c>
      <c r="AB73" s="48">
        <f t="shared" si="23"/>
        <v>1.2666666666666666</v>
      </c>
      <c r="AC73" s="48">
        <f t="shared" si="19"/>
        <v>1.1176470588235294</v>
      </c>
    </row>
    <row r="74" spans="1:29" ht="15" customHeight="1" thickBot="1" x14ac:dyDescent="0.4">
      <c r="A74" s="185"/>
      <c r="B74" s="10" t="s">
        <v>15</v>
      </c>
      <c r="C74" s="11" t="s">
        <v>20</v>
      </c>
      <c r="D74" s="11">
        <v>2</v>
      </c>
      <c r="E74" s="10" t="s">
        <v>17</v>
      </c>
      <c r="F74" s="40">
        <f>'GT Input'!C5</f>
        <v>9</v>
      </c>
      <c r="G74" s="40">
        <f>'GT Input'!D5</f>
        <v>15</v>
      </c>
      <c r="H74" s="40">
        <f>'GT Input'!E5</f>
        <v>9</v>
      </c>
      <c r="I74" s="40">
        <f>'GT Input'!F5</f>
        <v>15</v>
      </c>
      <c r="J74" s="41">
        <f>'Detailed Results'!G74</f>
        <v>9</v>
      </c>
      <c r="K74" s="41">
        <f>'Detailed Results'!H74</f>
        <v>9</v>
      </c>
      <c r="L74" s="42">
        <f t="shared" si="12"/>
        <v>1</v>
      </c>
      <c r="M74" s="42">
        <f t="shared" si="20"/>
        <v>1</v>
      </c>
      <c r="N74" s="42">
        <f t="shared" si="13"/>
        <v>1</v>
      </c>
      <c r="O74" s="43">
        <f>'Detailed Results'!I74</f>
        <v>20</v>
      </c>
      <c r="P74" s="43">
        <f>'Detailed Results'!J74</f>
        <v>20</v>
      </c>
      <c r="Q74" s="44">
        <f t="shared" si="14"/>
        <v>1</v>
      </c>
      <c r="R74" s="44">
        <f t="shared" si="21"/>
        <v>1.3333333333333333</v>
      </c>
      <c r="S74" s="44">
        <f t="shared" si="15"/>
        <v>1.142857142857143</v>
      </c>
      <c r="T74" s="45">
        <f>'Detailed Results'!K74</f>
        <v>9</v>
      </c>
      <c r="U74" s="45">
        <f>'Detailed Results'!L74</f>
        <v>9</v>
      </c>
      <c r="V74" s="46">
        <f t="shared" si="16"/>
        <v>1</v>
      </c>
      <c r="W74" s="46">
        <f t="shared" si="22"/>
        <v>1</v>
      </c>
      <c r="X74" s="46">
        <f t="shared" si="17"/>
        <v>1</v>
      </c>
      <c r="Y74" s="47">
        <f>'Detailed Results'!M74</f>
        <v>20</v>
      </c>
      <c r="Z74" s="47">
        <f>'Detailed Results'!N74</f>
        <v>19</v>
      </c>
      <c r="AA74" s="48">
        <f t="shared" si="18"/>
        <v>0.95</v>
      </c>
      <c r="AB74" s="48">
        <f t="shared" si="23"/>
        <v>1.2666666666666666</v>
      </c>
      <c r="AC74" s="48">
        <f t="shared" si="19"/>
        <v>1.0857142857142854</v>
      </c>
    </row>
    <row r="75" spans="1:29" ht="15" customHeight="1" thickBot="1" x14ac:dyDescent="0.4">
      <c r="A75" s="185"/>
      <c r="B75" s="10" t="s">
        <v>15</v>
      </c>
      <c r="C75" s="11" t="s">
        <v>20</v>
      </c>
      <c r="D75" s="11">
        <v>2</v>
      </c>
      <c r="E75" s="10" t="s">
        <v>109</v>
      </c>
      <c r="F75" s="40">
        <f>'GT Input'!C5</f>
        <v>9</v>
      </c>
      <c r="G75" s="40">
        <f>'GT Input'!D5</f>
        <v>15</v>
      </c>
      <c r="H75" s="40">
        <f>'GT Input'!E5</f>
        <v>9</v>
      </c>
      <c r="I75" s="40">
        <f>'GT Input'!F5</f>
        <v>15</v>
      </c>
      <c r="J75" s="41">
        <f>'Detailed Results'!G75</f>
        <v>9</v>
      </c>
      <c r="K75" s="41">
        <f>'Detailed Results'!H75</f>
        <v>9</v>
      </c>
      <c r="L75" s="42">
        <f t="shared" si="12"/>
        <v>1</v>
      </c>
      <c r="M75" s="42">
        <f t="shared" si="20"/>
        <v>1</v>
      </c>
      <c r="N75" s="42">
        <f t="shared" si="13"/>
        <v>1</v>
      </c>
      <c r="O75" s="43">
        <f>'Detailed Results'!I75</f>
        <v>19</v>
      </c>
      <c r="P75" s="43">
        <f>'Detailed Results'!J75</f>
        <v>19</v>
      </c>
      <c r="Q75" s="44">
        <f t="shared" si="14"/>
        <v>1</v>
      </c>
      <c r="R75" s="44">
        <f t="shared" si="21"/>
        <v>1.2666666666666666</v>
      </c>
      <c r="S75" s="44">
        <f t="shared" si="15"/>
        <v>1.1176470588235294</v>
      </c>
      <c r="T75" s="45">
        <f>'Detailed Results'!K75</f>
        <v>9</v>
      </c>
      <c r="U75" s="45">
        <f>'Detailed Results'!L75</f>
        <v>9</v>
      </c>
      <c r="V75" s="46">
        <f t="shared" si="16"/>
        <v>1</v>
      </c>
      <c r="W75" s="46">
        <f t="shared" si="22"/>
        <v>1</v>
      </c>
      <c r="X75" s="46">
        <f t="shared" si="17"/>
        <v>1</v>
      </c>
      <c r="Y75" s="47">
        <f>'Detailed Results'!M75</f>
        <v>19</v>
      </c>
      <c r="Z75" s="47">
        <f>'Detailed Results'!N75</f>
        <v>19</v>
      </c>
      <c r="AA75" s="48">
        <f t="shared" si="18"/>
        <v>1</v>
      </c>
      <c r="AB75" s="48">
        <f t="shared" si="23"/>
        <v>1.2666666666666666</v>
      </c>
      <c r="AC75" s="48">
        <f t="shared" si="19"/>
        <v>1.1176470588235294</v>
      </c>
    </row>
    <row r="76" spans="1:29" ht="15" customHeight="1" thickBot="1" x14ac:dyDescent="0.4">
      <c r="A76" s="185"/>
      <c r="B76" s="7" t="s">
        <v>15</v>
      </c>
      <c r="C76" s="8" t="s">
        <v>20</v>
      </c>
      <c r="D76" s="8">
        <v>3</v>
      </c>
      <c r="E76" s="7" t="s">
        <v>17</v>
      </c>
      <c r="F76" s="40">
        <f>'GT Input'!C5</f>
        <v>9</v>
      </c>
      <c r="G76" s="40">
        <f>'GT Input'!D5</f>
        <v>15</v>
      </c>
      <c r="H76" s="40">
        <f>'GT Input'!E5</f>
        <v>9</v>
      </c>
      <c r="I76" s="40">
        <f>'GT Input'!F5</f>
        <v>15</v>
      </c>
      <c r="J76" s="41">
        <f>'Detailed Results'!G76</f>
        <v>9</v>
      </c>
      <c r="K76" s="41">
        <f>'Detailed Results'!H76</f>
        <v>9</v>
      </c>
      <c r="L76" s="42">
        <f t="shared" si="12"/>
        <v>1</v>
      </c>
      <c r="M76" s="42">
        <f t="shared" si="20"/>
        <v>1</v>
      </c>
      <c r="N76" s="42">
        <f t="shared" si="13"/>
        <v>1</v>
      </c>
      <c r="O76" s="43">
        <f>'Detailed Results'!I76</f>
        <v>19</v>
      </c>
      <c r="P76" s="43">
        <f>'Detailed Results'!J76</f>
        <v>19</v>
      </c>
      <c r="Q76" s="44">
        <f t="shared" si="14"/>
        <v>1</v>
      </c>
      <c r="R76" s="44">
        <f t="shared" si="21"/>
        <v>1.2666666666666666</v>
      </c>
      <c r="S76" s="44">
        <f t="shared" si="15"/>
        <v>1.1176470588235294</v>
      </c>
      <c r="T76" s="45">
        <f>'Detailed Results'!K76</f>
        <v>9</v>
      </c>
      <c r="U76" s="45">
        <f>'Detailed Results'!L76</f>
        <v>9</v>
      </c>
      <c r="V76" s="46">
        <f t="shared" si="16"/>
        <v>1</v>
      </c>
      <c r="W76" s="46">
        <f t="shared" si="22"/>
        <v>1</v>
      </c>
      <c r="X76" s="46">
        <f t="shared" si="17"/>
        <v>1</v>
      </c>
      <c r="Y76" s="47">
        <f>'Detailed Results'!M76</f>
        <v>19</v>
      </c>
      <c r="Z76" s="47">
        <f>'Detailed Results'!N76</f>
        <v>19</v>
      </c>
      <c r="AA76" s="48">
        <f t="shared" si="18"/>
        <v>1</v>
      </c>
      <c r="AB76" s="48">
        <f t="shared" si="23"/>
        <v>1.2666666666666666</v>
      </c>
      <c r="AC76" s="48">
        <f t="shared" si="19"/>
        <v>1.1176470588235294</v>
      </c>
    </row>
    <row r="77" spans="1:29" ht="15" customHeight="1" thickBot="1" x14ac:dyDescent="0.4">
      <c r="A77" s="185"/>
      <c r="B77" s="7" t="s">
        <v>15</v>
      </c>
      <c r="C77" s="8" t="s">
        <v>20</v>
      </c>
      <c r="D77" s="8">
        <v>3</v>
      </c>
      <c r="E77" s="7" t="s">
        <v>109</v>
      </c>
      <c r="F77" s="40">
        <f>'GT Input'!C5</f>
        <v>9</v>
      </c>
      <c r="G77" s="40">
        <f>'GT Input'!D5</f>
        <v>15</v>
      </c>
      <c r="H77" s="40">
        <f>'GT Input'!E5</f>
        <v>9</v>
      </c>
      <c r="I77" s="40">
        <f>'GT Input'!F5</f>
        <v>15</v>
      </c>
      <c r="J77" s="41">
        <f>'Detailed Results'!G77</f>
        <v>9</v>
      </c>
      <c r="K77" s="41">
        <f>'Detailed Results'!H77</f>
        <v>9</v>
      </c>
      <c r="L77" s="42">
        <f t="shared" si="12"/>
        <v>1</v>
      </c>
      <c r="M77" s="42">
        <f t="shared" si="20"/>
        <v>1</v>
      </c>
      <c r="N77" s="42">
        <f t="shared" si="13"/>
        <v>1</v>
      </c>
      <c r="O77" s="43">
        <f>'Detailed Results'!I77</f>
        <v>19</v>
      </c>
      <c r="P77" s="43">
        <f>'Detailed Results'!J77</f>
        <v>19</v>
      </c>
      <c r="Q77" s="44">
        <f t="shared" si="14"/>
        <v>1</v>
      </c>
      <c r="R77" s="44">
        <f t="shared" si="21"/>
        <v>1.2666666666666666</v>
      </c>
      <c r="S77" s="44">
        <f t="shared" si="15"/>
        <v>1.1176470588235294</v>
      </c>
      <c r="T77" s="45">
        <f>'Detailed Results'!K77</f>
        <v>9</v>
      </c>
      <c r="U77" s="45">
        <f>'Detailed Results'!L77</f>
        <v>9</v>
      </c>
      <c r="V77" s="46">
        <f t="shared" si="16"/>
        <v>1</v>
      </c>
      <c r="W77" s="46">
        <f t="shared" si="22"/>
        <v>1</v>
      </c>
      <c r="X77" s="46">
        <f t="shared" si="17"/>
        <v>1</v>
      </c>
      <c r="Y77" s="47">
        <f>'Detailed Results'!M77</f>
        <v>19</v>
      </c>
      <c r="Z77" s="47">
        <f>'Detailed Results'!N77</f>
        <v>19</v>
      </c>
      <c r="AA77" s="48">
        <f t="shared" si="18"/>
        <v>1</v>
      </c>
      <c r="AB77" s="48">
        <f t="shared" si="23"/>
        <v>1.2666666666666666</v>
      </c>
      <c r="AC77" s="48">
        <f t="shared" si="19"/>
        <v>1.1176470588235294</v>
      </c>
    </row>
    <row r="78" spans="1:29" ht="15" customHeight="1" thickBot="1" x14ac:dyDescent="0.4">
      <c r="A78" s="185"/>
      <c r="B78" s="12" t="s">
        <v>21</v>
      </c>
      <c r="C78" s="13" t="s">
        <v>16</v>
      </c>
      <c r="D78" s="13">
        <v>1</v>
      </c>
      <c r="E78" s="12" t="s">
        <v>17</v>
      </c>
      <c r="F78" s="40">
        <f>'GT Input'!C5</f>
        <v>9</v>
      </c>
      <c r="G78" s="40">
        <f>'GT Input'!D5</f>
        <v>15</v>
      </c>
      <c r="H78" s="40">
        <f>'GT Input'!E5</f>
        <v>9</v>
      </c>
      <c r="I78" s="40">
        <f>'GT Input'!F5</f>
        <v>15</v>
      </c>
      <c r="J78" s="41">
        <f>'Detailed Results'!G78</f>
        <v>9</v>
      </c>
      <c r="K78" s="41">
        <f>'Detailed Results'!H78</f>
        <v>9</v>
      </c>
      <c r="L78" s="42">
        <f t="shared" si="12"/>
        <v>1</v>
      </c>
      <c r="M78" s="42">
        <f t="shared" si="20"/>
        <v>1</v>
      </c>
      <c r="N78" s="42">
        <f t="shared" si="13"/>
        <v>1</v>
      </c>
      <c r="O78" s="43">
        <f>'Detailed Results'!I78</f>
        <v>14</v>
      </c>
      <c r="P78" s="43">
        <f>'Detailed Results'!J78</f>
        <v>14</v>
      </c>
      <c r="Q78" s="44">
        <f t="shared" si="14"/>
        <v>1</v>
      </c>
      <c r="R78" s="44">
        <f t="shared" si="21"/>
        <v>0.93333333333333335</v>
      </c>
      <c r="S78" s="44">
        <f t="shared" si="15"/>
        <v>0.96551724137931039</v>
      </c>
      <c r="T78" s="45">
        <f>'Detailed Results'!K78</f>
        <v>9</v>
      </c>
      <c r="U78" s="45">
        <f>'Detailed Results'!L78</f>
        <v>9</v>
      </c>
      <c r="V78" s="46">
        <f t="shared" si="16"/>
        <v>1</v>
      </c>
      <c r="W78" s="46">
        <f t="shared" si="22"/>
        <v>1</v>
      </c>
      <c r="X78" s="46">
        <f t="shared" si="17"/>
        <v>1</v>
      </c>
      <c r="Y78" s="47">
        <f>'Detailed Results'!M78</f>
        <v>14</v>
      </c>
      <c r="Z78" s="47">
        <f>'Detailed Results'!N78</f>
        <v>11</v>
      </c>
      <c r="AA78" s="48">
        <f t="shared" si="18"/>
        <v>0.7857142857142857</v>
      </c>
      <c r="AB78" s="48">
        <f t="shared" si="23"/>
        <v>0.73333333333333328</v>
      </c>
      <c r="AC78" s="48">
        <f t="shared" si="19"/>
        <v>0.75862068965517238</v>
      </c>
    </row>
    <row r="79" spans="1:29" ht="15" customHeight="1" thickBot="1" x14ac:dyDescent="0.4">
      <c r="A79" s="185"/>
      <c r="B79" s="12" t="s">
        <v>21</v>
      </c>
      <c r="C79" s="13" t="s">
        <v>16</v>
      </c>
      <c r="D79" s="13">
        <v>1</v>
      </c>
      <c r="E79" s="12" t="s">
        <v>109</v>
      </c>
      <c r="F79" s="40">
        <f>'GT Input'!C5</f>
        <v>9</v>
      </c>
      <c r="G79" s="40">
        <f>'GT Input'!D5</f>
        <v>15</v>
      </c>
      <c r="H79" s="40">
        <f>'GT Input'!E5</f>
        <v>9</v>
      </c>
      <c r="I79" s="40">
        <f>'GT Input'!F5</f>
        <v>15</v>
      </c>
      <c r="J79" s="41">
        <f>'Detailed Results'!G79</f>
        <v>9</v>
      </c>
      <c r="K79" s="41">
        <f>'Detailed Results'!H79</f>
        <v>9</v>
      </c>
      <c r="L79" s="42">
        <f t="shared" si="12"/>
        <v>1</v>
      </c>
      <c r="M79" s="42">
        <f t="shared" si="20"/>
        <v>1</v>
      </c>
      <c r="N79" s="42">
        <f t="shared" si="13"/>
        <v>1</v>
      </c>
      <c r="O79" s="43">
        <f>'Detailed Results'!I79</f>
        <v>15</v>
      </c>
      <c r="P79" s="43">
        <f>'Detailed Results'!J79</f>
        <v>15</v>
      </c>
      <c r="Q79" s="44">
        <f t="shared" si="14"/>
        <v>1</v>
      </c>
      <c r="R79" s="44">
        <f t="shared" si="21"/>
        <v>1</v>
      </c>
      <c r="S79" s="44">
        <f t="shared" si="15"/>
        <v>1</v>
      </c>
      <c r="T79" s="45">
        <f>'Detailed Results'!K79</f>
        <v>9</v>
      </c>
      <c r="U79" s="45">
        <f>'Detailed Results'!L79</f>
        <v>9</v>
      </c>
      <c r="V79" s="46">
        <f t="shared" si="16"/>
        <v>1</v>
      </c>
      <c r="W79" s="46">
        <f t="shared" si="22"/>
        <v>1</v>
      </c>
      <c r="X79" s="46">
        <f t="shared" si="17"/>
        <v>1</v>
      </c>
      <c r="Y79" s="47">
        <f>'Detailed Results'!M79</f>
        <v>15</v>
      </c>
      <c r="Z79" s="47">
        <f>'Detailed Results'!N79</f>
        <v>15</v>
      </c>
      <c r="AA79" s="48">
        <f t="shared" si="18"/>
        <v>1</v>
      </c>
      <c r="AB79" s="48">
        <f t="shared" si="23"/>
        <v>1</v>
      </c>
      <c r="AC79" s="48">
        <f t="shared" si="19"/>
        <v>1</v>
      </c>
    </row>
    <row r="80" spans="1:29" ht="15" customHeight="1" thickBot="1" x14ac:dyDescent="0.4">
      <c r="A80" s="185"/>
      <c r="B80" s="14" t="s">
        <v>21</v>
      </c>
      <c r="C80" s="15" t="s">
        <v>16</v>
      </c>
      <c r="D80" s="15">
        <v>2</v>
      </c>
      <c r="E80" s="14" t="s">
        <v>17</v>
      </c>
      <c r="F80" s="40">
        <f>'GT Input'!C5</f>
        <v>9</v>
      </c>
      <c r="G80" s="40">
        <f>'GT Input'!D5</f>
        <v>15</v>
      </c>
      <c r="H80" s="40">
        <f>'GT Input'!E5</f>
        <v>9</v>
      </c>
      <c r="I80" s="40">
        <f>'GT Input'!F5</f>
        <v>15</v>
      </c>
      <c r="J80" s="41">
        <f>'Detailed Results'!G80</f>
        <v>9</v>
      </c>
      <c r="K80" s="41">
        <f>'Detailed Results'!H80</f>
        <v>9</v>
      </c>
      <c r="L80" s="42">
        <f t="shared" si="12"/>
        <v>1</v>
      </c>
      <c r="M80" s="42">
        <f t="shared" si="20"/>
        <v>1</v>
      </c>
      <c r="N80" s="42">
        <f t="shared" si="13"/>
        <v>1</v>
      </c>
      <c r="O80" s="43">
        <f>'Detailed Results'!I80</f>
        <v>16</v>
      </c>
      <c r="P80" s="43">
        <f>'Detailed Results'!J80</f>
        <v>16</v>
      </c>
      <c r="Q80" s="44">
        <f t="shared" si="14"/>
        <v>1</v>
      </c>
      <c r="R80" s="44">
        <f t="shared" si="21"/>
        <v>1.0666666666666667</v>
      </c>
      <c r="S80" s="44">
        <f t="shared" si="15"/>
        <v>1.0322580645161292</v>
      </c>
      <c r="T80" s="45">
        <f>'Detailed Results'!K80</f>
        <v>9</v>
      </c>
      <c r="U80" s="45">
        <f>'Detailed Results'!L80</f>
        <v>9</v>
      </c>
      <c r="V80" s="46">
        <f t="shared" si="16"/>
        <v>1</v>
      </c>
      <c r="W80" s="46">
        <f t="shared" si="22"/>
        <v>1</v>
      </c>
      <c r="X80" s="46">
        <f t="shared" si="17"/>
        <v>1</v>
      </c>
      <c r="Y80" s="47">
        <f>'Detailed Results'!M80</f>
        <v>16</v>
      </c>
      <c r="Z80" s="47">
        <f>'Detailed Results'!N80</f>
        <v>12</v>
      </c>
      <c r="AA80" s="48">
        <f t="shared" si="18"/>
        <v>0.75</v>
      </c>
      <c r="AB80" s="48">
        <f t="shared" si="23"/>
        <v>0.8</v>
      </c>
      <c r="AC80" s="48">
        <f t="shared" si="19"/>
        <v>0.77419354838709686</v>
      </c>
    </row>
    <row r="81" spans="1:29" ht="15" customHeight="1" thickBot="1" x14ac:dyDescent="0.4">
      <c r="A81" s="185"/>
      <c r="B81" s="14" t="s">
        <v>21</v>
      </c>
      <c r="C81" s="15" t="s">
        <v>16</v>
      </c>
      <c r="D81" s="15">
        <v>2</v>
      </c>
      <c r="E81" s="14" t="s">
        <v>109</v>
      </c>
      <c r="F81" s="40">
        <f>'GT Input'!C5</f>
        <v>9</v>
      </c>
      <c r="G81" s="40">
        <f>'GT Input'!D5</f>
        <v>15</v>
      </c>
      <c r="H81" s="40">
        <f>'GT Input'!E5</f>
        <v>9</v>
      </c>
      <c r="I81" s="40">
        <f>'GT Input'!F5</f>
        <v>15</v>
      </c>
      <c r="J81" s="41">
        <f>'Detailed Results'!G81</f>
        <v>9</v>
      </c>
      <c r="K81" s="41">
        <f>'Detailed Results'!H81</f>
        <v>9</v>
      </c>
      <c r="L81" s="42">
        <f t="shared" si="12"/>
        <v>1</v>
      </c>
      <c r="M81" s="42">
        <f t="shared" si="20"/>
        <v>1</v>
      </c>
      <c r="N81" s="42">
        <f t="shared" si="13"/>
        <v>1</v>
      </c>
      <c r="O81" s="43">
        <f>'Detailed Results'!I81</f>
        <v>14</v>
      </c>
      <c r="P81" s="43">
        <f>'Detailed Results'!J81</f>
        <v>14</v>
      </c>
      <c r="Q81" s="44">
        <f t="shared" si="14"/>
        <v>1</v>
      </c>
      <c r="R81" s="44">
        <f t="shared" si="21"/>
        <v>0.93333333333333335</v>
      </c>
      <c r="S81" s="44">
        <f t="shared" si="15"/>
        <v>0.96551724137931039</v>
      </c>
      <c r="T81" s="45">
        <f>'Detailed Results'!K81</f>
        <v>9</v>
      </c>
      <c r="U81" s="45">
        <f>'Detailed Results'!L81</f>
        <v>9</v>
      </c>
      <c r="V81" s="46">
        <f t="shared" si="16"/>
        <v>1</v>
      </c>
      <c r="W81" s="46">
        <f t="shared" si="22"/>
        <v>1</v>
      </c>
      <c r="X81" s="46">
        <f t="shared" si="17"/>
        <v>1</v>
      </c>
      <c r="Y81" s="47">
        <f>'Detailed Results'!M81</f>
        <v>14</v>
      </c>
      <c r="Z81" s="47">
        <f>'Detailed Results'!N81</f>
        <v>11</v>
      </c>
      <c r="AA81" s="48">
        <f t="shared" si="18"/>
        <v>0.7857142857142857</v>
      </c>
      <c r="AB81" s="48">
        <f t="shared" si="23"/>
        <v>0.73333333333333328</v>
      </c>
      <c r="AC81" s="48">
        <f t="shared" si="19"/>
        <v>0.75862068965517238</v>
      </c>
    </row>
    <row r="82" spans="1:29" ht="15" customHeight="1" thickBot="1" x14ac:dyDescent="0.4">
      <c r="A82" s="185"/>
      <c r="B82" s="12" t="s">
        <v>21</v>
      </c>
      <c r="C82" s="13" t="s">
        <v>16</v>
      </c>
      <c r="D82" s="13">
        <v>3</v>
      </c>
      <c r="E82" s="12" t="s">
        <v>17</v>
      </c>
      <c r="F82" s="40">
        <f>'GT Input'!C5</f>
        <v>9</v>
      </c>
      <c r="G82" s="40">
        <f>'GT Input'!D5</f>
        <v>15</v>
      </c>
      <c r="H82" s="40">
        <f>'GT Input'!E5</f>
        <v>9</v>
      </c>
      <c r="I82" s="40">
        <f>'GT Input'!F5</f>
        <v>15</v>
      </c>
      <c r="J82" s="41">
        <f>'Detailed Results'!G82</f>
        <v>9</v>
      </c>
      <c r="K82" s="41">
        <f>'Detailed Results'!H82</f>
        <v>9</v>
      </c>
      <c r="L82" s="42">
        <f t="shared" si="12"/>
        <v>1</v>
      </c>
      <c r="M82" s="42">
        <f t="shared" si="20"/>
        <v>1</v>
      </c>
      <c r="N82" s="42">
        <f t="shared" si="13"/>
        <v>1</v>
      </c>
      <c r="O82" s="43">
        <f>'Detailed Results'!I82</f>
        <v>14</v>
      </c>
      <c r="P82" s="43">
        <f>'Detailed Results'!J82</f>
        <v>14</v>
      </c>
      <c r="Q82" s="44">
        <f t="shared" si="14"/>
        <v>1</v>
      </c>
      <c r="R82" s="44">
        <f t="shared" si="21"/>
        <v>0.93333333333333335</v>
      </c>
      <c r="S82" s="44">
        <f t="shared" si="15"/>
        <v>0.96551724137931039</v>
      </c>
      <c r="T82" s="45">
        <f>'Detailed Results'!K82</f>
        <v>9</v>
      </c>
      <c r="U82" s="45">
        <f>'Detailed Results'!L82</f>
        <v>9</v>
      </c>
      <c r="V82" s="46">
        <f t="shared" si="16"/>
        <v>1</v>
      </c>
      <c r="W82" s="46">
        <f t="shared" si="22"/>
        <v>1</v>
      </c>
      <c r="X82" s="46">
        <f t="shared" si="17"/>
        <v>1</v>
      </c>
      <c r="Y82" s="47">
        <f>'Detailed Results'!M82</f>
        <v>14</v>
      </c>
      <c r="Z82" s="47">
        <f>'Detailed Results'!N82</f>
        <v>10</v>
      </c>
      <c r="AA82" s="48">
        <f t="shared" si="18"/>
        <v>0.7142857142857143</v>
      </c>
      <c r="AB82" s="48">
        <f t="shared" si="23"/>
        <v>0.66666666666666663</v>
      </c>
      <c r="AC82" s="48">
        <f t="shared" si="19"/>
        <v>0.68965517241379304</v>
      </c>
    </row>
    <row r="83" spans="1:29" ht="15" customHeight="1" thickBot="1" x14ac:dyDescent="0.4">
      <c r="A83" s="185"/>
      <c r="B83" s="12" t="s">
        <v>21</v>
      </c>
      <c r="C83" s="13" t="s">
        <v>16</v>
      </c>
      <c r="D83" s="13">
        <v>3</v>
      </c>
      <c r="E83" s="12" t="s">
        <v>109</v>
      </c>
      <c r="F83" s="40">
        <f>'GT Input'!C5</f>
        <v>9</v>
      </c>
      <c r="G83" s="40">
        <f>'GT Input'!D5</f>
        <v>15</v>
      </c>
      <c r="H83" s="40">
        <f>'GT Input'!E5</f>
        <v>9</v>
      </c>
      <c r="I83" s="40">
        <f>'GT Input'!F5</f>
        <v>15</v>
      </c>
      <c r="J83" s="41">
        <f>'Detailed Results'!G83</f>
        <v>9</v>
      </c>
      <c r="K83" s="41">
        <f>'Detailed Results'!H83</f>
        <v>9</v>
      </c>
      <c r="L83" s="42">
        <f t="shared" si="12"/>
        <v>1</v>
      </c>
      <c r="M83" s="42">
        <f t="shared" si="20"/>
        <v>1</v>
      </c>
      <c r="N83" s="42">
        <f t="shared" si="13"/>
        <v>1</v>
      </c>
      <c r="O83" s="43">
        <f>'Detailed Results'!I83</f>
        <v>15</v>
      </c>
      <c r="P83" s="43">
        <f>'Detailed Results'!J83</f>
        <v>15</v>
      </c>
      <c r="Q83" s="44">
        <f t="shared" si="14"/>
        <v>1</v>
      </c>
      <c r="R83" s="44">
        <f t="shared" si="21"/>
        <v>1</v>
      </c>
      <c r="S83" s="44">
        <f t="shared" si="15"/>
        <v>1</v>
      </c>
      <c r="T83" s="45">
        <f>'Detailed Results'!K83</f>
        <v>9</v>
      </c>
      <c r="U83" s="45">
        <f>'Detailed Results'!L83</f>
        <v>9</v>
      </c>
      <c r="V83" s="46">
        <f t="shared" si="16"/>
        <v>1</v>
      </c>
      <c r="W83" s="46">
        <f t="shared" si="22"/>
        <v>1</v>
      </c>
      <c r="X83" s="46">
        <f t="shared" si="17"/>
        <v>1</v>
      </c>
      <c r="Y83" s="47">
        <f>'Detailed Results'!M83</f>
        <v>15</v>
      </c>
      <c r="Z83" s="47">
        <f>'Detailed Results'!N83</f>
        <v>14</v>
      </c>
      <c r="AA83" s="48">
        <f t="shared" si="18"/>
        <v>0.93333333333333335</v>
      </c>
      <c r="AB83" s="48">
        <f t="shared" si="23"/>
        <v>0.93333333333333335</v>
      </c>
      <c r="AC83" s="48">
        <f t="shared" si="19"/>
        <v>0.93333333333333335</v>
      </c>
    </row>
    <row r="84" spans="1:29" ht="15" customHeight="1" thickBot="1" x14ac:dyDescent="0.4">
      <c r="A84" s="185"/>
      <c r="B84" s="14" t="s">
        <v>21</v>
      </c>
      <c r="C84" s="15" t="s">
        <v>19</v>
      </c>
      <c r="D84" s="15">
        <v>1</v>
      </c>
      <c r="E84" s="14" t="s">
        <v>17</v>
      </c>
      <c r="F84" s="40">
        <f>'GT Input'!C5</f>
        <v>9</v>
      </c>
      <c r="G84" s="40">
        <f>'GT Input'!D5</f>
        <v>15</v>
      </c>
      <c r="H84" s="40">
        <f>'GT Input'!E5</f>
        <v>9</v>
      </c>
      <c r="I84" s="40">
        <f>'GT Input'!F5</f>
        <v>15</v>
      </c>
      <c r="J84" s="41">
        <f>'Detailed Results'!G84</f>
        <v>9</v>
      </c>
      <c r="K84" s="41">
        <f>'Detailed Results'!H84</f>
        <v>9</v>
      </c>
      <c r="L84" s="42">
        <f t="shared" si="12"/>
        <v>1</v>
      </c>
      <c r="M84" s="42">
        <f t="shared" si="20"/>
        <v>1</v>
      </c>
      <c r="N84" s="42">
        <f t="shared" si="13"/>
        <v>1</v>
      </c>
      <c r="O84" s="43">
        <f>'Detailed Results'!I84</f>
        <v>15</v>
      </c>
      <c r="P84" s="43">
        <f>'Detailed Results'!J84</f>
        <v>15</v>
      </c>
      <c r="Q84" s="44">
        <f t="shared" si="14"/>
        <v>1</v>
      </c>
      <c r="R84" s="44">
        <f t="shared" si="21"/>
        <v>1</v>
      </c>
      <c r="S84" s="44">
        <f t="shared" si="15"/>
        <v>1</v>
      </c>
      <c r="T84" s="45">
        <f>'Detailed Results'!K84</f>
        <v>9</v>
      </c>
      <c r="U84" s="45">
        <f>'Detailed Results'!L84</f>
        <v>9</v>
      </c>
      <c r="V84" s="46">
        <f t="shared" si="16"/>
        <v>1</v>
      </c>
      <c r="W84" s="46">
        <f t="shared" si="22"/>
        <v>1</v>
      </c>
      <c r="X84" s="46">
        <f t="shared" si="17"/>
        <v>1</v>
      </c>
      <c r="Y84" s="47">
        <f>'Detailed Results'!M84</f>
        <v>15</v>
      </c>
      <c r="Z84" s="47">
        <f>'Detailed Results'!N84</f>
        <v>12</v>
      </c>
      <c r="AA84" s="48">
        <f t="shared" si="18"/>
        <v>0.8</v>
      </c>
      <c r="AB84" s="48">
        <f t="shared" si="23"/>
        <v>0.8</v>
      </c>
      <c r="AC84" s="48">
        <f t="shared" si="19"/>
        <v>0.80000000000000016</v>
      </c>
    </row>
    <row r="85" spans="1:29" ht="15" customHeight="1" thickBot="1" x14ac:dyDescent="0.4">
      <c r="A85" s="185"/>
      <c r="B85" s="14" t="s">
        <v>21</v>
      </c>
      <c r="C85" s="15" t="s">
        <v>19</v>
      </c>
      <c r="D85" s="15">
        <v>1</v>
      </c>
      <c r="E85" s="14" t="s">
        <v>109</v>
      </c>
      <c r="F85" s="40">
        <f>'GT Input'!C5</f>
        <v>9</v>
      </c>
      <c r="G85" s="40">
        <f>'GT Input'!D5</f>
        <v>15</v>
      </c>
      <c r="H85" s="40">
        <f>'GT Input'!E5</f>
        <v>9</v>
      </c>
      <c r="I85" s="40">
        <f>'GT Input'!F5</f>
        <v>15</v>
      </c>
      <c r="J85" s="41">
        <f>'Detailed Results'!G85</f>
        <v>9</v>
      </c>
      <c r="K85" s="41">
        <f>'Detailed Results'!H85</f>
        <v>9</v>
      </c>
      <c r="L85" s="42">
        <f t="shared" si="12"/>
        <v>1</v>
      </c>
      <c r="M85" s="42">
        <f t="shared" si="20"/>
        <v>1</v>
      </c>
      <c r="N85" s="42">
        <f t="shared" si="13"/>
        <v>1</v>
      </c>
      <c r="O85" s="43">
        <f>'Detailed Results'!I85</f>
        <v>16</v>
      </c>
      <c r="P85" s="43">
        <f>'Detailed Results'!J85</f>
        <v>16</v>
      </c>
      <c r="Q85" s="44">
        <f t="shared" si="14"/>
        <v>1</v>
      </c>
      <c r="R85" s="44">
        <f t="shared" si="21"/>
        <v>1.0666666666666667</v>
      </c>
      <c r="S85" s="44">
        <f t="shared" si="15"/>
        <v>1.0322580645161292</v>
      </c>
      <c r="T85" s="45">
        <f>'Detailed Results'!K85</f>
        <v>9</v>
      </c>
      <c r="U85" s="45">
        <f>'Detailed Results'!L85</f>
        <v>9</v>
      </c>
      <c r="V85" s="46">
        <f t="shared" si="16"/>
        <v>1</v>
      </c>
      <c r="W85" s="46">
        <f t="shared" si="22"/>
        <v>1</v>
      </c>
      <c r="X85" s="46">
        <f t="shared" si="17"/>
        <v>1</v>
      </c>
      <c r="Y85" s="47">
        <f>'Detailed Results'!M85</f>
        <v>16</v>
      </c>
      <c r="Z85" s="47">
        <f>'Detailed Results'!N85</f>
        <v>16</v>
      </c>
      <c r="AA85" s="48">
        <f t="shared" si="18"/>
        <v>1</v>
      </c>
      <c r="AB85" s="48">
        <f t="shared" si="23"/>
        <v>1.0666666666666667</v>
      </c>
      <c r="AC85" s="48">
        <f t="shared" si="19"/>
        <v>1.0322580645161292</v>
      </c>
    </row>
    <row r="86" spans="1:29" ht="15" customHeight="1" thickBot="1" x14ac:dyDescent="0.4">
      <c r="A86" s="185"/>
      <c r="B86" s="12" t="s">
        <v>21</v>
      </c>
      <c r="C86" s="13" t="s">
        <v>19</v>
      </c>
      <c r="D86" s="13">
        <v>2</v>
      </c>
      <c r="E86" s="12" t="s">
        <v>17</v>
      </c>
      <c r="F86" s="40">
        <f>'GT Input'!C5</f>
        <v>9</v>
      </c>
      <c r="G86" s="40">
        <f>'GT Input'!D5</f>
        <v>15</v>
      </c>
      <c r="H86" s="40">
        <f>'GT Input'!E5</f>
        <v>9</v>
      </c>
      <c r="I86" s="40">
        <f>'GT Input'!F5</f>
        <v>15</v>
      </c>
      <c r="J86" s="41">
        <f>'Detailed Results'!G86</f>
        <v>9</v>
      </c>
      <c r="K86" s="41">
        <f>'Detailed Results'!H86</f>
        <v>9</v>
      </c>
      <c r="L86" s="42">
        <f t="shared" si="12"/>
        <v>1</v>
      </c>
      <c r="M86" s="42">
        <f t="shared" si="20"/>
        <v>1</v>
      </c>
      <c r="N86" s="42">
        <f t="shared" si="13"/>
        <v>1</v>
      </c>
      <c r="O86" s="43">
        <f>'Detailed Results'!I86</f>
        <v>15</v>
      </c>
      <c r="P86" s="43">
        <f>'Detailed Results'!J86</f>
        <v>15</v>
      </c>
      <c r="Q86" s="44">
        <f t="shared" si="14"/>
        <v>1</v>
      </c>
      <c r="R86" s="44">
        <f t="shared" si="21"/>
        <v>1</v>
      </c>
      <c r="S86" s="44">
        <f t="shared" si="15"/>
        <v>1</v>
      </c>
      <c r="T86" s="45">
        <f>'Detailed Results'!K86</f>
        <v>9</v>
      </c>
      <c r="U86" s="45">
        <f>'Detailed Results'!L86</f>
        <v>9</v>
      </c>
      <c r="V86" s="46">
        <f t="shared" si="16"/>
        <v>1</v>
      </c>
      <c r="W86" s="46">
        <f t="shared" si="22"/>
        <v>1</v>
      </c>
      <c r="X86" s="46">
        <f t="shared" si="17"/>
        <v>1</v>
      </c>
      <c r="Y86" s="47">
        <f>'Detailed Results'!M86</f>
        <v>15</v>
      </c>
      <c r="Z86" s="47">
        <f>'Detailed Results'!N86</f>
        <v>13</v>
      </c>
      <c r="AA86" s="48">
        <f t="shared" si="18"/>
        <v>0.8666666666666667</v>
      </c>
      <c r="AB86" s="48">
        <f t="shared" si="23"/>
        <v>0.8666666666666667</v>
      </c>
      <c r="AC86" s="48">
        <f t="shared" si="19"/>
        <v>0.8666666666666667</v>
      </c>
    </row>
    <row r="87" spans="1:29" ht="15" customHeight="1" thickBot="1" x14ac:dyDescent="0.4">
      <c r="A87" s="185"/>
      <c r="B87" s="12" t="s">
        <v>21</v>
      </c>
      <c r="C87" s="13" t="s">
        <v>19</v>
      </c>
      <c r="D87" s="13">
        <v>2</v>
      </c>
      <c r="E87" s="12" t="s">
        <v>109</v>
      </c>
      <c r="F87" s="40">
        <f>'GT Input'!C5</f>
        <v>9</v>
      </c>
      <c r="G87" s="40">
        <f>'GT Input'!D5</f>
        <v>15</v>
      </c>
      <c r="H87" s="40">
        <f>'GT Input'!E5</f>
        <v>9</v>
      </c>
      <c r="I87" s="40">
        <f>'GT Input'!F5</f>
        <v>15</v>
      </c>
      <c r="J87" s="41">
        <f>'Detailed Results'!G87</f>
        <v>9</v>
      </c>
      <c r="K87" s="41">
        <f>'Detailed Results'!H87</f>
        <v>9</v>
      </c>
      <c r="L87" s="42">
        <f t="shared" si="12"/>
        <v>1</v>
      </c>
      <c r="M87" s="42">
        <f t="shared" si="20"/>
        <v>1</v>
      </c>
      <c r="N87" s="42">
        <f t="shared" si="13"/>
        <v>1</v>
      </c>
      <c r="O87" s="43">
        <f>'Detailed Results'!I87</f>
        <v>15</v>
      </c>
      <c r="P87" s="43">
        <f>'Detailed Results'!J87</f>
        <v>15</v>
      </c>
      <c r="Q87" s="44">
        <f t="shared" si="14"/>
        <v>1</v>
      </c>
      <c r="R87" s="44">
        <f t="shared" si="21"/>
        <v>1</v>
      </c>
      <c r="S87" s="44">
        <f t="shared" si="15"/>
        <v>1</v>
      </c>
      <c r="T87" s="45">
        <f>'Detailed Results'!K87</f>
        <v>9</v>
      </c>
      <c r="U87" s="45">
        <f>'Detailed Results'!L87</f>
        <v>9</v>
      </c>
      <c r="V87" s="46">
        <f t="shared" si="16"/>
        <v>1</v>
      </c>
      <c r="W87" s="46">
        <f t="shared" si="22"/>
        <v>1</v>
      </c>
      <c r="X87" s="46">
        <f t="shared" si="17"/>
        <v>1</v>
      </c>
      <c r="Y87" s="47">
        <f>'Detailed Results'!M87</f>
        <v>15</v>
      </c>
      <c r="Z87" s="47">
        <f>'Detailed Results'!N87</f>
        <v>15</v>
      </c>
      <c r="AA87" s="48">
        <f t="shared" si="18"/>
        <v>1</v>
      </c>
      <c r="AB87" s="48">
        <f t="shared" si="23"/>
        <v>1</v>
      </c>
      <c r="AC87" s="48">
        <f t="shared" si="19"/>
        <v>1</v>
      </c>
    </row>
    <row r="88" spans="1:29" ht="15" customHeight="1" thickBot="1" x14ac:dyDescent="0.4">
      <c r="A88" s="185"/>
      <c r="B88" s="14" t="s">
        <v>21</v>
      </c>
      <c r="C88" s="15" t="s">
        <v>19</v>
      </c>
      <c r="D88" s="15">
        <v>3</v>
      </c>
      <c r="E88" s="14" t="s">
        <v>17</v>
      </c>
      <c r="F88" s="40">
        <f>'GT Input'!C5</f>
        <v>9</v>
      </c>
      <c r="G88" s="40">
        <f>'GT Input'!D5</f>
        <v>15</v>
      </c>
      <c r="H88" s="40">
        <f>'GT Input'!E5</f>
        <v>9</v>
      </c>
      <c r="I88" s="40">
        <f>'GT Input'!F5</f>
        <v>15</v>
      </c>
      <c r="J88" s="41">
        <f>'Detailed Results'!G88</f>
        <v>9</v>
      </c>
      <c r="K88" s="41">
        <f>'Detailed Results'!H88</f>
        <v>9</v>
      </c>
      <c r="L88" s="42">
        <f t="shared" si="12"/>
        <v>1</v>
      </c>
      <c r="M88" s="42">
        <f t="shared" si="20"/>
        <v>1</v>
      </c>
      <c r="N88" s="42">
        <f t="shared" si="13"/>
        <v>1</v>
      </c>
      <c r="O88" s="43">
        <f>'Detailed Results'!I88</f>
        <v>16</v>
      </c>
      <c r="P88" s="43">
        <f>'Detailed Results'!J88</f>
        <v>16</v>
      </c>
      <c r="Q88" s="44">
        <f t="shared" si="14"/>
        <v>1</v>
      </c>
      <c r="R88" s="44">
        <f t="shared" si="21"/>
        <v>1.0666666666666667</v>
      </c>
      <c r="S88" s="44">
        <f t="shared" si="15"/>
        <v>1.0322580645161292</v>
      </c>
      <c r="T88" s="45">
        <f>'Detailed Results'!K88</f>
        <v>9</v>
      </c>
      <c r="U88" s="45">
        <f>'Detailed Results'!L88</f>
        <v>9</v>
      </c>
      <c r="V88" s="46">
        <f t="shared" si="16"/>
        <v>1</v>
      </c>
      <c r="W88" s="46">
        <f t="shared" si="22"/>
        <v>1</v>
      </c>
      <c r="X88" s="46">
        <f t="shared" si="17"/>
        <v>1</v>
      </c>
      <c r="Y88" s="47">
        <f>'Detailed Results'!M88</f>
        <v>16</v>
      </c>
      <c r="Z88" s="47">
        <f>'Detailed Results'!N88</f>
        <v>13</v>
      </c>
      <c r="AA88" s="48">
        <f t="shared" si="18"/>
        <v>0.8125</v>
      </c>
      <c r="AB88" s="48">
        <f t="shared" si="23"/>
        <v>0.8666666666666667</v>
      </c>
      <c r="AC88" s="48">
        <f t="shared" si="19"/>
        <v>0.83870967741935487</v>
      </c>
    </row>
    <row r="89" spans="1:29" ht="15" customHeight="1" thickBot="1" x14ac:dyDescent="0.4">
      <c r="A89" s="185"/>
      <c r="B89" s="14" t="s">
        <v>21</v>
      </c>
      <c r="C89" s="15" t="s">
        <v>19</v>
      </c>
      <c r="D89" s="15">
        <v>3</v>
      </c>
      <c r="E89" s="14" t="s">
        <v>109</v>
      </c>
      <c r="F89" s="40">
        <f>'GT Input'!C5</f>
        <v>9</v>
      </c>
      <c r="G89" s="40">
        <f>'GT Input'!D5</f>
        <v>15</v>
      </c>
      <c r="H89" s="40">
        <f>'GT Input'!E5</f>
        <v>9</v>
      </c>
      <c r="I89" s="40">
        <f>'GT Input'!F5</f>
        <v>15</v>
      </c>
      <c r="J89" s="41">
        <f>'Detailed Results'!G89</f>
        <v>9</v>
      </c>
      <c r="K89" s="41">
        <f>'Detailed Results'!H89</f>
        <v>9</v>
      </c>
      <c r="L89" s="42">
        <f t="shared" si="12"/>
        <v>1</v>
      </c>
      <c r="M89" s="42">
        <f t="shared" si="20"/>
        <v>1</v>
      </c>
      <c r="N89" s="42">
        <f t="shared" si="13"/>
        <v>1</v>
      </c>
      <c r="O89" s="43">
        <f>'Detailed Results'!I89</f>
        <v>15</v>
      </c>
      <c r="P89" s="43">
        <f>'Detailed Results'!J89</f>
        <v>15</v>
      </c>
      <c r="Q89" s="44">
        <f t="shared" si="14"/>
        <v>1</v>
      </c>
      <c r="R89" s="44">
        <f t="shared" si="21"/>
        <v>1</v>
      </c>
      <c r="S89" s="44">
        <f t="shared" si="15"/>
        <v>1</v>
      </c>
      <c r="T89" s="45">
        <f>'Detailed Results'!K89</f>
        <v>9</v>
      </c>
      <c r="U89" s="45">
        <f>'Detailed Results'!L89</f>
        <v>9</v>
      </c>
      <c r="V89" s="46">
        <f t="shared" si="16"/>
        <v>1</v>
      </c>
      <c r="W89" s="46">
        <f t="shared" si="22"/>
        <v>1</v>
      </c>
      <c r="X89" s="46">
        <f t="shared" si="17"/>
        <v>1</v>
      </c>
      <c r="Y89" s="47">
        <f>'Detailed Results'!M89</f>
        <v>15</v>
      </c>
      <c r="Z89" s="47">
        <f>'Detailed Results'!N89</f>
        <v>15</v>
      </c>
      <c r="AA89" s="48">
        <f t="shared" si="18"/>
        <v>1</v>
      </c>
      <c r="AB89" s="48">
        <f t="shared" si="23"/>
        <v>1</v>
      </c>
      <c r="AC89" s="48">
        <f t="shared" si="19"/>
        <v>1</v>
      </c>
    </row>
    <row r="90" spans="1:29" ht="15" customHeight="1" thickBot="1" x14ac:dyDescent="0.4">
      <c r="A90" s="185"/>
      <c r="B90" s="12" t="s">
        <v>21</v>
      </c>
      <c r="C90" s="13" t="s">
        <v>20</v>
      </c>
      <c r="D90" s="13">
        <v>1</v>
      </c>
      <c r="E90" s="12" t="s">
        <v>17</v>
      </c>
      <c r="F90" s="40">
        <f>'GT Input'!C5</f>
        <v>9</v>
      </c>
      <c r="G90" s="40">
        <f>'GT Input'!D5</f>
        <v>15</v>
      </c>
      <c r="H90" s="40">
        <f>'GT Input'!E5</f>
        <v>9</v>
      </c>
      <c r="I90" s="40">
        <f>'GT Input'!F5</f>
        <v>15</v>
      </c>
      <c r="J90" s="41">
        <f>'Detailed Results'!G90</f>
        <v>9</v>
      </c>
      <c r="K90" s="41">
        <f>'Detailed Results'!H90</f>
        <v>9</v>
      </c>
      <c r="L90" s="42">
        <f t="shared" si="12"/>
        <v>1</v>
      </c>
      <c r="M90" s="42">
        <f t="shared" si="20"/>
        <v>1</v>
      </c>
      <c r="N90" s="42">
        <f t="shared" si="13"/>
        <v>1</v>
      </c>
      <c r="O90" s="43">
        <f>'Detailed Results'!I90</f>
        <v>15</v>
      </c>
      <c r="P90" s="43">
        <f>'Detailed Results'!J90</f>
        <v>15</v>
      </c>
      <c r="Q90" s="44">
        <f t="shared" si="14"/>
        <v>1</v>
      </c>
      <c r="R90" s="44">
        <f t="shared" si="21"/>
        <v>1</v>
      </c>
      <c r="S90" s="44">
        <f t="shared" si="15"/>
        <v>1</v>
      </c>
      <c r="T90" s="45">
        <f>'Detailed Results'!K90</f>
        <v>9</v>
      </c>
      <c r="U90" s="45">
        <f>'Detailed Results'!L90</f>
        <v>9</v>
      </c>
      <c r="V90" s="46">
        <f t="shared" si="16"/>
        <v>1</v>
      </c>
      <c r="W90" s="46">
        <f t="shared" si="22"/>
        <v>1</v>
      </c>
      <c r="X90" s="46">
        <f t="shared" si="17"/>
        <v>1</v>
      </c>
      <c r="Y90" s="47">
        <f>'Detailed Results'!M90</f>
        <v>15</v>
      </c>
      <c r="Z90" s="47">
        <f>'Detailed Results'!N90</f>
        <v>11</v>
      </c>
      <c r="AA90" s="48">
        <f t="shared" si="18"/>
        <v>0.73333333333333328</v>
      </c>
      <c r="AB90" s="48">
        <f t="shared" si="23"/>
        <v>0.73333333333333328</v>
      </c>
      <c r="AC90" s="48">
        <f t="shared" si="19"/>
        <v>0.73333333333333328</v>
      </c>
    </row>
    <row r="91" spans="1:29" ht="15" customHeight="1" thickBot="1" x14ac:dyDescent="0.4">
      <c r="A91" s="185"/>
      <c r="B91" s="12" t="s">
        <v>21</v>
      </c>
      <c r="C91" s="13" t="s">
        <v>20</v>
      </c>
      <c r="D91" s="13">
        <v>1</v>
      </c>
      <c r="E91" s="12" t="s">
        <v>109</v>
      </c>
      <c r="F91" s="40">
        <f>'GT Input'!C5</f>
        <v>9</v>
      </c>
      <c r="G91" s="40">
        <f>'GT Input'!D5</f>
        <v>15</v>
      </c>
      <c r="H91" s="40">
        <f>'GT Input'!E5</f>
        <v>9</v>
      </c>
      <c r="I91" s="40">
        <f>'GT Input'!F5</f>
        <v>15</v>
      </c>
      <c r="J91" s="41">
        <f>'Detailed Results'!G91</f>
        <v>9</v>
      </c>
      <c r="K91" s="41">
        <f>'Detailed Results'!H91</f>
        <v>9</v>
      </c>
      <c r="L91" s="42">
        <f t="shared" si="12"/>
        <v>1</v>
      </c>
      <c r="M91" s="42">
        <f t="shared" si="20"/>
        <v>1</v>
      </c>
      <c r="N91" s="42">
        <f t="shared" si="13"/>
        <v>1</v>
      </c>
      <c r="O91" s="43">
        <f>'Detailed Results'!I91</f>
        <v>16</v>
      </c>
      <c r="P91" s="43">
        <f>'Detailed Results'!J91</f>
        <v>16</v>
      </c>
      <c r="Q91" s="44">
        <f t="shared" si="14"/>
        <v>1</v>
      </c>
      <c r="R91" s="44">
        <f t="shared" si="21"/>
        <v>1.0666666666666667</v>
      </c>
      <c r="S91" s="44">
        <f t="shared" si="15"/>
        <v>1.0322580645161292</v>
      </c>
      <c r="T91" s="45">
        <f>'Detailed Results'!K91</f>
        <v>9</v>
      </c>
      <c r="U91" s="45">
        <f>'Detailed Results'!L91</f>
        <v>9</v>
      </c>
      <c r="V91" s="46">
        <f t="shared" si="16"/>
        <v>1</v>
      </c>
      <c r="W91" s="46">
        <f t="shared" si="22"/>
        <v>1</v>
      </c>
      <c r="X91" s="46">
        <f t="shared" si="17"/>
        <v>1</v>
      </c>
      <c r="Y91" s="47">
        <f>'Detailed Results'!M91</f>
        <v>16</v>
      </c>
      <c r="Z91" s="47">
        <f>'Detailed Results'!N91</f>
        <v>15</v>
      </c>
      <c r="AA91" s="48">
        <f t="shared" si="18"/>
        <v>0.9375</v>
      </c>
      <c r="AB91" s="48">
        <f t="shared" si="23"/>
        <v>1</v>
      </c>
      <c r="AC91" s="48">
        <f t="shared" si="19"/>
        <v>0.967741935483871</v>
      </c>
    </row>
    <row r="92" spans="1:29" ht="15" customHeight="1" thickBot="1" x14ac:dyDescent="0.4">
      <c r="A92" s="185"/>
      <c r="B92" s="14" t="s">
        <v>21</v>
      </c>
      <c r="C92" s="15" t="s">
        <v>20</v>
      </c>
      <c r="D92" s="15">
        <v>2</v>
      </c>
      <c r="E92" s="14" t="s">
        <v>17</v>
      </c>
      <c r="F92" s="40">
        <f>'GT Input'!C5</f>
        <v>9</v>
      </c>
      <c r="G92" s="40">
        <f>'GT Input'!D5</f>
        <v>15</v>
      </c>
      <c r="H92" s="40">
        <f>'GT Input'!E5</f>
        <v>9</v>
      </c>
      <c r="I92" s="40">
        <f>'GT Input'!F5</f>
        <v>15</v>
      </c>
      <c r="J92" s="41">
        <f>'Detailed Results'!G92</f>
        <v>9</v>
      </c>
      <c r="K92" s="41">
        <f>'Detailed Results'!H92</f>
        <v>9</v>
      </c>
      <c r="L92" s="42">
        <f t="shared" si="12"/>
        <v>1</v>
      </c>
      <c r="M92" s="42">
        <f t="shared" si="20"/>
        <v>1</v>
      </c>
      <c r="N92" s="42">
        <f t="shared" si="13"/>
        <v>1</v>
      </c>
      <c r="O92" s="43">
        <f>'Detailed Results'!I92</f>
        <v>15</v>
      </c>
      <c r="P92" s="43">
        <f>'Detailed Results'!J92</f>
        <v>15</v>
      </c>
      <c r="Q92" s="44">
        <f t="shared" si="14"/>
        <v>1</v>
      </c>
      <c r="R92" s="44">
        <f t="shared" si="21"/>
        <v>1</v>
      </c>
      <c r="S92" s="44">
        <f t="shared" si="15"/>
        <v>1</v>
      </c>
      <c r="T92" s="45">
        <f>'Detailed Results'!K92</f>
        <v>9</v>
      </c>
      <c r="U92" s="45">
        <f>'Detailed Results'!L92</f>
        <v>9</v>
      </c>
      <c r="V92" s="46">
        <f t="shared" si="16"/>
        <v>1</v>
      </c>
      <c r="W92" s="46">
        <f t="shared" si="22"/>
        <v>1</v>
      </c>
      <c r="X92" s="46">
        <f t="shared" si="17"/>
        <v>1</v>
      </c>
      <c r="Y92" s="47">
        <f>'Detailed Results'!M92</f>
        <v>15</v>
      </c>
      <c r="Z92" s="47">
        <f>'Detailed Results'!N92</f>
        <v>13</v>
      </c>
      <c r="AA92" s="48">
        <f t="shared" si="18"/>
        <v>0.8666666666666667</v>
      </c>
      <c r="AB92" s="48">
        <f t="shared" si="23"/>
        <v>0.8666666666666667</v>
      </c>
      <c r="AC92" s="48">
        <f t="shared" si="19"/>
        <v>0.8666666666666667</v>
      </c>
    </row>
    <row r="93" spans="1:29" ht="15" customHeight="1" thickBot="1" x14ac:dyDescent="0.4">
      <c r="A93" s="185"/>
      <c r="B93" s="14" t="s">
        <v>21</v>
      </c>
      <c r="C93" s="15" t="s">
        <v>20</v>
      </c>
      <c r="D93" s="15">
        <v>2</v>
      </c>
      <c r="E93" s="14" t="s">
        <v>109</v>
      </c>
      <c r="F93" s="40">
        <f>'GT Input'!C5</f>
        <v>9</v>
      </c>
      <c r="G93" s="40">
        <f>'GT Input'!D5</f>
        <v>15</v>
      </c>
      <c r="H93" s="40">
        <f>'GT Input'!E5</f>
        <v>9</v>
      </c>
      <c r="I93" s="40">
        <f>'GT Input'!F5</f>
        <v>15</v>
      </c>
      <c r="J93" s="41">
        <f>'Detailed Results'!G93</f>
        <v>9</v>
      </c>
      <c r="K93" s="41">
        <f>'Detailed Results'!H93</f>
        <v>9</v>
      </c>
      <c r="L93" s="42">
        <f t="shared" si="12"/>
        <v>1</v>
      </c>
      <c r="M93" s="42">
        <f t="shared" si="20"/>
        <v>1</v>
      </c>
      <c r="N93" s="42">
        <f t="shared" si="13"/>
        <v>1</v>
      </c>
      <c r="O93" s="43">
        <f>'Detailed Results'!I93</f>
        <v>15</v>
      </c>
      <c r="P93" s="43">
        <f>'Detailed Results'!J93</f>
        <v>15</v>
      </c>
      <c r="Q93" s="44">
        <f t="shared" si="14"/>
        <v>1</v>
      </c>
      <c r="R93" s="44">
        <f t="shared" si="21"/>
        <v>1</v>
      </c>
      <c r="S93" s="44">
        <f t="shared" si="15"/>
        <v>1</v>
      </c>
      <c r="T93" s="45">
        <f>'Detailed Results'!K93</f>
        <v>9</v>
      </c>
      <c r="U93" s="45">
        <f>'Detailed Results'!L93</f>
        <v>9</v>
      </c>
      <c r="V93" s="46">
        <f t="shared" si="16"/>
        <v>1</v>
      </c>
      <c r="W93" s="46">
        <f t="shared" si="22"/>
        <v>1</v>
      </c>
      <c r="X93" s="46">
        <f t="shared" si="17"/>
        <v>1</v>
      </c>
      <c r="Y93" s="47">
        <f>'Detailed Results'!M93</f>
        <v>15</v>
      </c>
      <c r="Z93" s="47">
        <f>'Detailed Results'!N93</f>
        <v>15</v>
      </c>
      <c r="AA93" s="48">
        <f t="shared" si="18"/>
        <v>1</v>
      </c>
      <c r="AB93" s="48">
        <f t="shared" si="23"/>
        <v>1</v>
      </c>
      <c r="AC93" s="48">
        <f t="shared" si="19"/>
        <v>1</v>
      </c>
    </row>
    <row r="94" spans="1:29" ht="15" customHeight="1" thickBot="1" x14ac:dyDescent="0.4">
      <c r="A94" s="185"/>
      <c r="B94" s="12" t="s">
        <v>21</v>
      </c>
      <c r="C94" s="13" t="s">
        <v>20</v>
      </c>
      <c r="D94" s="13">
        <v>3</v>
      </c>
      <c r="E94" s="12" t="s">
        <v>17</v>
      </c>
      <c r="F94" s="40">
        <f>'GT Input'!C5</f>
        <v>9</v>
      </c>
      <c r="G94" s="40">
        <f>'GT Input'!D5</f>
        <v>15</v>
      </c>
      <c r="H94" s="40">
        <f>'GT Input'!E5</f>
        <v>9</v>
      </c>
      <c r="I94" s="40">
        <f>'GT Input'!F5</f>
        <v>15</v>
      </c>
      <c r="J94" s="41">
        <f>'Detailed Results'!G94</f>
        <v>9</v>
      </c>
      <c r="K94" s="41">
        <f>'Detailed Results'!H94</f>
        <v>9</v>
      </c>
      <c r="L94" s="42">
        <f t="shared" si="12"/>
        <v>1</v>
      </c>
      <c r="M94" s="42">
        <f t="shared" si="20"/>
        <v>1</v>
      </c>
      <c r="N94" s="42">
        <f t="shared" si="13"/>
        <v>1</v>
      </c>
      <c r="O94" s="43">
        <f>'Detailed Results'!I94</f>
        <v>14</v>
      </c>
      <c r="P94" s="43">
        <f>'Detailed Results'!J94</f>
        <v>14</v>
      </c>
      <c r="Q94" s="44">
        <f t="shared" si="14"/>
        <v>1</v>
      </c>
      <c r="R94" s="44">
        <f t="shared" si="21"/>
        <v>0.93333333333333335</v>
      </c>
      <c r="S94" s="44">
        <f t="shared" si="15"/>
        <v>0.96551724137931039</v>
      </c>
      <c r="T94" s="45">
        <f>'Detailed Results'!K94</f>
        <v>9</v>
      </c>
      <c r="U94" s="45">
        <f>'Detailed Results'!L94</f>
        <v>9</v>
      </c>
      <c r="V94" s="46">
        <f t="shared" si="16"/>
        <v>1</v>
      </c>
      <c r="W94" s="46">
        <f t="shared" si="22"/>
        <v>1</v>
      </c>
      <c r="X94" s="46">
        <f t="shared" si="17"/>
        <v>1</v>
      </c>
      <c r="Y94" s="47">
        <f>'Detailed Results'!M94</f>
        <v>14</v>
      </c>
      <c r="Z94" s="47">
        <f>'Detailed Results'!N94</f>
        <v>12</v>
      </c>
      <c r="AA94" s="48">
        <f t="shared" si="18"/>
        <v>0.8571428571428571</v>
      </c>
      <c r="AB94" s="48">
        <f t="shared" si="23"/>
        <v>0.8</v>
      </c>
      <c r="AC94" s="48">
        <f t="shared" si="19"/>
        <v>0.82758620689655182</v>
      </c>
    </row>
    <row r="95" spans="1:29" ht="15" customHeight="1" thickBot="1" x14ac:dyDescent="0.4">
      <c r="A95" s="185"/>
      <c r="B95" s="12" t="s">
        <v>21</v>
      </c>
      <c r="C95" s="13" t="s">
        <v>20</v>
      </c>
      <c r="D95" s="13">
        <v>3</v>
      </c>
      <c r="E95" s="12" t="s">
        <v>109</v>
      </c>
      <c r="F95" s="40">
        <f>'GT Input'!C5</f>
        <v>9</v>
      </c>
      <c r="G95" s="40">
        <f>'GT Input'!D5</f>
        <v>15</v>
      </c>
      <c r="H95" s="40">
        <f>'GT Input'!E5</f>
        <v>9</v>
      </c>
      <c r="I95" s="40">
        <f>'GT Input'!F5</f>
        <v>15</v>
      </c>
      <c r="J95" s="41">
        <f>'Detailed Results'!G95</f>
        <v>9</v>
      </c>
      <c r="K95" s="41">
        <f>'Detailed Results'!H95</f>
        <v>9</v>
      </c>
      <c r="L95" s="42">
        <f t="shared" si="12"/>
        <v>1</v>
      </c>
      <c r="M95" s="42">
        <f t="shared" si="20"/>
        <v>1</v>
      </c>
      <c r="N95" s="42">
        <f t="shared" si="13"/>
        <v>1</v>
      </c>
      <c r="O95" s="43">
        <f>'Detailed Results'!I95</f>
        <v>17</v>
      </c>
      <c r="P95" s="43">
        <f>'Detailed Results'!J95</f>
        <v>17</v>
      </c>
      <c r="Q95" s="44">
        <f t="shared" si="14"/>
        <v>1</v>
      </c>
      <c r="R95" s="44">
        <f t="shared" si="21"/>
        <v>1.1333333333333333</v>
      </c>
      <c r="S95" s="44">
        <f t="shared" si="15"/>
        <v>1.0625</v>
      </c>
      <c r="T95" s="45">
        <f>'Detailed Results'!K95</f>
        <v>9</v>
      </c>
      <c r="U95" s="45">
        <f>'Detailed Results'!L95</f>
        <v>9</v>
      </c>
      <c r="V95" s="46">
        <f t="shared" si="16"/>
        <v>1</v>
      </c>
      <c r="W95" s="46">
        <f t="shared" si="22"/>
        <v>1</v>
      </c>
      <c r="X95" s="46">
        <f t="shared" si="17"/>
        <v>1</v>
      </c>
      <c r="Y95" s="47">
        <f>'Detailed Results'!M95</f>
        <v>17</v>
      </c>
      <c r="Z95" s="47">
        <f>'Detailed Results'!N95</f>
        <v>16</v>
      </c>
      <c r="AA95" s="48">
        <f t="shared" si="18"/>
        <v>0.94117647058823528</v>
      </c>
      <c r="AB95" s="48">
        <f t="shared" si="23"/>
        <v>1.0666666666666667</v>
      </c>
      <c r="AC95" s="48">
        <f t="shared" si="19"/>
        <v>1</v>
      </c>
    </row>
    <row r="96" spans="1:29" ht="15" customHeight="1" thickBot="1" x14ac:dyDescent="0.4">
      <c r="A96" s="185"/>
      <c r="B96" s="16" t="s">
        <v>22</v>
      </c>
      <c r="C96" s="17" t="s">
        <v>16</v>
      </c>
      <c r="D96" s="17">
        <v>1</v>
      </c>
      <c r="E96" s="16" t="s">
        <v>17</v>
      </c>
      <c r="F96" s="40">
        <f>'GT Input'!C5</f>
        <v>9</v>
      </c>
      <c r="G96" s="40">
        <f>'GT Input'!D5</f>
        <v>15</v>
      </c>
      <c r="H96" s="40">
        <f>'GT Input'!E5</f>
        <v>9</v>
      </c>
      <c r="I96" s="40">
        <f>'GT Input'!F5</f>
        <v>15</v>
      </c>
      <c r="J96" s="41">
        <f>'Detailed Results'!G96</f>
        <v>9</v>
      </c>
      <c r="K96" s="41">
        <f>'Detailed Results'!H96</f>
        <v>9</v>
      </c>
      <c r="L96" s="42">
        <f t="shared" si="12"/>
        <v>1</v>
      </c>
      <c r="M96" s="42">
        <f t="shared" si="20"/>
        <v>1</v>
      </c>
      <c r="N96" s="42">
        <f t="shared" si="13"/>
        <v>1</v>
      </c>
      <c r="O96" s="43">
        <f>'Detailed Results'!I96</f>
        <v>15</v>
      </c>
      <c r="P96" s="43">
        <f>'Detailed Results'!J96</f>
        <v>15</v>
      </c>
      <c r="Q96" s="44">
        <f t="shared" si="14"/>
        <v>1</v>
      </c>
      <c r="R96" s="44">
        <f t="shared" si="21"/>
        <v>1</v>
      </c>
      <c r="S96" s="44">
        <f t="shared" si="15"/>
        <v>1</v>
      </c>
      <c r="T96" s="45">
        <f>'Detailed Results'!K96</f>
        <v>9</v>
      </c>
      <c r="U96" s="45">
        <f>'Detailed Results'!L96</f>
        <v>9</v>
      </c>
      <c r="V96" s="46">
        <f t="shared" si="16"/>
        <v>1</v>
      </c>
      <c r="W96" s="46">
        <f t="shared" si="22"/>
        <v>1</v>
      </c>
      <c r="X96" s="46">
        <f t="shared" si="17"/>
        <v>1</v>
      </c>
      <c r="Y96" s="47">
        <f>'Detailed Results'!M96</f>
        <v>15</v>
      </c>
      <c r="Z96" s="47">
        <f>'Detailed Results'!N96</f>
        <v>14</v>
      </c>
      <c r="AA96" s="48">
        <f t="shared" si="18"/>
        <v>0.93333333333333335</v>
      </c>
      <c r="AB96" s="48">
        <f t="shared" si="23"/>
        <v>0.93333333333333335</v>
      </c>
      <c r="AC96" s="48">
        <f t="shared" si="19"/>
        <v>0.93333333333333335</v>
      </c>
    </row>
    <row r="97" spans="1:29" ht="15" customHeight="1" thickBot="1" x14ac:dyDescent="0.4">
      <c r="A97" s="185"/>
      <c r="B97" s="16" t="s">
        <v>22</v>
      </c>
      <c r="C97" s="17" t="s">
        <v>16</v>
      </c>
      <c r="D97" s="17">
        <v>1</v>
      </c>
      <c r="E97" s="16" t="s">
        <v>109</v>
      </c>
      <c r="F97" s="40">
        <f>'GT Input'!C5</f>
        <v>9</v>
      </c>
      <c r="G97" s="40">
        <f>'GT Input'!D5</f>
        <v>15</v>
      </c>
      <c r="H97" s="40">
        <f>'GT Input'!E5</f>
        <v>9</v>
      </c>
      <c r="I97" s="40">
        <f>'GT Input'!F5</f>
        <v>15</v>
      </c>
      <c r="J97" s="41">
        <f>'Detailed Results'!G97</f>
        <v>9</v>
      </c>
      <c r="K97" s="41">
        <f>'Detailed Results'!H97</f>
        <v>9</v>
      </c>
      <c r="L97" s="42">
        <f t="shared" si="12"/>
        <v>1</v>
      </c>
      <c r="M97" s="42">
        <f t="shared" si="20"/>
        <v>1</v>
      </c>
      <c r="N97" s="42">
        <f t="shared" si="13"/>
        <v>1</v>
      </c>
      <c r="O97" s="43">
        <f>'Detailed Results'!I97</f>
        <v>15</v>
      </c>
      <c r="P97" s="43">
        <f>'Detailed Results'!J97</f>
        <v>15</v>
      </c>
      <c r="Q97" s="44">
        <f t="shared" si="14"/>
        <v>1</v>
      </c>
      <c r="R97" s="44">
        <f t="shared" si="21"/>
        <v>1</v>
      </c>
      <c r="S97" s="44">
        <f t="shared" si="15"/>
        <v>1</v>
      </c>
      <c r="T97" s="45">
        <f>'Detailed Results'!K97</f>
        <v>9</v>
      </c>
      <c r="U97" s="45">
        <f>'Detailed Results'!L97</f>
        <v>9</v>
      </c>
      <c r="V97" s="46">
        <f t="shared" si="16"/>
        <v>1</v>
      </c>
      <c r="W97" s="46">
        <f t="shared" si="22"/>
        <v>1</v>
      </c>
      <c r="X97" s="46">
        <f t="shared" si="17"/>
        <v>1</v>
      </c>
      <c r="Y97" s="47">
        <f>'Detailed Results'!M97</f>
        <v>15</v>
      </c>
      <c r="Z97" s="47">
        <f>'Detailed Results'!N97</f>
        <v>14</v>
      </c>
      <c r="AA97" s="48">
        <f t="shared" si="18"/>
        <v>0.93333333333333335</v>
      </c>
      <c r="AB97" s="48">
        <f t="shared" si="23"/>
        <v>0.93333333333333335</v>
      </c>
      <c r="AC97" s="48">
        <f t="shared" si="19"/>
        <v>0.93333333333333335</v>
      </c>
    </row>
    <row r="98" spans="1:29" ht="15" customHeight="1" thickBot="1" x14ac:dyDescent="0.4">
      <c r="A98" s="185"/>
      <c r="B98" s="18" t="s">
        <v>22</v>
      </c>
      <c r="C98" s="19" t="s">
        <v>16</v>
      </c>
      <c r="D98" s="19">
        <v>2</v>
      </c>
      <c r="E98" s="18" t="s">
        <v>17</v>
      </c>
      <c r="F98" s="40">
        <f>'GT Input'!C5</f>
        <v>9</v>
      </c>
      <c r="G98" s="40">
        <f>'GT Input'!D5</f>
        <v>15</v>
      </c>
      <c r="H98" s="40">
        <f>'GT Input'!E5</f>
        <v>9</v>
      </c>
      <c r="I98" s="40">
        <f>'GT Input'!F5</f>
        <v>15</v>
      </c>
      <c r="J98" s="41">
        <f>'Detailed Results'!G98</f>
        <v>9</v>
      </c>
      <c r="K98" s="41">
        <f>'Detailed Results'!H98</f>
        <v>9</v>
      </c>
      <c r="L98" s="42">
        <f t="shared" si="12"/>
        <v>1</v>
      </c>
      <c r="M98" s="42">
        <f t="shared" si="20"/>
        <v>1</v>
      </c>
      <c r="N98" s="42">
        <f t="shared" si="13"/>
        <v>1</v>
      </c>
      <c r="O98" s="43">
        <f>'Detailed Results'!I98</f>
        <v>16</v>
      </c>
      <c r="P98" s="43">
        <f>'Detailed Results'!J98</f>
        <v>16</v>
      </c>
      <c r="Q98" s="44">
        <f t="shared" si="14"/>
        <v>1</v>
      </c>
      <c r="R98" s="44">
        <f t="shared" si="21"/>
        <v>1.0666666666666667</v>
      </c>
      <c r="S98" s="44">
        <f t="shared" si="15"/>
        <v>1.0322580645161292</v>
      </c>
      <c r="T98" s="45">
        <f>'Detailed Results'!K98</f>
        <v>9</v>
      </c>
      <c r="U98" s="45">
        <f>'Detailed Results'!L98</f>
        <v>9</v>
      </c>
      <c r="V98" s="46">
        <f t="shared" si="16"/>
        <v>1</v>
      </c>
      <c r="W98" s="46">
        <f t="shared" si="22"/>
        <v>1</v>
      </c>
      <c r="X98" s="46">
        <f t="shared" si="17"/>
        <v>1</v>
      </c>
      <c r="Y98" s="47">
        <f>'Detailed Results'!M98</f>
        <v>16</v>
      </c>
      <c r="Z98" s="47">
        <f>'Detailed Results'!N98</f>
        <v>16</v>
      </c>
      <c r="AA98" s="48">
        <f t="shared" si="18"/>
        <v>1</v>
      </c>
      <c r="AB98" s="48">
        <f t="shared" si="23"/>
        <v>1.0666666666666667</v>
      </c>
      <c r="AC98" s="48">
        <f t="shared" si="19"/>
        <v>1.0322580645161292</v>
      </c>
    </row>
    <row r="99" spans="1:29" ht="15" customHeight="1" thickBot="1" x14ac:dyDescent="0.4">
      <c r="A99" s="185"/>
      <c r="B99" s="18" t="s">
        <v>22</v>
      </c>
      <c r="C99" s="19" t="s">
        <v>16</v>
      </c>
      <c r="D99" s="19">
        <v>2</v>
      </c>
      <c r="E99" s="18" t="s">
        <v>109</v>
      </c>
      <c r="F99" s="40">
        <f>'GT Input'!C5</f>
        <v>9</v>
      </c>
      <c r="G99" s="40">
        <f>'GT Input'!D5</f>
        <v>15</v>
      </c>
      <c r="H99" s="40">
        <f>'GT Input'!E5</f>
        <v>9</v>
      </c>
      <c r="I99" s="40">
        <f>'GT Input'!F5</f>
        <v>15</v>
      </c>
      <c r="J99" s="41">
        <f>'Detailed Results'!G99</f>
        <v>9</v>
      </c>
      <c r="K99" s="41">
        <f>'Detailed Results'!H99</f>
        <v>9</v>
      </c>
      <c r="L99" s="42">
        <f t="shared" si="12"/>
        <v>1</v>
      </c>
      <c r="M99" s="42">
        <f t="shared" si="20"/>
        <v>1</v>
      </c>
      <c r="N99" s="42">
        <f t="shared" si="13"/>
        <v>1</v>
      </c>
      <c r="O99" s="43">
        <f>'Detailed Results'!I99</f>
        <v>15</v>
      </c>
      <c r="P99" s="43">
        <f>'Detailed Results'!J99</f>
        <v>15</v>
      </c>
      <c r="Q99" s="44">
        <f t="shared" si="14"/>
        <v>1</v>
      </c>
      <c r="R99" s="44">
        <f t="shared" si="21"/>
        <v>1</v>
      </c>
      <c r="S99" s="44">
        <f t="shared" si="15"/>
        <v>1</v>
      </c>
      <c r="T99" s="45">
        <f>'Detailed Results'!K99</f>
        <v>9</v>
      </c>
      <c r="U99" s="45">
        <f>'Detailed Results'!L99</f>
        <v>9</v>
      </c>
      <c r="V99" s="46">
        <f t="shared" si="16"/>
        <v>1</v>
      </c>
      <c r="W99" s="46">
        <f t="shared" si="22"/>
        <v>1</v>
      </c>
      <c r="X99" s="46">
        <f t="shared" si="17"/>
        <v>1</v>
      </c>
      <c r="Y99" s="47">
        <f>'Detailed Results'!M99</f>
        <v>15</v>
      </c>
      <c r="Z99" s="47">
        <f>'Detailed Results'!N99</f>
        <v>15</v>
      </c>
      <c r="AA99" s="48">
        <f t="shared" si="18"/>
        <v>1</v>
      </c>
      <c r="AB99" s="48">
        <f t="shared" si="23"/>
        <v>1</v>
      </c>
      <c r="AC99" s="48">
        <f t="shared" si="19"/>
        <v>1</v>
      </c>
    </row>
    <row r="100" spans="1:29" ht="15" customHeight="1" thickBot="1" x14ac:dyDescent="0.4">
      <c r="A100" s="185"/>
      <c r="B100" s="16" t="s">
        <v>22</v>
      </c>
      <c r="C100" s="17" t="s">
        <v>16</v>
      </c>
      <c r="D100" s="17">
        <v>3</v>
      </c>
      <c r="E100" s="16" t="s">
        <v>17</v>
      </c>
      <c r="F100" s="40">
        <f>'GT Input'!C5</f>
        <v>9</v>
      </c>
      <c r="G100" s="40">
        <f>'GT Input'!D5</f>
        <v>15</v>
      </c>
      <c r="H100" s="40">
        <f>'GT Input'!E5</f>
        <v>9</v>
      </c>
      <c r="I100" s="40">
        <f>'GT Input'!F5</f>
        <v>15</v>
      </c>
      <c r="J100" s="41">
        <f>'Detailed Results'!G100</f>
        <v>9</v>
      </c>
      <c r="K100" s="41">
        <f>'Detailed Results'!H100</f>
        <v>9</v>
      </c>
      <c r="L100" s="42">
        <f t="shared" si="12"/>
        <v>1</v>
      </c>
      <c r="M100" s="42">
        <f t="shared" si="20"/>
        <v>1</v>
      </c>
      <c r="N100" s="42">
        <f t="shared" si="13"/>
        <v>1</v>
      </c>
      <c r="O100" s="43">
        <f>'Detailed Results'!I100</f>
        <v>16</v>
      </c>
      <c r="P100" s="43">
        <f>'Detailed Results'!J100</f>
        <v>16</v>
      </c>
      <c r="Q100" s="44">
        <f t="shared" si="14"/>
        <v>1</v>
      </c>
      <c r="R100" s="44">
        <f t="shared" si="21"/>
        <v>1.0666666666666667</v>
      </c>
      <c r="S100" s="44">
        <f t="shared" si="15"/>
        <v>1.0322580645161292</v>
      </c>
      <c r="T100" s="45">
        <f>'Detailed Results'!K100</f>
        <v>9</v>
      </c>
      <c r="U100" s="45">
        <f>'Detailed Results'!L100</f>
        <v>9</v>
      </c>
      <c r="V100" s="46">
        <f t="shared" si="16"/>
        <v>1</v>
      </c>
      <c r="W100" s="46">
        <f t="shared" si="22"/>
        <v>1</v>
      </c>
      <c r="X100" s="46">
        <f t="shared" si="17"/>
        <v>1</v>
      </c>
      <c r="Y100" s="47">
        <f>'Detailed Results'!M100</f>
        <v>16</v>
      </c>
      <c r="Z100" s="47">
        <f>'Detailed Results'!N100</f>
        <v>16</v>
      </c>
      <c r="AA100" s="48">
        <f t="shared" si="18"/>
        <v>1</v>
      </c>
      <c r="AB100" s="48">
        <f t="shared" si="23"/>
        <v>1.0666666666666667</v>
      </c>
      <c r="AC100" s="48">
        <f t="shared" si="19"/>
        <v>1.0322580645161292</v>
      </c>
    </row>
    <row r="101" spans="1:29" ht="15" customHeight="1" thickBot="1" x14ac:dyDescent="0.4">
      <c r="A101" s="185"/>
      <c r="B101" s="16" t="s">
        <v>22</v>
      </c>
      <c r="C101" s="17" t="s">
        <v>16</v>
      </c>
      <c r="D101" s="17">
        <v>3</v>
      </c>
      <c r="E101" s="16" t="s">
        <v>109</v>
      </c>
      <c r="F101" s="40">
        <f>'GT Input'!C5</f>
        <v>9</v>
      </c>
      <c r="G101" s="40">
        <f>'GT Input'!D5</f>
        <v>15</v>
      </c>
      <c r="H101" s="40">
        <f>'GT Input'!E5</f>
        <v>9</v>
      </c>
      <c r="I101" s="40">
        <f>'GT Input'!F5</f>
        <v>15</v>
      </c>
      <c r="J101" s="41">
        <f>'Detailed Results'!G101</f>
        <v>9</v>
      </c>
      <c r="K101" s="41">
        <f>'Detailed Results'!H101</f>
        <v>9</v>
      </c>
      <c r="L101" s="42">
        <f t="shared" si="12"/>
        <v>1</v>
      </c>
      <c r="M101" s="42">
        <f t="shared" si="20"/>
        <v>1</v>
      </c>
      <c r="N101" s="42">
        <f t="shared" si="13"/>
        <v>1</v>
      </c>
      <c r="O101" s="43">
        <f>'Detailed Results'!I101</f>
        <v>14</v>
      </c>
      <c r="P101" s="43">
        <f>'Detailed Results'!J101</f>
        <v>14</v>
      </c>
      <c r="Q101" s="44">
        <f t="shared" si="14"/>
        <v>1</v>
      </c>
      <c r="R101" s="44">
        <f t="shared" si="21"/>
        <v>0.93333333333333335</v>
      </c>
      <c r="S101" s="44">
        <f t="shared" si="15"/>
        <v>0.96551724137931039</v>
      </c>
      <c r="T101" s="45">
        <f>'Detailed Results'!K101</f>
        <v>9</v>
      </c>
      <c r="U101" s="45">
        <f>'Detailed Results'!L101</f>
        <v>9</v>
      </c>
      <c r="V101" s="46">
        <f t="shared" si="16"/>
        <v>1</v>
      </c>
      <c r="W101" s="46">
        <f t="shared" si="22"/>
        <v>1</v>
      </c>
      <c r="X101" s="46">
        <f t="shared" si="17"/>
        <v>1</v>
      </c>
      <c r="Y101" s="47">
        <f>'Detailed Results'!M101</f>
        <v>14</v>
      </c>
      <c r="Z101" s="47">
        <f>'Detailed Results'!N101</f>
        <v>14</v>
      </c>
      <c r="AA101" s="48">
        <f t="shared" si="18"/>
        <v>1</v>
      </c>
      <c r="AB101" s="48">
        <f t="shared" si="23"/>
        <v>0.93333333333333335</v>
      </c>
      <c r="AC101" s="48">
        <f t="shared" si="19"/>
        <v>0.96551724137931039</v>
      </c>
    </row>
    <row r="102" spans="1:29" ht="15" customHeight="1" thickBot="1" x14ac:dyDescent="0.4">
      <c r="A102" s="185"/>
      <c r="B102" s="18" t="s">
        <v>22</v>
      </c>
      <c r="C102" s="19" t="s">
        <v>19</v>
      </c>
      <c r="D102" s="19">
        <v>1</v>
      </c>
      <c r="E102" s="18" t="s">
        <v>17</v>
      </c>
      <c r="F102" s="40">
        <f>'GT Input'!C5</f>
        <v>9</v>
      </c>
      <c r="G102" s="40">
        <f>'GT Input'!D5</f>
        <v>15</v>
      </c>
      <c r="H102" s="40">
        <f>'GT Input'!E5</f>
        <v>9</v>
      </c>
      <c r="I102" s="40">
        <f>'GT Input'!F5</f>
        <v>15</v>
      </c>
      <c r="J102" s="41">
        <f>'Detailed Results'!G102</f>
        <v>9</v>
      </c>
      <c r="K102" s="41">
        <f>'Detailed Results'!H102</f>
        <v>9</v>
      </c>
      <c r="L102" s="42">
        <f t="shared" si="12"/>
        <v>1</v>
      </c>
      <c r="M102" s="42">
        <f t="shared" si="20"/>
        <v>1</v>
      </c>
      <c r="N102" s="42">
        <f t="shared" si="13"/>
        <v>1</v>
      </c>
      <c r="O102" s="43">
        <f>'Detailed Results'!I102</f>
        <v>15</v>
      </c>
      <c r="P102" s="43">
        <f>'Detailed Results'!J102</f>
        <v>15</v>
      </c>
      <c r="Q102" s="44">
        <f t="shared" si="14"/>
        <v>1</v>
      </c>
      <c r="R102" s="44">
        <f t="shared" si="21"/>
        <v>1</v>
      </c>
      <c r="S102" s="44">
        <f t="shared" si="15"/>
        <v>1</v>
      </c>
      <c r="T102" s="45">
        <f>'Detailed Results'!K102</f>
        <v>9</v>
      </c>
      <c r="U102" s="45">
        <f>'Detailed Results'!L102</f>
        <v>9</v>
      </c>
      <c r="V102" s="46">
        <f t="shared" si="16"/>
        <v>1</v>
      </c>
      <c r="W102" s="46">
        <f t="shared" si="22"/>
        <v>1</v>
      </c>
      <c r="X102" s="46">
        <f t="shared" si="17"/>
        <v>1</v>
      </c>
      <c r="Y102" s="47">
        <f>'Detailed Results'!M102</f>
        <v>15</v>
      </c>
      <c r="Z102" s="47">
        <f>'Detailed Results'!N102</f>
        <v>14</v>
      </c>
      <c r="AA102" s="48">
        <f t="shared" si="18"/>
        <v>0.93333333333333335</v>
      </c>
      <c r="AB102" s="48">
        <f t="shared" si="23"/>
        <v>0.93333333333333335</v>
      </c>
      <c r="AC102" s="48">
        <f t="shared" si="19"/>
        <v>0.93333333333333335</v>
      </c>
    </row>
    <row r="103" spans="1:29" ht="15" customHeight="1" thickBot="1" x14ac:dyDescent="0.4">
      <c r="A103" s="185"/>
      <c r="B103" s="18" t="s">
        <v>22</v>
      </c>
      <c r="C103" s="19" t="s">
        <v>19</v>
      </c>
      <c r="D103" s="19">
        <v>1</v>
      </c>
      <c r="E103" s="18" t="s">
        <v>109</v>
      </c>
      <c r="F103" s="40">
        <f>'GT Input'!C5</f>
        <v>9</v>
      </c>
      <c r="G103" s="40">
        <f>'GT Input'!D5</f>
        <v>15</v>
      </c>
      <c r="H103" s="40">
        <f>'GT Input'!E5</f>
        <v>9</v>
      </c>
      <c r="I103" s="40">
        <f>'GT Input'!F5</f>
        <v>15</v>
      </c>
      <c r="J103" s="41">
        <f>'Detailed Results'!G103</f>
        <v>9</v>
      </c>
      <c r="K103" s="41">
        <f>'Detailed Results'!H103</f>
        <v>9</v>
      </c>
      <c r="L103" s="42">
        <f t="shared" si="12"/>
        <v>1</v>
      </c>
      <c r="M103" s="42">
        <f t="shared" si="20"/>
        <v>1</v>
      </c>
      <c r="N103" s="42">
        <f t="shared" si="13"/>
        <v>1</v>
      </c>
      <c r="O103" s="43">
        <f>'Detailed Results'!I103</f>
        <v>14</v>
      </c>
      <c r="P103" s="43">
        <f>'Detailed Results'!J103</f>
        <v>14</v>
      </c>
      <c r="Q103" s="44">
        <f t="shared" si="14"/>
        <v>1</v>
      </c>
      <c r="R103" s="44">
        <f t="shared" si="21"/>
        <v>0.93333333333333335</v>
      </c>
      <c r="S103" s="44">
        <f t="shared" si="15"/>
        <v>0.96551724137931039</v>
      </c>
      <c r="T103" s="45">
        <f>'Detailed Results'!K103</f>
        <v>9</v>
      </c>
      <c r="U103" s="45">
        <f>'Detailed Results'!L103</f>
        <v>9</v>
      </c>
      <c r="V103" s="46">
        <f t="shared" si="16"/>
        <v>1</v>
      </c>
      <c r="W103" s="46">
        <f t="shared" si="22"/>
        <v>1</v>
      </c>
      <c r="X103" s="46">
        <f t="shared" si="17"/>
        <v>1</v>
      </c>
      <c r="Y103" s="47">
        <f>'Detailed Results'!M103</f>
        <v>14</v>
      </c>
      <c r="Z103" s="47">
        <f>'Detailed Results'!N103</f>
        <v>13</v>
      </c>
      <c r="AA103" s="48">
        <f t="shared" si="18"/>
        <v>0.9285714285714286</v>
      </c>
      <c r="AB103" s="48">
        <f t="shared" si="23"/>
        <v>0.8666666666666667</v>
      </c>
      <c r="AC103" s="48">
        <f t="shared" si="19"/>
        <v>0.89655172413793105</v>
      </c>
    </row>
    <row r="104" spans="1:29" ht="15" customHeight="1" thickBot="1" x14ac:dyDescent="0.4">
      <c r="A104" s="185"/>
      <c r="B104" s="16" t="s">
        <v>22</v>
      </c>
      <c r="C104" s="17" t="s">
        <v>19</v>
      </c>
      <c r="D104" s="17">
        <v>2</v>
      </c>
      <c r="E104" s="16" t="s">
        <v>17</v>
      </c>
      <c r="F104" s="40">
        <f>'GT Input'!C5</f>
        <v>9</v>
      </c>
      <c r="G104" s="40">
        <f>'GT Input'!D5</f>
        <v>15</v>
      </c>
      <c r="H104" s="40">
        <f>'GT Input'!E5</f>
        <v>9</v>
      </c>
      <c r="I104" s="40">
        <f>'GT Input'!F5</f>
        <v>15</v>
      </c>
      <c r="J104" s="41">
        <f>'Detailed Results'!G104</f>
        <v>9</v>
      </c>
      <c r="K104" s="41">
        <f>'Detailed Results'!H104</f>
        <v>9</v>
      </c>
      <c r="L104" s="42">
        <f t="shared" si="12"/>
        <v>1</v>
      </c>
      <c r="M104" s="42">
        <f t="shared" si="20"/>
        <v>1</v>
      </c>
      <c r="N104" s="42">
        <f t="shared" si="13"/>
        <v>1</v>
      </c>
      <c r="O104" s="43">
        <f>'Detailed Results'!I104</f>
        <v>16</v>
      </c>
      <c r="P104" s="43">
        <f>'Detailed Results'!J104</f>
        <v>16</v>
      </c>
      <c r="Q104" s="44">
        <f t="shared" si="14"/>
        <v>1</v>
      </c>
      <c r="R104" s="44">
        <f t="shared" si="21"/>
        <v>1.0666666666666667</v>
      </c>
      <c r="S104" s="44">
        <f t="shared" si="15"/>
        <v>1.0322580645161292</v>
      </c>
      <c r="T104" s="45">
        <f>'Detailed Results'!K104</f>
        <v>9</v>
      </c>
      <c r="U104" s="45">
        <f>'Detailed Results'!L104</f>
        <v>9</v>
      </c>
      <c r="V104" s="46">
        <f t="shared" si="16"/>
        <v>1</v>
      </c>
      <c r="W104" s="46">
        <f t="shared" si="22"/>
        <v>1</v>
      </c>
      <c r="X104" s="46">
        <f t="shared" si="17"/>
        <v>1</v>
      </c>
      <c r="Y104" s="47">
        <f>'Detailed Results'!M104</f>
        <v>16</v>
      </c>
      <c r="Z104" s="47">
        <f>'Detailed Results'!N104</f>
        <v>12</v>
      </c>
      <c r="AA104" s="48">
        <f t="shared" si="18"/>
        <v>0.75</v>
      </c>
      <c r="AB104" s="48">
        <f t="shared" si="23"/>
        <v>0.8</v>
      </c>
      <c r="AC104" s="48">
        <f t="shared" si="19"/>
        <v>0.77419354838709686</v>
      </c>
    </row>
    <row r="105" spans="1:29" ht="15" customHeight="1" thickBot="1" x14ac:dyDescent="0.4">
      <c r="A105" s="185"/>
      <c r="B105" s="16" t="s">
        <v>22</v>
      </c>
      <c r="C105" s="17" t="s">
        <v>19</v>
      </c>
      <c r="D105" s="17">
        <v>2</v>
      </c>
      <c r="E105" s="16" t="s">
        <v>109</v>
      </c>
      <c r="F105" s="40">
        <f>'GT Input'!C5</f>
        <v>9</v>
      </c>
      <c r="G105" s="40">
        <f>'GT Input'!D5</f>
        <v>15</v>
      </c>
      <c r="H105" s="40">
        <f>'GT Input'!E5</f>
        <v>9</v>
      </c>
      <c r="I105" s="40">
        <f>'GT Input'!F5</f>
        <v>15</v>
      </c>
      <c r="J105" s="41">
        <f>'Detailed Results'!G105</f>
        <v>8</v>
      </c>
      <c r="K105" s="41">
        <f>'Detailed Results'!H105</f>
        <v>8</v>
      </c>
      <c r="L105" s="42">
        <f t="shared" si="12"/>
        <v>1</v>
      </c>
      <c r="M105" s="42">
        <f t="shared" si="20"/>
        <v>0.88888888888888884</v>
      </c>
      <c r="N105" s="42">
        <f t="shared" si="13"/>
        <v>0.94117647058823528</v>
      </c>
      <c r="O105" s="43">
        <f>'Detailed Results'!I105</f>
        <v>14</v>
      </c>
      <c r="P105" s="43">
        <f>'Detailed Results'!J105</f>
        <v>14</v>
      </c>
      <c r="Q105" s="44">
        <f t="shared" si="14"/>
        <v>1</v>
      </c>
      <c r="R105" s="44">
        <f t="shared" si="21"/>
        <v>0.93333333333333335</v>
      </c>
      <c r="S105" s="44">
        <f t="shared" si="15"/>
        <v>0.96551724137931039</v>
      </c>
      <c r="T105" s="45">
        <f>'Detailed Results'!K105</f>
        <v>8</v>
      </c>
      <c r="U105" s="45">
        <f>'Detailed Results'!L105</f>
        <v>8</v>
      </c>
      <c r="V105" s="46">
        <f t="shared" si="16"/>
        <v>1</v>
      </c>
      <c r="W105" s="46">
        <f t="shared" si="22"/>
        <v>0.88888888888888884</v>
      </c>
      <c r="X105" s="46">
        <f t="shared" si="17"/>
        <v>0.94117647058823528</v>
      </c>
      <c r="Y105" s="47">
        <f>'Detailed Results'!M105</f>
        <v>14</v>
      </c>
      <c r="Z105" s="47">
        <f>'Detailed Results'!N105</f>
        <v>14</v>
      </c>
      <c r="AA105" s="48">
        <f t="shared" si="18"/>
        <v>1</v>
      </c>
      <c r="AB105" s="48">
        <f t="shared" si="23"/>
        <v>0.93333333333333335</v>
      </c>
      <c r="AC105" s="48">
        <f t="shared" si="19"/>
        <v>0.96551724137931039</v>
      </c>
    </row>
    <row r="106" spans="1:29" ht="15" customHeight="1" thickBot="1" x14ac:dyDescent="0.4">
      <c r="A106" s="185"/>
      <c r="B106" s="18" t="s">
        <v>22</v>
      </c>
      <c r="C106" s="19" t="s">
        <v>19</v>
      </c>
      <c r="D106" s="19">
        <v>3</v>
      </c>
      <c r="E106" s="18" t="s">
        <v>17</v>
      </c>
      <c r="F106" s="40">
        <f>'GT Input'!C5</f>
        <v>9</v>
      </c>
      <c r="G106" s="40">
        <f>'GT Input'!D5</f>
        <v>15</v>
      </c>
      <c r="H106" s="40">
        <f>'GT Input'!E5</f>
        <v>9</v>
      </c>
      <c r="I106" s="40">
        <f>'GT Input'!F5</f>
        <v>15</v>
      </c>
      <c r="J106" s="41">
        <f>'Detailed Results'!G106</f>
        <v>9</v>
      </c>
      <c r="K106" s="41">
        <f>'Detailed Results'!H106</f>
        <v>9</v>
      </c>
      <c r="L106" s="42">
        <f t="shared" si="12"/>
        <v>1</v>
      </c>
      <c r="M106" s="42">
        <f t="shared" si="20"/>
        <v>1</v>
      </c>
      <c r="N106" s="42">
        <f t="shared" si="13"/>
        <v>1</v>
      </c>
      <c r="O106" s="43">
        <f>'Detailed Results'!I106</f>
        <v>15</v>
      </c>
      <c r="P106" s="43">
        <f>'Detailed Results'!J106</f>
        <v>15</v>
      </c>
      <c r="Q106" s="44">
        <f t="shared" si="14"/>
        <v>1</v>
      </c>
      <c r="R106" s="44">
        <f t="shared" si="21"/>
        <v>1</v>
      </c>
      <c r="S106" s="44">
        <f t="shared" si="15"/>
        <v>1</v>
      </c>
      <c r="T106" s="45">
        <f>'Detailed Results'!K106</f>
        <v>9</v>
      </c>
      <c r="U106" s="45">
        <f>'Detailed Results'!L106</f>
        <v>9</v>
      </c>
      <c r="V106" s="46">
        <f t="shared" si="16"/>
        <v>1</v>
      </c>
      <c r="W106" s="46">
        <f t="shared" si="22"/>
        <v>1</v>
      </c>
      <c r="X106" s="46">
        <f t="shared" si="17"/>
        <v>1</v>
      </c>
      <c r="Y106" s="47">
        <f>'Detailed Results'!M106</f>
        <v>15</v>
      </c>
      <c r="Z106" s="47">
        <f>'Detailed Results'!N106</f>
        <v>13</v>
      </c>
      <c r="AA106" s="48">
        <f t="shared" si="18"/>
        <v>0.8666666666666667</v>
      </c>
      <c r="AB106" s="48">
        <f t="shared" si="23"/>
        <v>0.8666666666666667</v>
      </c>
      <c r="AC106" s="48">
        <f t="shared" si="19"/>
        <v>0.8666666666666667</v>
      </c>
    </row>
    <row r="107" spans="1:29" ht="15" customHeight="1" thickBot="1" x14ac:dyDescent="0.4">
      <c r="A107" s="185"/>
      <c r="B107" s="18" t="s">
        <v>22</v>
      </c>
      <c r="C107" s="19" t="s">
        <v>19</v>
      </c>
      <c r="D107" s="19">
        <v>3</v>
      </c>
      <c r="E107" s="18" t="s">
        <v>109</v>
      </c>
      <c r="F107" s="40">
        <f>'GT Input'!C5</f>
        <v>9</v>
      </c>
      <c r="G107" s="40">
        <f>'GT Input'!D5</f>
        <v>15</v>
      </c>
      <c r="H107" s="40">
        <f>'GT Input'!E5</f>
        <v>9</v>
      </c>
      <c r="I107" s="40">
        <f>'GT Input'!F5</f>
        <v>15</v>
      </c>
      <c r="J107" s="41">
        <f>'Detailed Results'!G107</f>
        <v>9</v>
      </c>
      <c r="K107" s="41">
        <f>'Detailed Results'!H107</f>
        <v>9</v>
      </c>
      <c r="L107" s="42">
        <f t="shared" si="12"/>
        <v>1</v>
      </c>
      <c r="M107" s="42">
        <f t="shared" si="20"/>
        <v>1</v>
      </c>
      <c r="N107" s="42">
        <f t="shared" si="13"/>
        <v>1</v>
      </c>
      <c r="O107" s="43">
        <f>'Detailed Results'!I107</f>
        <v>14</v>
      </c>
      <c r="P107" s="43">
        <f>'Detailed Results'!J107</f>
        <v>14</v>
      </c>
      <c r="Q107" s="44">
        <f t="shared" si="14"/>
        <v>1</v>
      </c>
      <c r="R107" s="44">
        <f t="shared" si="21"/>
        <v>0.93333333333333335</v>
      </c>
      <c r="S107" s="44">
        <f t="shared" si="15"/>
        <v>0.96551724137931039</v>
      </c>
      <c r="T107" s="45">
        <f>'Detailed Results'!K107</f>
        <v>9</v>
      </c>
      <c r="U107" s="45">
        <f>'Detailed Results'!L107</f>
        <v>9</v>
      </c>
      <c r="V107" s="46">
        <f t="shared" si="16"/>
        <v>1</v>
      </c>
      <c r="W107" s="46">
        <f t="shared" si="22"/>
        <v>1</v>
      </c>
      <c r="X107" s="46">
        <f t="shared" si="17"/>
        <v>1</v>
      </c>
      <c r="Y107" s="47">
        <f>'Detailed Results'!M107</f>
        <v>14</v>
      </c>
      <c r="Z107" s="47">
        <f>'Detailed Results'!N107</f>
        <v>14</v>
      </c>
      <c r="AA107" s="48">
        <f t="shared" si="18"/>
        <v>1</v>
      </c>
      <c r="AB107" s="48">
        <f t="shared" si="23"/>
        <v>0.93333333333333335</v>
      </c>
      <c r="AC107" s="48">
        <f t="shared" si="19"/>
        <v>0.96551724137931039</v>
      </c>
    </row>
    <row r="108" spans="1:29" ht="15" customHeight="1" thickBot="1" x14ac:dyDescent="0.4">
      <c r="A108" s="185"/>
      <c r="B108" s="16" t="s">
        <v>22</v>
      </c>
      <c r="C108" s="17" t="s">
        <v>20</v>
      </c>
      <c r="D108" s="17">
        <v>1</v>
      </c>
      <c r="E108" s="16" t="s">
        <v>17</v>
      </c>
      <c r="F108" s="40">
        <f>'GT Input'!C5</f>
        <v>9</v>
      </c>
      <c r="G108" s="40">
        <f>'GT Input'!D5</f>
        <v>15</v>
      </c>
      <c r="H108" s="40">
        <f>'GT Input'!E5</f>
        <v>9</v>
      </c>
      <c r="I108" s="40">
        <f>'GT Input'!F5</f>
        <v>15</v>
      </c>
      <c r="J108" s="41">
        <f>'Detailed Results'!G108</f>
        <v>9</v>
      </c>
      <c r="K108" s="41">
        <f>'Detailed Results'!H108</f>
        <v>9</v>
      </c>
      <c r="L108" s="42">
        <f t="shared" si="12"/>
        <v>1</v>
      </c>
      <c r="M108" s="42">
        <f t="shared" si="20"/>
        <v>1</v>
      </c>
      <c r="N108" s="42">
        <f t="shared" si="13"/>
        <v>1</v>
      </c>
      <c r="O108" s="43">
        <f>'Detailed Results'!I108</f>
        <v>14</v>
      </c>
      <c r="P108" s="43">
        <f>'Detailed Results'!J108</f>
        <v>13</v>
      </c>
      <c r="Q108" s="44">
        <f t="shared" si="14"/>
        <v>0.9285714285714286</v>
      </c>
      <c r="R108" s="44">
        <f t="shared" si="21"/>
        <v>0.8666666666666667</v>
      </c>
      <c r="S108" s="44">
        <f t="shared" si="15"/>
        <v>0.89655172413793105</v>
      </c>
      <c r="T108" s="45">
        <f>'Detailed Results'!K108</f>
        <v>9</v>
      </c>
      <c r="U108" s="45">
        <f>'Detailed Results'!L108</f>
        <v>9</v>
      </c>
      <c r="V108" s="46">
        <f t="shared" si="16"/>
        <v>1</v>
      </c>
      <c r="W108" s="46">
        <f t="shared" si="22"/>
        <v>1</v>
      </c>
      <c r="X108" s="46">
        <f t="shared" si="17"/>
        <v>1</v>
      </c>
      <c r="Y108" s="47">
        <f>'Detailed Results'!M108</f>
        <v>14</v>
      </c>
      <c r="Z108" s="47">
        <f>'Detailed Results'!N108</f>
        <v>11</v>
      </c>
      <c r="AA108" s="48">
        <f t="shared" si="18"/>
        <v>0.7857142857142857</v>
      </c>
      <c r="AB108" s="48">
        <f t="shared" si="23"/>
        <v>0.73333333333333328</v>
      </c>
      <c r="AC108" s="48">
        <f t="shared" si="19"/>
        <v>0.75862068965517238</v>
      </c>
    </row>
    <row r="109" spans="1:29" ht="15" customHeight="1" thickBot="1" x14ac:dyDescent="0.4">
      <c r="A109" s="185"/>
      <c r="B109" s="16" t="s">
        <v>22</v>
      </c>
      <c r="C109" s="17" t="s">
        <v>20</v>
      </c>
      <c r="D109" s="17">
        <v>1</v>
      </c>
      <c r="E109" s="16" t="s">
        <v>109</v>
      </c>
      <c r="F109" s="40">
        <f>'GT Input'!C5</f>
        <v>9</v>
      </c>
      <c r="G109" s="40">
        <f>'GT Input'!D5</f>
        <v>15</v>
      </c>
      <c r="H109" s="40">
        <f>'GT Input'!E5</f>
        <v>9</v>
      </c>
      <c r="I109" s="40">
        <f>'GT Input'!F5</f>
        <v>15</v>
      </c>
      <c r="J109" s="41">
        <f>'Detailed Results'!G109</f>
        <v>9</v>
      </c>
      <c r="K109" s="41">
        <f>'Detailed Results'!H109</f>
        <v>9</v>
      </c>
      <c r="L109" s="42">
        <f t="shared" si="12"/>
        <v>1</v>
      </c>
      <c r="M109" s="42">
        <f t="shared" si="20"/>
        <v>1</v>
      </c>
      <c r="N109" s="42">
        <f t="shared" si="13"/>
        <v>1</v>
      </c>
      <c r="O109" s="43">
        <f>'Detailed Results'!I109</f>
        <v>16</v>
      </c>
      <c r="P109" s="43">
        <f>'Detailed Results'!J109</f>
        <v>16</v>
      </c>
      <c r="Q109" s="44">
        <f t="shared" si="14"/>
        <v>1</v>
      </c>
      <c r="R109" s="44">
        <f t="shared" si="21"/>
        <v>1.0666666666666667</v>
      </c>
      <c r="S109" s="44">
        <f t="shared" si="15"/>
        <v>1.0322580645161292</v>
      </c>
      <c r="T109" s="45">
        <f>'Detailed Results'!K109</f>
        <v>9</v>
      </c>
      <c r="U109" s="45">
        <f>'Detailed Results'!L109</f>
        <v>9</v>
      </c>
      <c r="V109" s="46">
        <f t="shared" si="16"/>
        <v>1</v>
      </c>
      <c r="W109" s="46">
        <f t="shared" si="22"/>
        <v>1</v>
      </c>
      <c r="X109" s="46">
        <f t="shared" si="17"/>
        <v>1</v>
      </c>
      <c r="Y109" s="47">
        <f>'Detailed Results'!M109</f>
        <v>16</v>
      </c>
      <c r="Z109" s="47">
        <f>'Detailed Results'!N109</f>
        <v>14</v>
      </c>
      <c r="AA109" s="48">
        <f t="shared" si="18"/>
        <v>0.875</v>
      </c>
      <c r="AB109" s="48">
        <f t="shared" si="23"/>
        <v>0.93333333333333335</v>
      </c>
      <c r="AC109" s="48">
        <f t="shared" si="19"/>
        <v>0.90322580645161288</v>
      </c>
    </row>
    <row r="110" spans="1:29" ht="15" customHeight="1" thickBot="1" x14ac:dyDescent="0.4">
      <c r="A110" s="185"/>
      <c r="B110" s="18" t="s">
        <v>22</v>
      </c>
      <c r="C110" s="19" t="s">
        <v>20</v>
      </c>
      <c r="D110" s="19">
        <v>2</v>
      </c>
      <c r="E110" s="18" t="s">
        <v>17</v>
      </c>
      <c r="F110" s="40">
        <f>'GT Input'!C5</f>
        <v>9</v>
      </c>
      <c r="G110" s="40">
        <f>'GT Input'!D5</f>
        <v>15</v>
      </c>
      <c r="H110" s="40">
        <f>'GT Input'!E5</f>
        <v>9</v>
      </c>
      <c r="I110" s="40">
        <f>'GT Input'!F5</f>
        <v>15</v>
      </c>
      <c r="J110" s="41">
        <f>'Detailed Results'!G110</f>
        <v>9</v>
      </c>
      <c r="K110" s="41">
        <f>'Detailed Results'!H110</f>
        <v>9</v>
      </c>
      <c r="L110" s="42">
        <f t="shared" si="12"/>
        <v>1</v>
      </c>
      <c r="M110" s="42">
        <f t="shared" si="20"/>
        <v>1</v>
      </c>
      <c r="N110" s="42">
        <f t="shared" si="13"/>
        <v>1</v>
      </c>
      <c r="O110" s="43">
        <f>'Detailed Results'!I110</f>
        <v>14</v>
      </c>
      <c r="P110" s="43">
        <f>'Detailed Results'!J110</f>
        <v>14</v>
      </c>
      <c r="Q110" s="44">
        <f t="shared" si="14"/>
        <v>1</v>
      </c>
      <c r="R110" s="44">
        <f t="shared" si="21"/>
        <v>0.93333333333333335</v>
      </c>
      <c r="S110" s="44">
        <f t="shared" si="15"/>
        <v>0.96551724137931039</v>
      </c>
      <c r="T110" s="45">
        <f>'Detailed Results'!K110</f>
        <v>9</v>
      </c>
      <c r="U110" s="45">
        <f>'Detailed Results'!L110</f>
        <v>9</v>
      </c>
      <c r="V110" s="46">
        <f t="shared" si="16"/>
        <v>1</v>
      </c>
      <c r="W110" s="46">
        <f t="shared" si="22"/>
        <v>1</v>
      </c>
      <c r="X110" s="46">
        <f t="shared" si="17"/>
        <v>1</v>
      </c>
      <c r="Y110" s="47">
        <f>'Detailed Results'!M110</f>
        <v>14</v>
      </c>
      <c r="Z110" s="47">
        <f>'Detailed Results'!N110</f>
        <v>13</v>
      </c>
      <c r="AA110" s="48">
        <f t="shared" si="18"/>
        <v>0.9285714285714286</v>
      </c>
      <c r="AB110" s="48">
        <f t="shared" si="23"/>
        <v>0.8666666666666667</v>
      </c>
      <c r="AC110" s="48">
        <f t="shared" si="19"/>
        <v>0.89655172413793105</v>
      </c>
    </row>
    <row r="111" spans="1:29" ht="15" customHeight="1" thickBot="1" x14ac:dyDescent="0.4">
      <c r="A111" s="185"/>
      <c r="B111" s="18" t="s">
        <v>22</v>
      </c>
      <c r="C111" s="19" t="s">
        <v>20</v>
      </c>
      <c r="D111" s="19">
        <v>2</v>
      </c>
      <c r="E111" s="18" t="s">
        <v>109</v>
      </c>
      <c r="F111" s="40">
        <f>'GT Input'!C5</f>
        <v>9</v>
      </c>
      <c r="G111" s="40">
        <f>'GT Input'!D5</f>
        <v>15</v>
      </c>
      <c r="H111" s="40">
        <f>'GT Input'!E5</f>
        <v>9</v>
      </c>
      <c r="I111" s="40">
        <f>'GT Input'!F5</f>
        <v>15</v>
      </c>
      <c r="J111" s="41">
        <f>'Detailed Results'!G111</f>
        <v>9</v>
      </c>
      <c r="K111" s="41">
        <f>'Detailed Results'!H111</f>
        <v>9</v>
      </c>
      <c r="L111" s="42">
        <f t="shared" si="12"/>
        <v>1</v>
      </c>
      <c r="M111" s="42">
        <f t="shared" si="20"/>
        <v>1</v>
      </c>
      <c r="N111" s="42">
        <f t="shared" si="13"/>
        <v>1</v>
      </c>
      <c r="O111" s="43">
        <f>'Detailed Results'!I111</f>
        <v>15</v>
      </c>
      <c r="P111" s="43">
        <f>'Detailed Results'!J111</f>
        <v>15</v>
      </c>
      <c r="Q111" s="44">
        <f t="shared" si="14"/>
        <v>1</v>
      </c>
      <c r="R111" s="44">
        <f t="shared" si="21"/>
        <v>1</v>
      </c>
      <c r="S111" s="44">
        <f t="shared" si="15"/>
        <v>1</v>
      </c>
      <c r="T111" s="45">
        <f>'Detailed Results'!K111</f>
        <v>9</v>
      </c>
      <c r="U111" s="45">
        <f>'Detailed Results'!L111</f>
        <v>9</v>
      </c>
      <c r="V111" s="46">
        <f t="shared" si="16"/>
        <v>1</v>
      </c>
      <c r="W111" s="46">
        <f t="shared" si="22"/>
        <v>1</v>
      </c>
      <c r="X111" s="46">
        <f t="shared" si="17"/>
        <v>1</v>
      </c>
      <c r="Y111" s="47">
        <f>'Detailed Results'!M111</f>
        <v>15</v>
      </c>
      <c r="Z111" s="47">
        <f>'Detailed Results'!N111</f>
        <v>15</v>
      </c>
      <c r="AA111" s="48">
        <f t="shared" si="18"/>
        <v>1</v>
      </c>
      <c r="AB111" s="48">
        <f t="shared" si="23"/>
        <v>1</v>
      </c>
      <c r="AC111" s="48">
        <f t="shared" si="19"/>
        <v>1</v>
      </c>
    </row>
    <row r="112" spans="1:29" ht="15" customHeight="1" thickBot="1" x14ac:dyDescent="0.4">
      <c r="A112" s="185"/>
      <c r="B112" s="16" t="s">
        <v>22</v>
      </c>
      <c r="C112" s="17" t="s">
        <v>20</v>
      </c>
      <c r="D112" s="17">
        <v>3</v>
      </c>
      <c r="E112" s="16" t="s">
        <v>17</v>
      </c>
      <c r="F112" s="40">
        <f>'GT Input'!C5</f>
        <v>9</v>
      </c>
      <c r="G112" s="40">
        <f>'GT Input'!D5</f>
        <v>15</v>
      </c>
      <c r="H112" s="40">
        <f>'GT Input'!E5</f>
        <v>9</v>
      </c>
      <c r="I112" s="40">
        <f>'GT Input'!F5</f>
        <v>15</v>
      </c>
      <c r="J112" s="41">
        <f>'Detailed Results'!G112</f>
        <v>9</v>
      </c>
      <c r="K112" s="41">
        <f>'Detailed Results'!H112</f>
        <v>9</v>
      </c>
      <c r="L112" s="42">
        <f t="shared" si="12"/>
        <v>1</v>
      </c>
      <c r="M112" s="42">
        <f t="shared" si="20"/>
        <v>1</v>
      </c>
      <c r="N112" s="42">
        <f t="shared" si="13"/>
        <v>1</v>
      </c>
      <c r="O112" s="43">
        <f>'Detailed Results'!I112</f>
        <v>14</v>
      </c>
      <c r="P112" s="43">
        <f>'Detailed Results'!J112</f>
        <v>14</v>
      </c>
      <c r="Q112" s="44">
        <f t="shared" si="14"/>
        <v>1</v>
      </c>
      <c r="R112" s="44">
        <f t="shared" si="21"/>
        <v>0.93333333333333335</v>
      </c>
      <c r="S112" s="44">
        <f t="shared" si="15"/>
        <v>0.96551724137931039</v>
      </c>
      <c r="T112" s="45">
        <f>'Detailed Results'!K112</f>
        <v>9</v>
      </c>
      <c r="U112" s="45">
        <f>'Detailed Results'!L112</f>
        <v>9</v>
      </c>
      <c r="V112" s="46">
        <f t="shared" si="16"/>
        <v>1</v>
      </c>
      <c r="W112" s="46">
        <f t="shared" si="22"/>
        <v>1</v>
      </c>
      <c r="X112" s="46">
        <f t="shared" si="17"/>
        <v>1</v>
      </c>
      <c r="Y112" s="47">
        <f>'Detailed Results'!M112</f>
        <v>14</v>
      </c>
      <c r="Z112" s="47">
        <f>'Detailed Results'!N112</f>
        <v>13</v>
      </c>
      <c r="AA112" s="48">
        <f t="shared" si="18"/>
        <v>0.9285714285714286</v>
      </c>
      <c r="AB112" s="48">
        <f t="shared" si="23"/>
        <v>0.8666666666666667</v>
      </c>
      <c r="AC112" s="48">
        <f t="shared" si="19"/>
        <v>0.89655172413793105</v>
      </c>
    </row>
    <row r="113" spans="1:29" s="64" customFormat="1" ht="15" customHeight="1" thickBot="1" x14ac:dyDescent="0.4">
      <c r="A113" s="185"/>
      <c r="B113" s="53" t="s">
        <v>22</v>
      </c>
      <c r="C113" s="54" t="s">
        <v>20</v>
      </c>
      <c r="D113" s="54">
        <v>3</v>
      </c>
      <c r="E113" s="53" t="s">
        <v>109</v>
      </c>
      <c r="F113" s="55">
        <f>'GT Input'!C5</f>
        <v>9</v>
      </c>
      <c r="G113" s="55">
        <f>'GT Input'!D5</f>
        <v>15</v>
      </c>
      <c r="H113" s="55">
        <f>'GT Input'!E5</f>
        <v>9</v>
      </c>
      <c r="I113" s="55">
        <f>'GT Input'!F5</f>
        <v>15</v>
      </c>
      <c r="J113" s="56">
        <f>'Detailed Results'!G113</f>
        <v>9</v>
      </c>
      <c r="K113" s="56">
        <f>'Detailed Results'!H113</f>
        <v>9</v>
      </c>
      <c r="L113" s="57">
        <f t="shared" si="12"/>
        <v>1</v>
      </c>
      <c r="M113" s="57">
        <f t="shared" si="20"/>
        <v>1</v>
      </c>
      <c r="N113" s="57">
        <f t="shared" si="13"/>
        <v>1</v>
      </c>
      <c r="O113" s="58">
        <f>'Detailed Results'!I113</f>
        <v>17</v>
      </c>
      <c r="P113" s="58">
        <f>'Detailed Results'!J113</f>
        <v>17</v>
      </c>
      <c r="Q113" s="59">
        <f t="shared" si="14"/>
        <v>1</v>
      </c>
      <c r="R113" s="59">
        <f t="shared" si="21"/>
        <v>1.1333333333333333</v>
      </c>
      <c r="S113" s="59">
        <f t="shared" si="15"/>
        <v>1.0625</v>
      </c>
      <c r="T113" s="60">
        <f>'Detailed Results'!K113</f>
        <v>9</v>
      </c>
      <c r="U113" s="60">
        <f>'Detailed Results'!L113</f>
        <v>9</v>
      </c>
      <c r="V113" s="61">
        <f t="shared" si="16"/>
        <v>1</v>
      </c>
      <c r="W113" s="61">
        <f t="shared" si="22"/>
        <v>1</v>
      </c>
      <c r="X113" s="61">
        <f t="shared" si="17"/>
        <v>1</v>
      </c>
      <c r="Y113" s="62">
        <f>'Detailed Results'!M113</f>
        <v>17</v>
      </c>
      <c r="Z113" s="62">
        <f>'Detailed Results'!N113</f>
        <v>17</v>
      </c>
      <c r="AA113" s="63">
        <f t="shared" si="18"/>
        <v>1</v>
      </c>
      <c r="AB113" s="63">
        <f t="shared" si="23"/>
        <v>1.1333333333333333</v>
      </c>
      <c r="AC113" s="63">
        <f t="shared" si="19"/>
        <v>1.0625</v>
      </c>
    </row>
    <row r="114" spans="1:29" ht="15" customHeight="1" thickBot="1" x14ac:dyDescent="0.4">
      <c r="A114" s="185" t="s">
        <v>24</v>
      </c>
      <c r="B114" s="65" t="s">
        <v>15</v>
      </c>
      <c r="C114" s="66" t="s">
        <v>16</v>
      </c>
      <c r="D114" s="66">
        <v>1</v>
      </c>
      <c r="E114" s="65" t="s">
        <v>17</v>
      </c>
      <c r="F114" s="67">
        <f>'GT Input'!C6</f>
        <v>11</v>
      </c>
      <c r="G114" s="67">
        <f>'GT Input'!D6</f>
        <v>19</v>
      </c>
      <c r="H114" s="67">
        <f>'GT Input'!E6</f>
        <v>11</v>
      </c>
      <c r="I114" s="67">
        <f>'GT Input'!F6</f>
        <v>19</v>
      </c>
      <c r="J114" s="68">
        <f>'Detailed Results'!G114</f>
        <v>9</v>
      </c>
      <c r="K114" s="68">
        <f>'Detailed Results'!H114</f>
        <v>9</v>
      </c>
      <c r="L114" s="69">
        <f t="shared" si="12"/>
        <v>1</v>
      </c>
      <c r="M114" s="69">
        <f t="shared" si="20"/>
        <v>0.81818181818181823</v>
      </c>
      <c r="N114" s="69">
        <f t="shared" si="13"/>
        <v>0.9</v>
      </c>
      <c r="O114" s="70">
        <f>'Detailed Results'!I114</f>
        <v>19</v>
      </c>
      <c r="P114" s="70">
        <f>'Detailed Results'!J114</f>
        <v>19</v>
      </c>
      <c r="Q114" s="71">
        <f t="shared" si="14"/>
        <v>1</v>
      </c>
      <c r="R114" s="71">
        <f t="shared" si="21"/>
        <v>1</v>
      </c>
      <c r="S114" s="71">
        <f t="shared" si="15"/>
        <v>1</v>
      </c>
      <c r="T114" s="72">
        <f>'Detailed Results'!K114</f>
        <v>9</v>
      </c>
      <c r="U114" s="72">
        <f>'Detailed Results'!L114</f>
        <v>7</v>
      </c>
      <c r="V114" s="73">
        <f t="shared" si="16"/>
        <v>0.77777777777777779</v>
      </c>
      <c r="W114" s="73">
        <f t="shared" si="22"/>
        <v>0.63636363636363635</v>
      </c>
      <c r="X114" s="73">
        <f t="shared" si="17"/>
        <v>0.70000000000000007</v>
      </c>
      <c r="Y114" s="74">
        <f>'Detailed Results'!M114</f>
        <v>19</v>
      </c>
      <c r="Z114" s="74">
        <f>'Detailed Results'!N114</f>
        <v>7</v>
      </c>
      <c r="AA114" s="75">
        <f t="shared" si="18"/>
        <v>0.36842105263157893</v>
      </c>
      <c r="AB114" s="75">
        <f t="shared" si="23"/>
        <v>0.36842105263157893</v>
      </c>
      <c r="AC114" s="75">
        <f t="shared" si="19"/>
        <v>0.36842105263157893</v>
      </c>
    </row>
    <row r="115" spans="1:29" ht="15" customHeight="1" thickBot="1" x14ac:dyDescent="0.4">
      <c r="A115" s="185"/>
      <c r="B115" s="7" t="s">
        <v>15</v>
      </c>
      <c r="C115" s="8" t="s">
        <v>16</v>
      </c>
      <c r="D115" s="8">
        <v>1</v>
      </c>
      <c r="E115" s="7" t="s">
        <v>109</v>
      </c>
      <c r="F115" s="40">
        <f>'GT Input'!C6</f>
        <v>11</v>
      </c>
      <c r="G115" s="40">
        <f>'GT Input'!D6</f>
        <v>19</v>
      </c>
      <c r="H115" s="40">
        <f>'GT Input'!E6</f>
        <v>11</v>
      </c>
      <c r="I115" s="40">
        <f>'GT Input'!F6</f>
        <v>19</v>
      </c>
      <c r="J115" s="41">
        <f>'Detailed Results'!G115</f>
        <v>9</v>
      </c>
      <c r="K115" s="41">
        <f>'Detailed Results'!H115</f>
        <v>9</v>
      </c>
      <c r="L115" s="42">
        <f t="shared" si="12"/>
        <v>1</v>
      </c>
      <c r="M115" s="42">
        <f t="shared" si="20"/>
        <v>0.81818181818181823</v>
      </c>
      <c r="N115" s="42">
        <f t="shared" si="13"/>
        <v>0.9</v>
      </c>
      <c r="O115" s="43">
        <f>'Detailed Results'!I115</f>
        <v>19</v>
      </c>
      <c r="P115" s="43">
        <f>'Detailed Results'!J115</f>
        <v>19</v>
      </c>
      <c r="Q115" s="44">
        <f t="shared" si="14"/>
        <v>1</v>
      </c>
      <c r="R115" s="44">
        <f t="shared" si="21"/>
        <v>1</v>
      </c>
      <c r="S115" s="44">
        <f t="shared" si="15"/>
        <v>1</v>
      </c>
      <c r="T115" s="45">
        <f>'Detailed Results'!K115</f>
        <v>9</v>
      </c>
      <c r="U115" s="45">
        <f>'Detailed Results'!L115</f>
        <v>7</v>
      </c>
      <c r="V115" s="46">
        <f t="shared" si="16"/>
        <v>0.77777777777777779</v>
      </c>
      <c r="W115" s="46">
        <f t="shared" si="22"/>
        <v>0.63636363636363635</v>
      </c>
      <c r="X115" s="46">
        <f t="shared" si="17"/>
        <v>0.70000000000000007</v>
      </c>
      <c r="Y115" s="47">
        <f>'Detailed Results'!M115</f>
        <v>19</v>
      </c>
      <c r="Z115" s="47">
        <f>'Detailed Results'!N115</f>
        <v>7</v>
      </c>
      <c r="AA115" s="48">
        <f t="shared" si="18"/>
        <v>0.36842105263157893</v>
      </c>
      <c r="AB115" s="48">
        <f t="shared" si="23"/>
        <v>0.36842105263157893</v>
      </c>
      <c r="AC115" s="48">
        <f t="shared" si="19"/>
        <v>0.36842105263157893</v>
      </c>
    </row>
    <row r="116" spans="1:29" ht="15" customHeight="1" thickBot="1" x14ac:dyDescent="0.4">
      <c r="A116" s="185"/>
      <c r="B116" s="10" t="s">
        <v>15</v>
      </c>
      <c r="C116" s="11" t="s">
        <v>16</v>
      </c>
      <c r="D116" s="11">
        <v>2</v>
      </c>
      <c r="E116" s="10" t="s">
        <v>17</v>
      </c>
      <c r="F116" s="40">
        <f>'GT Input'!C6</f>
        <v>11</v>
      </c>
      <c r="G116" s="40">
        <f>'GT Input'!D6</f>
        <v>19</v>
      </c>
      <c r="H116" s="40">
        <f>'GT Input'!E6</f>
        <v>11</v>
      </c>
      <c r="I116" s="40">
        <f>'GT Input'!F6</f>
        <v>19</v>
      </c>
      <c r="J116" s="41">
        <f>'Detailed Results'!G116</f>
        <v>9</v>
      </c>
      <c r="K116" s="41">
        <f>'Detailed Results'!H116</f>
        <v>9</v>
      </c>
      <c r="L116" s="42">
        <f t="shared" si="12"/>
        <v>1</v>
      </c>
      <c r="M116" s="42">
        <f t="shared" si="20"/>
        <v>0.81818181818181823</v>
      </c>
      <c r="N116" s="42">
        <f t="shared" si="13"/>
        <v>0.9</v>
      </c>
      <c r="O116" s="43">
        <f>'Detailed Results'!I116</f>
        <v>17</v>
      </c>
      <c r="P116" s="43">
        <f>'Detailed Results'!J116</f>
        <v>17</v>
      </c>
      <c r="Q116" s="44">
        <f t="shared" si="14"/>
        <v>1</v>
      </c>
      <c r="R116" s="44">
        <f t="shared" si="21"/>
        <v>0.89473684210526316</v>
      </c>
      <c r="S116" s="44">
        <f t="shared" si="15"/>
        <v>0.94444444444444442</v>
      </c>
      <c r="T116" s="45">
        <f>'Detailed Results'!K116</f>
        <v>9</v>
      </c>
      <c r="U116" s="45">
        <f>'Detailed Results'!L116</f>
        <v>7</v>
      </c>
      <c r="V116" s="46">
        <f t="shared" si="16"/>
        <v>0.77777777777777779</v>
      </c>
      <c r="W116" s="46">
        <f t="shared" si="22"/>
        <v>0.63636363636363635</v>
      </c>
      <c r="X116" s="46">
        <f t="shared" si="17"/>
        <v>0.70000000000000007</v>
      </c>
      <c r="Y116" s="47">
        <f>'Detailed Results'!M116</f>
        <v>17</v>
      </c>
      <c r="Z116" s="47">
        <f>'Detailed Results'!N116</f>
        <v>7</v>
      </c>
      <c r="AA116" s="48">
        <f t="shared" si="18"/>
        <v>0.41176470588235292</v>
      </c>
      <c r="AB116" s="48">
        <f t="shared" si="23"/>
        <v>0.36842105263157893</v>
      </c>
      <c r="AC116" s="48">
        <f t="shared" si="19"/>
        <v>0.3888888888888889</v>
      </c>
    </row>
    <row r="117" spans="1:29" ht="15" customHeight="1" thickBot="1" x14ac:dyDescent="0.4">
      <c r="A117" s="185"/>
      <c r="B117" s="10" t="s">
        <v>15</v>
      </c>
      <c r="C117" s="11" t="s">
        <v>16</v>
      </c>
      <c r="D117" s="11">
        <v>2</v>
      </c>
      <c r="E117" s="10" t="s">
        <v>109</v>
      </c>
      <c r="F117" s="40">
        <f>'GT Input'!C6</f>
        <v>11</v>
      </c>
      <c r="G117" s="40">
        <f>'GT Input'!D6</f>
        <v>19</v>
      </c>
      <c r="H117" s="40">
        <f>'GT Input'!E6</f>
        <v>11</v>
      </c>
      <c r="I117" s="40">
        <f>'GT Input'!F6</f>
        <v>19</v>
      </c>
      <c r="J117" s="41">
        <f>'Detailed Results'!G117</f>
        <v>9</v>
      </c>
      <c r="K117" s="41">
        <f>'Detailed Results'!H117</f>
        <v>9</v>
      </c>
      <c r="L117" s="42">
        <f t="shared" si="12"/>
        <v>1</v>
      </c>
      <c r="M117" s="42">
        <f t="shared" si="20"/>
        <v>0.81818181818181823</v>
      </c>
      <c r="N117" s="42">
        <f t="shared" si="13"/>
        <v>0.9</v>
      </c>
      <c r="O117" s="43">
        <f>'Detailed Results'!I117</f>
        <v>17</v>
      </c>
      <c r="P117" s="43">
        <f>'Detailed Results'!J117</f>
        <v>17</v>
      </c>
      <c r="Q117" s="44">
        <f t="shared" si="14"/>
        <v>1</v>
      </c>
      <c r="R117" s="44">
        <f t="shared" si="21"/>
        <v>0.89473684210526316</v>
      </c>
      <c r="S117" s="44">
        <f t="shared" si="15"/>
        <v>0.94444444444444442</v>
      </c>
      <c r="T117" s="45">
        <f>'Detailed Results'!K117</f>
        <v>9</v>
      </c>
      <c r="U117" s="45">
        <f>'Detailed Results'!L117</f>
        <v>7</v>
      </c>
      <c r="V117" s="46">
        <f t="shared" si="16"/>
        <v>0.77777777777777779</v>
      </c>
      <c r="W117" s="46">
        <f t="shared" si="22"/>
        <v>0.63636363636363635</v>
      </c>
      <c r="X117" s="46">
        <f t="shared" si="17"/>
        <v>0.70000000000000007</v>
      </c>
      <c r="Y117" s="47">
        <f>'Detailed Results'!M117</f>
        <v>17</v>
      </c>
      <c r="Z117" s="47">
        <f>'Detailed Results'!N117</f>
        <v>7</v>
      </c>
      <c r="AA117" s="48">
        <f t="shared" si="18"/>
        <v>0.41176470588235292</v>
      </c>
      <c r="AB117" s="48">
        <f t="shared" si="23"/>
        <v>0.36842105263157893</v>
      </c>
      <c r="AC117" s="48">
        <f t="shared" si="19"/>
        <v>0.3888888888888889</v>
      </c>
    </row>
    <row r="118" spans="1:29" ht="15" customHeight="1" thickBot="1" x14ac:dyDescent="0.4">
      <c r="A118" s="185"/>
      <c r="B118" s="7" t="s">
        <v>15</v>
      </c>
      <c r="C118" s="8" t="s">
        <v>16</v>
      </c>
      <c r="D118" s="8">
        <v>3</v>
      </c>
      <c r="E118" s="7" t="s">
        <v>17</v>
      </c>
      <c r="F118" s="40">
        <f>'GT Input'!C6</f>
        <v>11</v>
      </c>
      <c r="G118" s="40">
        <f>'GT Input'!D6</f>
        <v>19</v>
      </c>
      <c r="H118" s="40">
        <f>'GT Input'!E6</f>
        <v>11</v>
      </c>
      <c r="I118" s="40">
        <f>'GT Input'!F6</f>
        <v>19</v>
      </c>
      <c r="J118" s="41">
        <v>9</v>
      </c>
      <c r="K118" s="41">
        <f>'Detailed Results'!H118</f>
        <v>9</v>
      </c>
      <c r="L118" s="42">
        <v>0.97333333333333305</v>
      </c>
      <c r="M118" s="42">
        <f t="shared" si="20"/>
        <v>0.81818181818181823</v>
      </c>
      <c r="N118" s="42">
        <v>0.90369859307359302</v>
      </c>
      <c r="O118" s="43">
        <f>'Detailed Results'!I118</f>
        <v>17</v>
      </c>
      <c r="P118" s="43">
        <f>'Detailed Results'!J118</f>
        <v>17</v>
      </c>
      <c r="Q118" s="44">
        <f t="shared" si="14"/>
        <v>1</v>
      </c>
      <c r="R118" s="44">
        <f t="shared" si="21"/>
        <v>0.89473684210526316</v>
      </c>
      <c r="S118" s="44">
        <f t="shared" si="15"/>
        <v>0.94444444444444442</v>
      </c>
      <c r="T118" s="45">
        <f>'Detailed Results'!K118</f>
        <v>9</v>
      </c>
      <c r="U118" s="45">
        <f>'Detailed Results'!L118</f>
        <v>7</v>
      </c>
      <c r="V118" s="46">
        <f t="shared" si="16"/>
        <v>0.77777777777777779</v>
      </c>
      <c r="W118" s="46">
        <f t="shared" si="22"/>
        <v>0.63636363636363635</v>
      </c>
      <c r="X118" s="46">
        <f t="shared" si="17"/>
        <v>0.70000000000000007</v>
      </c>
      <c r="Y118" s="47">
        <f>'Detailed Results'!M118</f>
        <v>17</v>
      </c>
      <c r="Z118" s="47">
        <f>'Detailed Results'!N118</f>
        <v>7</v>
      </c>
      <c r="AA118" s="48">
        <f t="shared" si="18"/>
        <v>0.41176470588235292</v>
      </c>
      <c r="AB118" s="48">
        <f t="shared" si="23"/>
        <v>0.36842105263157893</v>
      </c>
      <c r="AC118" s="48">
        <f t="shared" si="19"/>
        <v>0.3888888888888889</v>
      </c>
    </row>
    <row r="119" spans="1:29" ht="15" customHeight="1" thickBot="1" x14ac:dyDescent="0.4">
      <c r="A119" s="185"/>
      <c r="B119" s="7" t="s">
        <v>15</v>
      </c>
      <c r="C119" s="8" t="s">
        <v>16</v>
      </c>
      <c r="D119" s="8">
        <v>3</v>
      </c>
      <c r="E119" s="7" t="s">
        <v>109</v>
      </c>
      <c r="F119" s="40">
        <f>'GT Input'!C6</f>
        <v>11</v>
      </c>
      <c r="G119" s="40">
        <f>'GT Input'!D6</f>
        <v>19</v>
      </c>
      <c r="H119" s="40">
        <f>'GT Input'!E6</f>
        <v>11</v>
      </c>
      <c r="I119" s="40">
        <f>'GT Input'!F6</f>
        <v>19</v>
      </c>
      <c r="J119" s="41">
        <f>'Detailed Results'!G119</f>
        <v>11</v>
      </c>
      <c r="K119" s="41">
        <f>'Detailed Results'!H119</f>
        <v>11</v>
      </c>
      <c r="L119" s="42">
        <f t="shared" si="12"/>
        <v>1</v>
      </c>
      <c r="M119" s="42">
        <f t="shared" si="20"/>
        <v>1</v>
      </c>
      <c r="N119" s="42">
        <f t="shared" si="13"/>
        <v>1</v>
      </c>
      <c r="O119" s="43">
        <f>'Detailed Results'!I119</f>
        <v>23</v>
      </c>
      <c r="P119" s="43">
        <f>'Detailed Results'!J119</f>
        <v>23</v>
      </c>
      <c r="Q119" s="44">
        <f t="shared" si="14"/>
        <v>1</v>
      </c>
      <c r="R119" s="44">
        <f t="shared" si="21"/>
        <v>1.2105263157894737</v>
      </c>
      <c r="S119" s="44">
        <f t="shared" si="15"/>
        <v>1.0952380952380953</v>
      </c>
      <c r="T119" s="45">
        <f>'Detailed Results'!K119</f>
        <v>11</v>
      </c>
      <c r="U119" s="45">
        <f>'Detailed Results'!L119</f>
        <v>11</v>
      </c>
      <c r="V119" s="46">
        <f t="shared" si="16"/>
        <v>1</v>
      </c>
      <c r="W119" s="46">
        <f t="shared" si="22"/>
        <v>1</v>
      </c>
      <c r="X119" s="46">
        <f t="shared" si="17"/>
        <v>1</v>
      </c>
      <c r="Y119" s="47">
        <f>'Detailed Results'!M119</f>
        <v>23</v>
      </c>
      <c r="Z119" s="47">
        <f>'Detailed Results'!N119</f>
        <v>23</v>
      </c>
      <c r="AA119" s="48">
        <f t="shared" si="18"/>
        <v>1</v>
      </c>
      <c r="AB119" s="48">
        <f t="shared" si="23"/>
        <v>1.2105263157894737</v>
      </c>
      <c r="AC119" s="48">
        <f t="shared" si="19"/>
        <v>1.0952380952380953</v>
      </c>
    </row>
    <row r="120" spans="1:29" ht="15" customHeight="1" thickBot="1" x14ac:dyDescent="0.4">
      <c r="A120" s="185"/>
      <c r="B120" s="10" t="s">
        <v>15</v>
      </c>
      <c r="C120" s="11" t="s">
        <v>19</v>
      </c>
      <c r="D120" s="11">
        <v>1</v>
      </c>
      <c r="E120" s="10" t="s">
        <v>17</v>
      </c>
      <c r="F120" s="40">
        <f>'GT Input'!C6</f>
        <v>11</v>
      </c>
      <c r="G120" s="40">
        <f>'GT Input'!D6</f>
        <v>19</v>
      </c>
      <c r="H120" s="40">
        <f>'GT Input'!E6</f>
        <v>11</v>
      </c>
      <c r="I120" s="40">
        <f>'GT Input'!F6</f>
        <v>19</v>
      </c>
      <c r="J120" s="41">
        <f>'Detailed Results'!G120</f>
        <v>9</v>
      </c>
      <c r="K120" s="41">
        <f>'Detailed Results'!H120</f>
        <v>9</v>
      </c>
      <c r="L120" s="42">
        <f t="shared" si="12"/>
        <v>1</v>
      </c>
      <c r="M120" s="42">
        <f t="shared" si="20"/>
        <v>0.81818181818181823</v>
      </c>
      <c r="N120" s="42">
        <f t="shared" si="13"/>
        <v>0.9</v>
      </c>
      <c r="O120" s="43">
        <f>'Detailed Results'!I120</f>
        <v>17</v>
      </c>
      <c r="P120" s="43">
        <f>'Detailed Results'!J120</f>
        <v>17</v>
      </c>
      <c r="Q120" s="44">
        <f t="shared" si="14"/>
        <v>1</v>
      </c>
      <c r="R120" s="44">
        <f t="shared" si="21"/>
        <v>0.89473684210526316</v>
      </c>
      <c r="S120" s="44">
        <f t="shared" si="15"/>
        <v>0.94444444444444442</v>
      </c>
      <c r="T120" s="45">
        <f>'Detailed Results'!K120</f>
        <v>9</v>
      </c>
      <c r="U120" s="45">
        <f>'Detailed Results'!L120</f>
        <v>7</v>
      </c>
      <c r="V120" s="46">
        <f t="shared" si="16"/>
        <v>0.77777777777777779</v>
      </c>
      <c r="W120" s="46">
        <f t="shared" si="22"/>
        <v>0.63636363636363635</v>
      </c>
      <c r="X120" s="46">
        <f t="shared" si="17"/>
        <v>0.70000000000000007</v>
      </c>
      <c r="Y120" s="47">
        <f>'Detailed Results'!M120</f>
        <v>17</v>
      </c>
      <c r="Z120" s="47">
        <f>'Detailed Results'!N120</f>
        <v>7</v>
      </c>
      <c r="AA120" s="48">
        <f t="shared" si="18"/>
        <v>0.41176470588235292</v>
      </c>
      <c r="AB120" s="48">
        <f t="shared" si="23"/>
        <v>0.36842105263157893</v>
      </c>
      <c r="AC120" s="48">
        <f t="shared" si="19"/>
        <v>0.3888888888888889</v>
      </c>
    </row>
    <row r="121" spans="1:29" ht="15" customHeight="1" thickBot="1" x14ac:dyDescent="0.4">
      <c r="A121" s="185"/>
      <c r="B121" s="10" t="s">
        <v>15</v>
      </c>
      <c r="C121" s="11" t="s">
        <v>19</v>
      </c>
      <c r="D121" s="11">
        <v>1</v>
      </c>
      <c r="E121" s="10" t="s">
        <v>109</v>
      </c>
      <c r="F121" s="40">
        <f>'GT Input'!C6</f>
        <v>11</v>
      </c>
      <c r="G121" s="40">
        <f>'GT Input'!D6</f>
        <v>19</v>
      </c>
      <c r="H121" s="40">
        <f>'GT Input'!E6</f>
        <v>11</v>
      </c>
      <c r="I121" s="40">
        <f>'GT Input'!F6</f>
        <v>19</v>
      </c>
      <c r="J121" s="41">
        <f>'Detailed Results'!G121</f>
        <v>11</v>
      </c>
      <c r="K121" s="41">
        <f>'Detailed Results'!H121</f>
        <v>11</v>
      </c>
      <c r="L121" s="42">
        <f t="shared" si="12"/>
        <v>1</v>
      </c>
      <c r="M121" s="42">
        <f t="shared" si="20"/>
        <v>1</v>
      </c>
      <c r="N121" s="42">
        <f t="shared" si="13"/>
        <v>1</v>
      </c>
      <c r="O121" s="43">
        <f>'Detailed Results'!I121</f>
        <v>21</v>
      </c>
      <c r="P121" s="43">
        <f>'Detailed Results'!J121</f>
        <v>21</v>
      </c>
      <c r="Q121" s="44">
        <f t="shared" si="14"/>
        <v>1</v>
      </c>
      <c r="R121" s="44">
        <f t="shared" si="21"/>
        <v>1.1052631578947369</v>
      </c>
      <c r="S121" s="44">
        <f t="shared" si="15"/>
        <v>1.05</v>
      </c>
      <c r="T121" s="45">
        <f>'Detailed Results'!K121</f>
        <v>11</v>
      </c>
      <c r="U121" s="45">
        <f>'Detailed Results'!L121</f>
        <v>11</v>
      </c>
      <c r="V121" s="46">
        <f t="shared" si="16"/>
        <v>1</v>
      </c>
      <c r="W121" s="46">
        <f t="shared" si="22"/>
        <v>1</v>
      </c>
      <c r="X121" s="46">
        <f t="shared" si="17"/>
        <v>1</v>
      </c>
      <c r="Y121" s="47">
        <f>'Detailed Results'!M121</f>
        <v>21</v>
      </c>
      <c r="Z121" s="47">
        <f>'Detailed Results'!N121</f>
        <v>21</v>
      </c>
      <c r="AA121" s="48">
        <f t="shared" si="18"/>
        <v>1</v>
      </c>
      <c r="AB121" s="48">
        <f t="shared" si="23"/>
        <v>1.1052631578947369</v>
      </c>
      <c r="AC121" s="48">
        <f t="shared" si="19"/>
        <v>1.05</v>
      </c>
    </row>
    <row r="122" spans="1:29" ht="15" customHeight="1" thickBot="1" x14ac:dyDescent="0.4">
      <c r="A122" s="185"/>
      <c r="B122" s="7" t="s">
        <v>15</v>
      </c>
      <c r="C122" s="8" t="s">
        <v>19</v>
      </c>
      <c r="D122" s="8">
        <v>2</v>
      </c>
      <c r="E122" s="7" t="s">
        <v>17</v>
      </c>
      <c r="F122" s="40">
        <f>'GT Input'!C6</f>
        <v>11</v>
      </c>
      <c r="G122" s="40">
        <f>'GT Input'!D6</f>
        <v>19</v>
      </c>
      <c r="H122" s="40">
        <f>'GT Input'!E6</f>
        <v>11</v>
      </c>
      <c r="I122" s="40">
        <f>'GT Input'!F6</f>
        <v>19</v>
      </c>
      <c r="J122" s="41">
        <f>'Detailed Results'!G122</f>
        <v>9</v>
      </c>
      <c r="K122" s="41">
        <f>'Detailed Results'!H122</f>
        <v>9</v>
      </c>
      <c r="L122" s="42">
        <f t="shared" si="12"/>
        <v>1</v>
      </c>
      <c r="M122" s="42">
        <f t="shared" si="20"/>
        <v>0.81818181818181823</v>
      </c>
      <c r="N122" s="42">
        <f t="shared" si="13"/>
        <v>0.9</v>
      </c>
      <c r="O122" s="43">
        <f>'Detailed Results'!I122</f>
        <v>17</v>
      </c>
      <c r="P122" s="43">
        <f>'Detailed Results'!J122</f>
        <v>17</v>
      </c>
      <c r="Q122" s="44">
        <f t="shared" si="14"/>
        <v>1</v>
      </c>
      <c r="R122" s="44">
        <f t="shared" si="21"/>
        <v>0.89473684210526316</v>
      </c>
      <c r="S122" s="44">
        <f t="shared" si="15"/>
        <v>0.94444444444444442</v>
      </c>
      <c r="T122" s="45">
        <f>'Detailed Results'!K122</f>
        <v>9</v>
      </c>
      <c r="U122" s="45">
        <f>'Detailed Results'!L122</f>
        <v>7</v>
      </c>
      <c r="V122" s="46">
        <f t="shared" si="16"/>
        <v>0.77777777777777779</v>
      </c>
      <c r="W122" s="46">
        <f t="shared" si="22"/>
        <v>0.63636363636363635</v>
      </c>
      <c r="X122" s="46">
        <f t="shared" si="17"/>
        <v>0.70000000000000007</v>
      </c>
      <c r="Y122" s="47">
        <f>'Detailed Results'!M122</f>
        <v>17</v>
      </c>
      <c r="Z122" s="47">
        <f>'Detailed Results'!N122</f>
        <v>7</v>
      </c>
      <c r="AA122" s="48">
        <f t="shared" si="18"/>
        <v>0.41176470588235292</v>
      </c>
      <c r="AB122" s="48">
        <f t="shared" si="23"/>
        <v>0.36842105263157893</v>
      </c>
      <c r="AC122" s="48">
        <f t="shared" si="19"/>
        <v>0.3888888888888889</v>
      </c>
    </row>
    <row r="123" spans="1:29" ht="15" customHeight="1" thickBot="1" x14ac:dyDescent="0.4">
      <c r="A123" s="185"/>
      <c r="B123" s="7" t="s">
        <v>15</v>
      </c>
      <c r="C123" s="8" t="s">
        <v>19</v>
      </c>
      <c r="D123" s="8">
        <v>2</v>
      </c>
      <c r="E123" s="7" t="s">
        <v>109</v>
      </c>
      <c r="F123" s="40">
        <f>'GT Input'!C6</f>
        <v>11</v>
      </c>
      <c r="G123" s="40">
        <f>'GT Input'!D6</f>
        <v>19</v>
      </c>
      <c r="H123" s="40">
        <f>'GT Input'!E6</f>
        <v>11</v>
      </c>
      <c r="I123" s="40">
        <f>'GT Input'!F6</f>
        <v>19</v>
      </c>
      <c r="J123" s="41">
        <f>'Detailed Results'!G123</f>
        <v>11</v>
      </c>
      <c r="K123" s="41">
        <f>'Detailed Results'!H123</f>
        <v>11</v>
      </c>
      <c r="L123" s="42">
        <f t="shared" si="12"/>
        <v>1</v>
      </c>
      <c r="M123" s="42">
        <f t="shared" si="20"/>
        <v>1</v>
      </c>
      <c r="N123" s="42">
        <f t="shared" si="13"/>
        <v>1</v>
      </c>
      <c r="O123" s="43">
        <f>'Detailed Results'!I123</f>
        <v>24</v>
      </c>
      <c r="P123" s="43">
        <f>'Detailed Results'!J123</f>
        <v>24</v>
      </c>
      <c r="Q123" s="44">
        <f t="shared" si="14"/>
        <v>1</v>
      </c>
      <c r="R123" s="44">
        <f t="shared" si="21"/>
        <v>1.263157894736842</v>
      </c>
      <c r="S123" s="44">
        <f t="shared" si="15"/>
        <v>1.1162790697674418</v>
      </c>
      <c r="T123" s="45">
        <f>'Detailed Results'!K123</f>
        <v>11</v>
      </c>
      <c r="U123" s="45">
        <f>'Detailed Results'!L123</f>
        <v>11</v>
      </c>
      <c r="V123" s="46">
        <f t="shared" si="16"/>
        <v>1</v>
      </c>
      <c r="W123" s="46">
        <f t="shared" si="22"/>
        <v>1</v>
      </c>
      <c r="X123" s="46">
        <f t="shared" si="17"/>
        <v>1</v>
      </c>
      <c r="Y123" s="47">
        <f>'Detailed Results'!M123</f>
        <v>24</v>
      </c>
      <c r="Z123" s="47">
        <f>'Detailed Results'!N123</f>
        <v>24</v>
      </c>
      <c r="AA123" s="48">
        <f t="shared" si="18"/>
        <v>1</v>
      </c>
      <c r="AB123" s="48">
        <f t="shared" si="23"/>
        <v>1.263157894736842</v>
      </c>
      <c r="AC123" s="48">
        <f t="shared" si="19"/>
        <v>1.1162790697674418</v>
      </c>
    </row>
    <row r="124" spans="1:29" ht="15" customHeight="1" thickBot="1" x14ac:dyDescent="0.4">
      <c r="A124" s="185"/>
      <c r="B124" s="10" t="s">
        <v>15</v>
      </c>
      <c r="C124" s="11" t="s">
        <v>19</v>
      </c>
      <c r="D124" s="11">
        <v>3</v>
      </c>
      <c r="E124" s="10" t="s">
        <v>17</v>
      </c>
      <c r="F124" s="40">
        <f>'GT Input'!C6</f>
        <v>11</v>
      </c>
      <c r="G124" s="40">
        <f>'GT Input'!D6</f>
        <v>19</v>
      </c>
      <c r="H124" s="40">
        <f>'GT Input'!E6</f>
        <v>11</v>
      </c>
      <c r="I124" s="40">
        <f>'GT Input'!F6</f>
        <v>19</v>
      </c>
      <c r="J124" s="41">
        <f>'Detailed Results'!G124</f>
        <v>9</v>
      </c>
      <c r="K124" s="41">
        <f>'Detailed Results'!H124</f>
        <v>9</v>
      </c>
      <c r="L124" s="42">
        <f t="shared" si="12"/>
        <v>1</v>
      </c>
      <c r="M124" s="42">
        <f t="shared" si="20"/>
        <v>0.81818181818181823</v>
      </c>
      <c r="N124" s="42">
        <f t="shared" si="13"/>
        <v>0.9</v>
      </c>
      <c r="O124" s="43">
        <f>'Detailed Results'!I124</f>
        <v>19</v>
      </c>
      <c r="P124" s="43">
        <f>'Detailed Results'!J124</f>
        <v>19</v>
      </c>
      <c r="Q124" s="44">
        <f t="shared" si="14"/>
        <v>1</v>
      </c>
      <c r="R124" s="44">
        <f t="shared" si="21"/>
        <v>1</v>
      </c>
      <c r="S124" s="44">
        <f t="shared" si="15"/>
        <v>1</v>
      </c>
      <c r="T124" s="45">
        <f>'Detailed Results'!K124</f>
        <v>9</v>
      </c>
      <c r="U124" s="45">
        <f>'Detailed Results'!L124</f>
        <v>7</v>
      </c>
      <c r="V124" s="46">
        <f t="shared" si="16"/>
        <v>0.77777777777777779</v>
      </c>
      <c r="W124" s="46">
        <f t="shared" si="22"/>
        <v>0.63636363636363635</v>
      </c>
      <c r="X124" s="46">
        <f t="shared" si="17"/>
        <v>0.70000000000000007</v>
      </c>
      <c r="Y124" s="47">
        <f>'Detailed Results'!M124</f>
        <v>19</v>
      </c>
      <c r="Z124" s="47">
        <f>'Detailed Results'!N124</f>
        <v>7</v>
      </c>
      <c r="AA124" s="48">
        <f t="shared" si="18"/>
        <v>0.36842105263157893</v>
      </c>
      <c r="AB124" s="48">
        <f t="shared" si="23"/>
        <v>0.36842105263157893</v>
      </c>
      <c r="AC124" s="48">
        <f t="shared" si="19"/>
        <v>0.36842105263157893</v>
      </c>
    </row>
    <row r="125" spans="1:29" ht="15" customHeight="1" thickBot="1" x14ac:dyDescent="0.4">
      <c r="A125" s="185"/>
      <c r="B125" s="10" t="s">
        <v>15</v>
      </c>
      <c r="C125" s="11" t="s">
        <v>19</v>
      </c>
      <c r="D125" s="11">
        <v>3</v>
      </c>
      <c r="E125" s="10" t="s">
        <v>109</v>
      </c>
      <c r="F125" s="40">
        <f>'GT Input'!C6</f>
        <v>11</v>
      </c>
      <c r="G125" s="40">
        <f>'GT Input'!D6</f>
        <v>19</v>
      </c>
      <c r="H125" s="40">
        <f>'GT Input'!E6</f>
        <v>11</v>
      </c>
      <c r="I125" s="40">
        <f>'GT Input'!F6</f>
        <v>19</v>
      </c>
      <c r="J125" s="41">
        <f>'Detailed Results'!G125</f>
        <v>9</v>
      </c>
      <c r="K125" s="41">
        <f>'Detailed Results'!H125</f>
        <v>9</v>
      </c>
      <c r="L125" s="42">
        <f t="shared" si="12"/>
        <v>1</v>
      </c>
      <c r="M125" s="42">
        <f t="shared" si="20"/>
        <v>0.81818181818181823</v>
      </c>
      <c r="N125" s="42">
        <f t="shared" si="13"/>
        <v>0.9</v>
      </c>
      <c r="O125" s="43">
        <f>'Detailed Results'!I125</f>
        <v>17</v>
      </c>
      <c r="P125" s="43">
        <f>'Detailed Results'!J125</f>
        <v>17</v>
      </c>
      <c r="Q125" s="44">
        <f t="shared" si="14"/>
        <v>1</v>
      </c>
      <c r="R125" s="44">
        <f t="shared" si="21"/>
        <v>0.89473684210526316</v>
      </c>
      <c r="S125" s="44">
        <f t="shared" si="15"/>
        <v>0.94444444444444442</v>
      </c>
      <c r="T125" s="45">
        <f>'Detailed Results'!K125</f>
        <v>9</v>
      </c>
      <c r="U125" s="45">
        <f>'Detailed Results'!L125</f>
        <v>7</v>
      </c>
      <c r="V125" s="46">
        <f t="shared" si="16"/>
        <v>0.77777777777777779</v>
      </c>
      <c r="W125" s="46">
        <f t="shared" si="22"/>
        <v>0.63636363636363635</v>
      </c>
      <c r="X125" s="46">
        <f t="shared" si="17"/>
        <v>0.70000000000000007</v>
      </c>
      <c r="Y125" s="47">
        <f>'Detailed Results'!M125</f>
        <v>17</v>
      </c>
      <c r="Z125" s="47">
        <f>'Detailed Results'!N125</f>
        <v>7</v>
      </c>
      <c r="AA125" s="48">
        <f t="shared" si="18"/>
        <v>0.41176470588235292</v>
      </c>
      <c r="AB125" s="48">
        <f t="shared" si="23"/>
        <v>0.36842105263157893</v>
      </c>
      <c r="AC125" s="48">
        <f t="shared" si="19"/>
        <v>0.3888888888888889</v>
      </c>
    </row>
    <row r="126" spans="1:29" ht="15" customHeight="1" thickBot="1" x14ac:dyDescent="0.4">
      <c r="A126" s="185"/>
      <c r="B126" s="7" t="s">
        <v>15</v>
      </c>
      <c r="C126" s="8" t="s">
        <v>20</v>
      </c>
      <c r="D126" s="8">
        <v>1</v>
      </c>
      <c r="E126" s="7" t="s">
        <v>17</v>
      </c>
      <c r="F126" s="40">
        <f>'GT Input'!C6</f>
        <v>11</v>
      </c>
      <c r="G126" s="40">
        <f>'GT Input'!D6</f>
        <v>19</v>
      </c>
      <c r="H126" s="40">
        <f>'GT Input'!E6</f>
        <v>11</v>
      </c>
      <c r="I126" s="40">
        <f>'GT Input'!F6</f>
        <v>19</v>
      </c>
      <c r="J126" s="41">
        <f>'Detailed Results'!G126</f>
        <v>9</v>
      </c>
      <c r="K126" s="41">
        <f>'Detailed Results'!H126</f>
        <v>9</v>
      </c>
      <c r="L126" s="42">
        <f t="shared" si="12"/>
        <v>1</v>
      </c>
      <c r="M126" s="42">
        <f t="shared" si="20"/>
        <v>0.81818181818181823</v>
      </c>
      <c r="N126" s="42">
        <f t="shared" si="13"/>
        <v>0.9</v>
      </c>
      <c r="O126" s="43">
        <f>'Detailed Results'!I126</f>
        <v>17</v>
      </c>
      <c r="P126" s="43">
        <f>'Detailed Results'!J126</f>
        <v>17</v>
      </c>
      <c r="Q126" s="44">
        <f t="shared" si="14"/>
        <v>1</v>
      </c>
      <c r="R126" s="44">
        <f t="shared" si="21"/>
        <v>0.89473684210526316</v>
      </c>
      <c r="S126" s="44">
        <f t="shared" si="15"/>
        <v>0.94444444444444442</v>
      </c>
      <c r="T126" s="45">
        <f>'Detailed Results'!K126</f>
        <v>9</v>
      </c>
      <c r="U126" s="45">
        <f>'Detailed Results'!L126</f>
        <v>7</v>
      </c>
      <c r="V126" s="46">
        <f t="shared" si="16"/>
        <v>0.77777777777777779</v>
      </c>
      <c r="W126" s="46">
        <f t="shared" si="22"/>
        <v>0.63636363636363635</v>
      </c>
      <c r="X126" s="46">
        <f t="shared" si="17"/>
        <v>0.70000000000000007</v>
      </c>
      <c r="Y126" s="47">
        <f>'Detailed Results'!M126</f>
        <v>17</v>
      </c>
      <c r="Z126" s="47">
        <f>'Detailed Results'!N126</f>
        <v>7</v>
      </c>
      <c r="AA126" s="48">
        <f t="shared" si="18"/>
        <v>0.41176470588235292</v>
      </c>
      <c r="AB126" s="48">
        <f t="shared" si="23"/>
        <v>0.36842105263157893</v>
      </c>
      <c r="AC126" s="48">
        <f t="shared" si="19"/>
        <v>0.3888888888888889</v>
      </c>
    </row>
    <row r="127" spans="1:29" ht="15" customHeight="1" thickBot="1" x14ac:dyDescent="0.4">
      <c r="A127" s="185"/>
      <c r="B127" s="7" t="s">
        <v>15</v>
      </c>
      <c r="C127" s="8" t="s">
        <v>20</v>
      </c>
      <c r="D127" s="8">
        <v>1</v>
      </c>
      <c r="E127" s="7" t="s">
        <v>109</v>
      </c>
      <c r="F127" s="40">
        <f>'GT Input'!C6</f>
        <v>11</v>
      </c>
      <c r="G127" s="40">
        <f>'GT Input'!D6</f>
        <v>19</v>
      </c>
      <c r="H127" s="40">
        <f>'GT Input'!E6</f>
        <v>11</v>
      </c>
      <c r="I127" s="40">
        <f>'GT Input'!F6</f>
        <v>19</v>
      </c>
      <c r="J127" s="41">
        <f>'Detailed Results'!G127</f>
        <v>11</v>
      </c>
      <c r="K127" s="41">
        <f>'Detailed Results'!H127</f>
        <v>11</v>
      </c>
      <c r="L127" s="42">
        <f t="shared" si="12"/>
        <v>1</v>
      </c>
      <c r="M127" s="42">
        <f t="shared" si="20"/>
        <v>1</v>
      </c>
      <c r="N127" s="42">
        <f t="shared" si="13"/>
        <v>1</v>
      </c>
      <c r="O127" s="43">
        <f>'Detailed Results'!I127</f>
        <v>21</v>
      </c>
      <c r="P127" s="43">
        <f>'Detailed Results'!J127</f>
        <v>21</v>
      </c>
      <c r="Q127" s="44">
        <f t="shared" si="14"/>
        <v>1</v>
      </c>
      <c r="R127" s="44">
        <f t="shared" si="21"/>
        <v>1.1052631578947369</v>
      </c>
      <c r="S127" s="44">
        <f t="shared" si="15"/>
        <v>1.05</v>
      </c>
      <c r="T127" s="45">
        <f>'Detailed Results'!K127</f>
        <v>11</v>
      </c>
      <c r="U127" s="45">
        <f>'Detailed Results'!L127</f>
        <v>11</v>
      </c>
      <c r="V127" s="46">
        <f t="shared" si="16"/>
        <v>1</v>
      </c>
      <c r="W127" s="46">
        <f t="shared" si="22"/>
        <v>1</v>
      </c>
      <c r="X127" s="46">
        <f t="shared" si="17"/>
        <v>1</v>
      </c>
      <c r="Y127" s="47">
        <f>'Detailed Results'!M127</f>
        <v>21</v>
      </c>
      <c r="Z127" s="47">
        <f>'Detailed Results'!N127</f>
        <v>21</v>
      </c>
      <c r="AA127" s="48">
        <f t="shared" si="18"/>
        <v>1</v>
      </c>
      <c r="AB127" s="48">
        <f t="shared" si="23"/>
        <v>1.1052631578947369</v>
      </c>
      <c r="AC127" s="48">
        <f t="shared" si="19"/>
        <v>1.05</v>
      </c>
    </row>
    <row r="128" spans="1:29" ht="15" customHeight="1" thickBot="1" x14ac:dyDescent="0.4">
      <c r="A128" s="185"/>
      <c r="B128" s="10" t="s">
        <v>15</v>
      </c>
      <c r="C128" s="11" t="s">
        <v>20</v>
      </c>
      <c r="D128" s="11">
        <v>2</v>
      </c>
      <c r="E128" s="10" t="s">
        <v>17</v>
      </c>
      <c r="F128" s="40">
        <f>'GT Input'!C6</f>
        <v>11</v>
      </c>
      <c r="G128" s="40">
        <f>'GT Input'!D6</f>
        <v>19</v>
      </c>
      <c r="H128" s="40">
        <f>'GT Input'!E6</f>
        <v>11</v>
      </c>
      <c r="I128" s="40">
        <f>'GT Input'!F6</f>
        <v>19</v>
      </c>
      <c r="J128" s="41">
        <f>'Detailed Results'!G128</f>
        <v>9</v>
      </c>
      <c r="K128" s="41">
        <f>'Detailed Results'!H128</f>
        <v>9</v>
      </c>
      <c r="L128" s="42">
        <f t="shared" si="12"/>
        <v>1</v>
      </c>
      <c r="M128" s="42">
        <f t="shared" si="20"/>
        <v>0.81818181818181823</v>
      </c>
      <c r="N128" s="42">
        <f t="shared" si="13"/>
        <v>0.9</v>
      </c>
      <c r="O128" s="43">
        <f>'Detailed Results'!I128</f>
        <v>19</v>
      </c>
      <c r="P128" s="43">
        <f>'Detailed Results'!J128</f>
        <v>19</v>
      </c>
      <c r="Q128" s="44">
        <f t="shared" si="14"/>
        <v>1</v>
      </c>
      <c r="R128" s="44">
        <f t="shared" si="21"/>
        <v>1</v>
      </c>
      <c r="S128" s="44">
        <f t="shared" si="15"/>
        <v>1</v>
      </c>
      <c r="T128" s="45">
        <f>'Detailed Results'!K128</f>
        <v>9</v>
      </c>
      <c r="U128" s="45">
        <f>'Detailed Results'!L128</f>
        <v>7</v>
      </c>
      <c r="V128" s="46">
        <f t="shared" si="16"/>
        <v>0.77777777777777779</v>
      </c>
      <c r="W128" s="46">
        <f t="shared" si="22"/>
        <v>0.63636363636363635</v>
      </c>
      <c r="X128" s="46">
        <f t="shared" si="17"/>
        <v>0.70000000000000007</v>
      </c>
      <c r="Y128" s="47">
        <f>'Detailed Results'!M128</f>
        <v>19</v>
      </c>
      <c r="Z128" s="47">
        <f>'Detailed Results'!N128</f>
        <v>7</v>
      </c>
      <c r="AA128" s="48">
        <f t="shared" si="18"/>
        <v>0.36842105263157893</v>
      </c>
      <c r="AB128" s="48">
        <f t="shared" si="23"/>
        <v>0.36842105263157893</v>
      </c>
      <c r="AC128" s="48">
        <f t="shared" si="19"/>
        <v>0.36842105263157893</v>
      </c>
    </row>
    <row r="129" spans="1:29" ht="15" customHeight="1" thickBot="1" x14ac:dyDescent="0.4">
      <c r="A129" s="185"/>
      <c r="B129" s="10" t="s">
        <v>15</v>
      </c>
      <c r="C129" s="11" t="s">
        <v>20</v>
      </c>
      <c r="D129" s="11">
        <v>2</v>
      </c>
      <c r="E129" s="10" t="s">
        <v>109</v>
      </c>
      <c r="F129" s="40">
        <f>'GT Input'!C6</f>
        <v>11</v>
      </c>
      <c r="G129" s="40">
        <f>'GT Input'!D6</f>
        <v>19</v>
      </c>
      <c r="H129" s="40">
        <f>'GT Input'!E6</f>
        <v>11</v>
      </c>
      <c r="I129" s="40">
        <f>'GT Input'!F6</f>
        <v>19</v>
      </c>
      <c r="J129" s="41">
        <f>'Detailed Results'!G129</f>
        <v>9</v>
      </c>
      <c r="K129" s="41">
        <f>'Detailed Results'!H129</f>
        <v>9</v>
      </c>
      <c r="L129" s="42">
        <f t="shared" si="12"/>
        <v>1</v>
      </c>
      <c r="M129" s="42">
        <f t="shared" si="20"/>
        <v>0.81818181818181823</v>
      </c>
      <c r="N129" s="42">
        <f t="shared" si="13"/>
        <v>0.9</v>
      </c>
      <c r="O129" s="43">
        <f>'Detailed Results'!I129</f>
        <v>19</v>
      </c>
      <c r="P129" s="43">
        <f>'Detailed Results'!J129</f>
        <v>19</v>
      </c>
      <c r="Q129" s="44">
        <f t="shared" si="14"/>
        <v>1</v>
      </c>
      <c r="R129" s="44">
        <f t="shared" si="21"/>
        <v>1</v>
      </c>
      <c r="S129" s="44">
        <f t="shared" si="15"/>
        <v>1</v>
      </c>
      <c r="T129" s="45">
        <f>'Detailed Results'!K129</f>
        <v>9</v>
      </c>
      <c r="U129" s="45">
        <f>'Detailed Results'!L129</f>
        <v>7</v>
      </c>
      <c r="V129" s="46">
        <f t="shared" si="16"/>
        <v>0.77777777777777779</v>
      </c>
      <c r="W129" s="46">
        <f t="shared" si="22"/>
        <v>0.63636363636363635</v>
      </c>
      <c r="X129" s="46">
        <f t="shared" si="17"/>
        <v>0.70000000000000007</v>
      </c>
      <c r="Y129" s="47">
        <f>'Detailed Results'!M129</f>
        <v>19</v>
      </c>
      <c r="Z129" s="47">
        <f>'Detailed Results'!N129</f>
        <v>7</v>
      </c>
      <c r="AA129" s="48">
        <f t="shared" si="18"/>
        <v>0.36842105263157893</v>
      </c>
      <c r="AB129" s="48">
        <f t="shared" si="23"/>
        <v>0.36842105263157893</v>
      </c>
      <c r="AC129" s="48">
        <f t="shared" si="19"/>
        <v>0.36842105263157893</v>
      </c>
    </row>
    <row r="130" spans="1:29" ht="15" customHeight="1" thickBot="1" x14ac:dyDescent="0.4">
      <c r="A130" s="185"/>
      <c r="B130" s="7" t="s">
        <v>15</v>
      </c>
      <c r="C130" s="8" t="s">
        <v>20</v>
      </c>
      <c r="D130" s="8">
        <v>3</v>
      </c>
      <c r="E130" s="7" t="s">
        <v>17</v>
      </c>
      <c r="F130" s="40">
        <f>'GT Input'!C6</f>
        <v>11</v>
      </c>
      <c r="G130" s="40">
        <f>'GT Input'!D6</f>
        <v>19</v>
      </c>
      <c r="H130" s="40">
        <f>'GT Input'!E6</f>
        <v>11</v>
      </c>
      <c r="I130" s="40">
        <f>'GT Input'!F6</f>
        <v>19</v>
      </c>
      <c r="J130" s="41">
        <f>'Detailed Results'!G130</f>
        <v>9</v>
      </c>
      <c r="K130" s="41">
        <f>'Detailed Results'!H130</f>
        <v>9</v>
      </c>
      <c r="L130" s="42">
        <f t="shared" si="12"/>
        <v>1</v>
      </c>
      <c r="M130" s="42">
        <f t="shared" si="20"/>
        <v>0.81818181818181823</v>
      </c>
      <c r="N130" s="42">
        <f t="shared" si="13"/>
        <v>0.9</v>
      </c>
      <c r="O130" s="43">
        <f>'Detailed Results'!I130</f>
        <v>17</v>
      </c>
      <c r="P130" s="43">
        <f>'Detailed Results'!J130</f>
        <v>17</v>
      </c>
      <c r="Q130" s="44">
        <f t="shared" si="14"/>
        <v>1</v>
      </c>
      <c r="R130" s="44">
        <f t="shared" si="21"/>
        <v>0.89473684210526316</v>
      </c>
      <c r="S130" s="44">
        <f t="shared" si="15"/>
        <v>0.94444444444444442</v>
      </c>
      <c r="T130" s="45">
        <f>'Detailed Results'!K130</f>
        <v>9</v>
      </c>
      <c r="U130" s="45">
        <f>'Detailed Results'!L130</f>
        <v>7</v>
      </c>
      <c r="V130" s="46">
        <f t="shared" si="16"/>
        <v>0.77777777777777779</v>
      </c>
      <c r="W130" s="46">
        <f t="shared" si="22"/>
        <v>0.63636363636363635</v>
      </c>
      <c r="X130" s="46">
        <f t="shared" si="17"/>
        <v>0.70000000000000007</v>
      </c>
      <c r="Y130" s="47">
        <f>'Detailed Results'!M130</f>
        <v>17</v>
      </c>
      <c r="Z130" s="47">
        <f>'Detailed Results'!N130</f>
        <v>7</v>
      </c>
      <c r="AA130" s="48">
        <f t="shared" si="18"/>
        <v>0.41176470588235292</v>
      </c>
      <c r="AB130" s="48">
        <f t="shared" si="23"/>
        <v>0.36842105263157893</v>
      </c>
      <c r="AC130" s="48">
        <f t="shared" si="19"/>
        <v>0.3888888888888889</v>
      </c>
    </row>
    <row r="131" spans="1:29" ht="15" customHeight="1" thickBot="1" x14ac:dyDescent="0.4">
      <c r="A131" s="185"/>
      <c r="B131" s="7" t="s">
        <v>15</v>
      </c>
      <c r="C131" s="8" t="s">
        <v>20</v>
      </c>
      <c r="D131" s="8">
        <v>3</v>
      </c>
      <c r="E131" s="7" t="s">
        <v>109</v>
      </c>
      <c r="F131" s="40">
        <f>'GT Input'!C6</f>
        <v>11</v>
      </c>
      <c r="G131" s="40">
        <f>'GT Input'!D6</f>
        <v>19</v>
      </c>
      <c r="H131" s="40">
        <f>'GT Input'!E6</f>
        <v>11</v>
      </c>
      <c r="I131" s="40">
        <f>'GT Input'!F6</f>
        <v>19</v>
      </c>
      <c r="J131" s="41">
        <f>'Detailed Results'!G131</f>
        <v>11</v>
      </c>
      <c r="K131" s="41">
        <f>'Detailed Results'!H131</f>
        <v>11</v>
      </c>
      <c r="L131" s="42">
        <f t="shared" si="12"/>
        <v>1</v>
      </c>
      <c r="M131" s="42">
        <f t="shared" si="20"/>
        <v>1</v>
      </c>
      <c r="N131" s="42">
        <f t="shared" si="13"/>
        <v>1</v>
      </c>
      <c r="O131" s="43">
        <f>'Detailed Results'!I131</f>
        <v>23</v>
      </c>
      <c r="P131" s="43">
        <f>'Detailed Results'!J131</f>
        <v>23</v>
      </c>
      <c r="Q131" s="44">
        <f t="shared" si="14"/>
        <v>1</v>
      </c>
      <c r="R131" s="44">
        <f t="shared" si="21"/>
        <v>1.2105263157894737</v>
      </c>
      <c r="S131" s="44">
        <f t="shared" si="15"/>
        <v>1.0952380952380953</v>
      </c>
      <c r="T131" s="45">
        <f>'Detailed Results'!K131</f>
        <v>11</v>
      </c>
      <c r="U131" s="45">
        <f>'Detailed Results'!L131</f>
        <v>11</v>
      </c>
      <c r="V131" s="46">
        <f t="shared" si="16"/>
        <v>1</v>
      </c>
      <c r="W131" s="46">
        <f t="shared" si="22"/>
        <v>1</v>
      </c>
      <c r="X131" s="46">
        <f t="shared" si="17"/>
        <v>1</v>
      </c>
      <c r="Y131" s="47">
        <f>'Detailed Results'!M131</f>
        <v>23</v>
      </c>
      <c r="Z131" s="47">
        <f>'Detailed Results'!N131</f>
        <v>23</v>
      </c>
      <c r="AA131" s="48">
        <f t="shared" si="18"/>
        <v>1</v>
      </c>
      <c r="AB131" s="48">
        <f t="shared" si="23"/>
        <v>1.2105263157894737</v>
      </c>
      <c r="AC131" s="48">
        <f t="shared" si="19"/>
        <v>1.0952380952380953</v>
      </c>
    </row>
    <row r="132" spans="1:29" ht="15" customHeight="1" thickBot="1" x14ac:dyDescent="0.4">
      <c r="A132" s="185"/>
      <c r="B132" s="12" t="s">
        <v>21</v>
      </c>
      <c r="C132" s="13" t="s">
        <v>16</v>
      </c>
      <c r="D132" s="13">
        <v>1</v>
      </c>
      <c r="E132" s="12" t="s">
        <v>17</v>
      </c>
      <c r="F132" s="40">
        <f>'GT Input'!C6</f>
        <v>11</v>
      </c>
      <c r="G132" s="40">
        <f>'GT Input'!D6</f>
        <v>19</v>
      </c>
      <c r="H132" s="40">
        <f>'GT Input'!E6</f>
        <v>11</v>
      </c>
      <c r="I132" s="40">
        <f>'GT Input'!F6</f>
        <v>19</v>
      </c>
      <c r="J132" s="41">
        <f>'Detailed Results'!G132</f>
        <v>11</v>
      </c>
      <c r="K132" s="41">
        <f>'Detailed Results'!H132</f>
        <v>10</v>
      </c>
      <c r="L132" s="42">
        <f t="shared" si="12"/>
        <v>0.90909090909090906</v>
      </c>
      <c r="M132" s="42">
        <f t="shared" si="20"/>
        <v>0.90909090909090906</v>
      </c>
      <c r="N132" s="42">
        <f t="shared" si="13"/>
        <v>0.90909090909090906</v>
      </c>
      <c r="O132" s="43">
        <f>'Detailed Results'!I132</f>
        <v>3</v>
      </c>
      <c r="P132" s="43">
        <f>'Detailed Results'!J132</f>
        <v>3</v>
      </c>
      <c r="Q132" s="44">
        <f t="shared" si="14"/>
        <v>1</v>
      </c>
      <c r="R132" s="44">
        <f t="shared" si="21"/>
        <v>0.15789473684210525</v>
      </c>
      <c r="S132" s="44">
        <f t="shared" si="15"/>
        <v>0.27272727272727271</v>
      </c>
      <c r="T132" s="45">
        <f>'Detailed Results'!K132</f>
        <v>11</v>
      </c>
      <c r="U132" s="45">
        <f>'Detailed Results'!L132</f>
        <v>9</v>
      </c>
      <c r="V132" s="46">
        <f t="shared" si="16"/>
        <v>0.81818181818181823</v>
      </c>
      <c r="W132" s="46">
        <f t="shared" si="22"/>
        <v>0.81818181818181823</v>
      </c>
      <c r="X132" s="46">
        <f t="shared" si="17"/>
        <v>0.81818181818181823</v>
      </c>
      <c r="Y132" s="47">
        <f>'Detailed Results'!M132</f>
        <v>3</v>
      </c>
      <c r="Z132" s="47">
        <f>'Detailed Results'!N132</f>
        <v>3</v>
      </c>
      <c r="AA132" s="48">
        <f t="shared" si="18"/>
        <v>1</v>
      </c>
      <c r="AB132" s="48">
        <f t="shared" si="23"/>
        <v>0.15789473684210525</v>
      </c>
      <c r="AC132" s="48">
        <f t="shared" si="19"/>
        <v>0.27272727272727271</v>
      </c>
    </row>
    <row r="133" spans="1:29" ht="15" customHeight="1" thickBot="1" x14ac:dyDescent="0.4">
      <c r="A133" s="185"/>
      <c r="B133" s="12" t="s">
        <v>21</v>
      </c>
      <c r="C133" s="13" t="s">
        <v>16</v>
      </c>
      <c r="D133" s="13">
        <v>1</v>
      </c>
      <c r="E133" s="12" t="s">
        <v>109</v>
      </c>
      <c r="F133" s="40">
        <f>'GT Input'!C6</f>
        <v>11</v>
      </c>
      <c r="G133" s="40">
        <f>'GT Input'!D6</f>
        <v>19</v>
      </c>
      <c r="H133" s="40">
        <f>'GT Input'!E6</f>
        <v>11</v>
      </c>
      <c r="I133" s="40">
        <f>'GT Input'!F6</f>
        <v>19</v>
      </c>
      <c r="J133" s="41">
        <f>'Detailed Results'!G133</f>
        <v>8</v>
      </c>
      <c r="K133" s="41">
        <f>'Detailed Results'!H133</f>
        <v>8</v>
      </c>
      <c r="L133" s="42">
        <f t="shared" si="12"/>
        <v>1</v>
      </c>
      <c r="M133" s="42">
        <f t="shared" si="20"/>
        <v>0.72727272727272729</v>
      </c>
      <c r="N133" s="42">
        <f t="shared" si="13"/>
        <v>0.8421052631578948</v>
      </c>
      <c r="O133" s="43">
        <f>'Detailed Results'!I133</f>
        <v>15</v>
      </c>
      <c r="P133" s="43">
        <f>'Detailed Results'!J133</f>
        <v>15</v>
      </c>
      <c r="Q133" s="44">
        <f t="shared" si="14"/>
        <v>1</v>
      </c>
      <c r="R133" s="44">
        <f t="shared" si="21"/>
        <v>0.78947368421052633</v>
      </c>
      <c r="S133" s="44">
        <f t="shared" si="15"/>
        <v>0.88235294117647056</v>
      </c>
      <c r="T133" s="45">
        <f>'Detailed Results'!K133</f>
        <v>8</v>
      </c>
      <c r="U133" s="45">
        <f>'Detailed Results'!L133</f>
        <v>6</v>
      </c>
      <c r="V133" s="46">
        <f t="shared" si="16"/>
        <v>0.75</v>
      </c>
      <c r="W133" s="46">
        <f t="shared" si="22"/>
        <v>0.54545454545454541</v>
      </c>
      <c r="X133" s="46">
        <f t="shared" si="17"/>
        <v>0.63157894736842102</v>
      </c>
      <c r="Y133" s="47">
        <f>'Detailed Results'!M133</f>
        <v>15</v>
      </c>
      <c r="Z133" s="47">
        <f>'Detailed Results'!N133</f>
        <v>7</v>
      </c>
      <c r="AA133" s="48">
        <f t="shared" si="18"/>
        <v>0.46666666666666667</v>
      </c>
      <c r="AB133" s="48">
        <f t="shared" si="23"/>
        <v>0.36842105263157893</v>
      </c>
      <c r="AC133" s="48">
        <f t="shared" si="19"/>
        <v>0.41176470588235292</v>
      </c>
    </row>
    <row r="134" spans="1:29" ht="15" customHeight="1" thickBot="1" x14ac:dyDescent="0.4">
      <c r="A134" s="185"/>
      <c r="B134" s="14" t="s">
        <v>21</v>
      </c>
      <c r="C134" s="15" t="s">
        <v>16</v>
      </c>
      <c r="D134" s="15">
        <v>2</v>
      </c>
      <c r="E134" s="14" t="s">
        <v>17</v>
      </c>
      <c r="F134" s="40">
        <f>'GT Input'!C6</f>
        <v>11</v>
      </c>
      <c r="G134" s="40">
        <f>'GT Input'!D6</f>
        <v>19</v>
      </c>
      <c r="H134" s="40">
        <f>'GT Input'!E6</f>
        <v>11</v>
      </c>
      <c r="I134" s="40">
        <f>'GT Input'!F6</f>
        <v>19</v>
      </c>
      <c r="J134" s="41">
        <f>'Detailed Results'!G134</f>
        <v>9</v>
      </c>
      <c r="K134" s="41">
        <f>'Detailed Results'!H134</f>
        <v>9</v>
      </c>
      <c r="L134" s="42">
        <f t="shared" ref="L134:L197" si="24">IFERROR(K134/J134,"")</f>
        <v>1</v>
      </c>
      <c r="M134" s="42">
        <f t="shared" si="20"/>
        <v>0.81818181818181823</v>
      </c>
      <c r="N134" s="42">
        <f t="shared" ref="N134:N197" si="25">IFERROR(2*L134*M134/(L134+M134),"")</f>
        <v>0.9</v>
      </c>
      <c r="O134" s="43">
        <f>'Detailed Results'!I134</f>
        <v>13</v>
      </c>
      <c r="P134" s="43">
        <f>'Detailed Results'!J134</f>
        <v>13</v>
      </c>
      <c r="Q134" s="44">
        <f t="shared" ref="Q134:Q197" si="26">IFERROR(P134/O134,"")</f>
        <v>1</v>
      </c>
      <c r="R134" s="44">
        <f t="shared" si="21"/>
        <v>0.68421052631578949</v>
      </c>
      <c r="S134" s="44">
        <f t="shared" ref="S134:S197" si="27">IFERROR(2*Q134*R134/(Q134+R134),"")</f>
        <v>0.81250000000000011</v>
      </c>
      <c r="T134" s="45">
        <f>'Detailed Results'!K134</f>
        <v>9</v>
      </c>
      <c r="U134" s="45">
        <f>'Detailed Results'!L134</f>
        <v>7</v>
      </c>
      <c r="V134" s="46">
        <f t="shared" ref="V134:V197" si="28">IFERROR(U134/T134,"")</f>
        <v>0.77777777777777779</v>
      </c>
      <c r="W134" s="46">
        <f t="shared" si="22"/>
        <v>0.63636363636363635</v>
      </c>
      <c r="X134" s="46">
        <f t="shared" ref="X134:X197" si="29">IFERROR(2*V134*W134/(V134+W134),"")</f>
        <v>0.70000000000000007</v>
      </c>
      <c r="Y134" s="47">
        <f>'Detailed Results'!M134</f>
        <v>13</v>
      </c>
      <c r="Z134" s="47">
        <f>'Detailed Results'!N134</f>
        <v>7</v>
      </c>
      <c r="AA134" s="48">
        <f t="shared" ref="AA134:AA197" si="30">IFERROR(Z134/Y134,"")</f>
        <v>0.53846153846153844</v>
      </c>
      <c r="AB134" s="48">
        <f t="shared" si="23"/>
        <v>0.36842105263157893</v>
      </c>
      <c r="AC134" s="48">
        <f t="shared" ref="AC134:AC197" si="31">IFERROR(2*AA134*AB134/(AA134+AB134),"")</f>
        <v>0.4375</v>
      </c>
    </row>
    <row r="135" spans="1:29" ht="15" customHeight="1" thickBot="1" x14ac:dyDescent="0.4">
      <c r="A135" s="185"/>
      <c r="B135" s="14" t="s">
        <v>21</v>
      </c>
      <c r="C135" s="15" t="s">
        <v>16</v>
      </c>
      <c r="D135" s="15">
        <v>2</v>
      </c>
      <c r="E135" s="14" t="s">
        <v>109</v>
      </c>
      <c r="F135" s="40">
        <f>'GT Input'!C6</f>
        <v>11</v>
      </c>
      <c r="G135" s="40">
        <f>'GT Input'!D6</f>
        <v>19</v>
      </c>
      <c r="H135" s="40">
        <f>'GT Input'!E6</f>
        <v>11</v>
      </c>
      <c r="I135" s="40">
        <f>'GT Input'!F6</f>
        <v>19</v>
      </c>
      <c r="J135" s="41">
        <f>'Detailed Results'!G135</f>
        <v>9</v>
      </c>
      <c r="K135" s="41">
        <f>'Detailed Results'!H135</f>
        <v>8</v>
      </c>
      <c r="L135" s="42">
        <f t="shared" si="24"/>
        <v>0.88888888888888884</v>
      </c>
      <c r="M135" s="42">
        <f t="shared" ref="M135:M198" si="32">IFERROR(K135/F135,"")</f>
        <v>0.72727272727272729</v>
      </c>
      <c r="N135" s="42">
        <f t="shared" si="25"/>
        <v>0.79999999999999993</v>
      </c>
      <c r="O135" s="43">
        <f>'Detailed Results'!I135</f>
        <v>14</v>
      </c>
      <c r="P135" s="43">
        <f>'Detailed Results'!J135</f>
        <v>14</v>
      </c>
      <c r="Q135" s="44">
        <f t="shared" si="26"/>
        <v>1</v>
      </c>
      <c r="R135" s="44">
        <f t="shared" ref="R135:R198" si="33">IFERROR(P135/G135,"")</f>
        <v>0.73684210526315785</v>
      </c>
      <c r="S135" s="44">
        <f t="shared" si="27"/>
        <v>0.8484848484848484</v>
      </c>
      <c r="T135" s="45">
        <f>'Detailed Results'!K135</f>
        <v>9</v>
      </c>
      <c r="U135" s="45">
        <f>'Detailed Results'!L135</f>
        <v>6</v>
      </c>
      <c r="V135" s="46">
        <f t="shared" si="28"/>
        <v>0.66666666666666663</v>
      </c>
      <c r="W135" s="46">
        <f t="shared" ref="W135:W198" si="34">IFERROR(U135/H135,"")</f>
        <v>0.54545454545454541</v>
      </c>
      <c r="X135" s="46">
        <f t="shared" si="29"/>
        <v>0.6</v>
      </c>
      <c r="Y135" s="47">
        <f>'Detailed Results'!M135</f>
        <v>14</v>
      </c>
      <c r="Z135" s="47">
        <f>'Detailed Results'!N135</f>
        <v>7</v>
      </c>
      <c r="AA135" s="48">
        <f t="shared" si="30"/>
        <v>0.5</v>
      </c>
      <c r="AB135" s="48">
        <f t="shared" ref="AB135:AB198" si="35">IFERROR(Z135/I135,"")</f>
        <v>0.36842105263157893</v>
      </c>
      <c r="AC135" s="48">
        <f t="shared" si="31"/>
        <v>0.4242424242424242</v>
      </c>
    </row>
    <row r="136" spans="1:29" ht="15" customHeight="1" thickBot="1" x14ac:dyDescent="0.4">
      <c r="A136" s="185"/>
      <c r="B136" s="12" t="s">
        <v>21</v>
      </c>
      <c r="C136" s="13" t="s">
        <v>16</v>
      </c>
      <c r="D136" s="13">
        <v>3</v>
      </c>
      <c r="E136" s="12" t="s">
        <v>17</v>
      </c>
      <c r="F136" s="40">
        <f>'GT Input'!C6</f>
        <v>11</v>
      </c>
      <c r="G136" s="40">
        <f>'GT Input'!D6</f>
        <v>19</v>
      </c>
      <c r="H136" s="40">
        <f>'GT Input'!E6</f>
        <v>11</v>
      </c>
      <c r="I136" s="40">
        <f>'GT Input'!F6</f>
        <v>19</v>
      </c>
      <c r="J136" s="41">
        <f>'Detailed Results'!G136</f>
        <v>9</v>
      </c>
      <c r="K136" s="41">
        <f>'Detailed Results'!H136</f>
        <v>9</v>
      </c>
      <c r="L136" s="42">
        <f t="shared" si="24"/>
        <v>1</v>
      </c>
      <c r="M136" s="42">
        <f t="shared" si="32"/>
        <v>0.81818181818181823</v>
      </c>
      <c r="N136" s="42">
        <f t="shared" si="25"/>
        <v>0.9</v>
      </c>
      <c r="O136" s="43">
        <f>'Detailed Results'!I136</f>
        <v>13</v>
      </c>
      <c r="P136" s="43">
        <f>'Detailed Results'!J136</f>
        <v>13</v>
      </c>
      <c r="Q136" s="44">
        <f t="shared" si="26"/>
        <v>1</v>
      </c>
      <c r="R136" s="44">
        <f t="shared" si="33"/>
        <v>0.68421052631578949</v>
      </c>
      <c r="S136" s="44">
        <f t="shared" si="27"/>
        <v>0.81250000000000011</v>
      </c>
      <c r="T136" s="45">
        <f>'Detailed Results'!K136</f>
        <v>9</v>
      </c>
      <c r="U136" s="45">
        <f>'Detailed Results'!L136</f>
        <v>7</v>
      </c>
      <c r="V136" s="46">
        <f t="shared" si="28"/>
        <v>0.77777777777777779</v>
      </c>
      <c r="W136" s="46">
        <f t="shared" si="34"/>
        <v>0.63636363636363635</v>
      </c>
      <c r="X136" s="46">
        <f t="shared" si="29"/>
        <v>0.70000000000000007</v>
      </c>
      <c r="Y136" s="47">
        <f>'Detailed Results'!M136</f>
        <v>13</v>
      </c>
      <c r="Z136" s="47">
        <f>'Detailed Results'!N136</f>
        <v>7</v>
      </c>
      <c r="AA136" s="48">
        <f t="shared" si="30"/>
        <v>0.53846153846153844</v>
      </c>
      <c r="AB136" s="48">
        <f t="shared" si="35"/>
        <v>0.36842105263157893</v>
      </c>
      <c r="AC136" s="48">
        <f t="shared" si="31"/>
        <v>0.4375</v>
      </c>
    </row>
    <row r="137" spans="1:29" ht="15" customHeight="1" thickBot="1" x14ac:dyDescent="0.4">
      <c r="A137" s="185"/>
      <c r="B137" s="12" t="s">
        <v>21</v>
      </c>
      <c r="C137" s="13" t="s">
        <v>16</v>
      </c>
      <c r="D137" s="13">
        <v>3</v>
      </c>
      <c r="E137" s="12" t="s">
        <v>109</v>
      </c>
      <c r="F137" s="40">
        <f>'GT Input'!C6</f>
        <v>11</v>
      </c>
      <c r="G137" s="40">
        <f>'GT Input'!D6</f>
        <v>19</v>
      </c>
      <c r="H137" s="40">
        <f>'GT Input'!E6</f>
        <v>11</v>
      </c>
      <c r="I137" s="40">
        <f>'GT Input'!F6</f>
        <v>19</v>
      </c>
      <c r="J137" s="41">
        <f>'Detailed Results'!G137</f>
        <v>8</v>
      </c>
      <c r="K137" s="41">
        <f>'Detailed Results'!H137</f>
        <v>8</v>
      </c>
      <c r="L137" s="42">
        <f t="shared" si="24"/>
        <v>1</v>
      </c>
      <c r="M137" s="42">
        <f t="shared" si="32"/>
        <v>0.72727272727272729</v>
      </c>
      <c r="N137" s="42">
        <f t="shared" si="25"/>
        <v>0.8421052631578948</v>
      </c>
      <c r="O137" s="43">
        <f>'Detailed Results'!I137</f>
        <v>15</v>
      </c>
      <c r="P137" s="43">
        <f>'Detailed Results'!J137</f>
        <v>15</v>
      </c>
      <c r="Q137" s="44">
        <f t="shared" si="26"/>
        <v>1</v>
      </c>
      <c r="R137" s="44">
        <f t="shared" si="33"/>
        <v>0.78947368421052633</v>
      </c>
      <c r="S137" s="44">
        <f t="shared" si="27"/>
        <v>0.88235294117647056</v>
      </c>
      <c r="T137" s="45">
        <f>'Detailed Results'!K137</f>
        <v>8</v>
      </c>
      <c r="U137" s="45">
        <f>'Detailed Results'!L137</f>
        <v>6</v>
      </c>
      <c r="V137" s="46">
        <f t="shared" si="28"/>
        <v>0.75</v>
      </c>
      <c r="W137" s="46">
        <f t="shared" si="34"/>
        <v>0.54545454545454541</v>
      </c>
      <c r="X137" s="46">
        <f t="shared" si="29"/>
        <v>0.63157894736842102</v>
      </c>
      <c r="Y137" s="47">
        <f>'Detailed Results'!M137</f>
        <v>15</v>
      </c>
      <c r="Z137" s="47">
        <f>'Detailed Results'!N137</f>
        <v>7</v>
      </c>
      <c r="AA137" s="48">
        <f t="shared" si="30"/>
        <v>0.46666666666666667</v>
      </c>
      <c r="AB137" s="48">
        <f t="shared" si="35"/>
        <v>0.36842105263157893</v>
      </c>
      <c r="AC137" s="48">
        <f t="shared" si="31"/>
        <v>0.41176470588235292</v>
      </c>
    </row>
    <row r="138" spans="1:29" ht="15" customHeight="1" thickBot="1" x14ac:dyDescent="0.4">
      <c r="A138" s="185"/>
      <c r="B138" s="14" t="s">
        <v>21</v>
      </c>
      <c r="C138" s="15" t="s">
        <v>19</v>
      </c>
      <c r="D138" s="15">
        <v>1</v>
      </c>
      <c r="E138" s="14" t="s">
        <v>17</v>
      </c>
      <c r="F138" s="40">
        <f>'GT Input'!C6</f>
        <v>11</v>
      </c>
      <c r="G138" s="40">
        <f>'GT Input'!D6</f>
        <v>19</v>
      </c>
      <c r="H138" s="40">
        <f>'GT Input'!E6</f>
        <v>11</v>
      </c>
      <c r="I138" s="40">
        <f>'GT Input'!F6</f>
        <v>19</v>
      </c>
      <c r="J138" s="41">
        <f>'Detailed Results'!G138</f>
        <v>9</v>
      </c>
      <c r="K138" s="41">
        <f>'Detailed Results'!H138</f>
        <v>9</v>
      </c>
      <c r="L138" s="42">
        <f t="shared" si="24"/>
        <v>1</v>
      </c>
      <c r="M138" s="42">
        <f t="shared" si="32"/>
        <v>0.81818181818181823</v>
      </c>
      <c r="N138" s="42">
        <f t="shared" si="25"/>
        <v>0.9</v>
      </c>
      <c r="O138" s="43">
        <f>'Detailed Results'!I138</f>
        <v>13</v>
      </c>
      <c r="P138" s="43">
        <f>'Detailed Results'!J138</f>
        <v>13</v>
      </c>
      <c r="Q138" s="44">
        <f t="shared" si="26"/>
        <v>1</v>
      </c>
      <c r="R138" s="44">
        <f t="shared" si="33"/>
        <v>0.68421052631578949</v>
      </c>
      <c r="S138" s="44">
        <f t="shared" si="27"/>
        <v>0.81250000000000011</v>
      </c>
      <c r="T138" s="45">
        <f>'Detailed Results'!K138</f>
        <v>9</v>
      </c>
      <c r="U138" s="45">
        <f>'Detailed Results'!L138</f>
        <v>7</v>
      </c>
      <c r="V138" s="46">
        <f t="shared" si="28"/>
        <v>0.77777777777777779</v>
      </c>
      <c r="W138" s="46">
        <f t="shared" si="34"/>
        <v>0.63636363636363635</v>
      </c>
      <c r="X138" s="46">
        <f t="shared" si="29"/>
        <v>0.70000000000000007</v>
      </c>
      <c r="Y138" s="47">
        <f>'Detailed Results'!M138</f>
        <v>13</v>
      </c>
      <c r="Z138" s="47">
        <f>'Detailed Results'!N138</f>
        <v>7</v>
      </c>
      <c r="AA138" s="48">
        <f t="shared" si="30"/>
        <v>0.53846153846153844</v>
      </c>
      <c r="AB138" s="48">
        <f t="shared" si="35"/>
        <v>0.36842105263157893</v>
      </c>
      <c r="AC138" s="48">
        <f t="shared" si="31"/>
        <v>0.4375</v>
      </c>
    </row>
    <row r="139" spans="1:29" ht="15" customHeight="1" thickBot="1" x14ac:dyDescent="0.4">
      <c r="A139" s="185"/>
      <c r="B139" s="14" t="s">
        <v>21</v>
      </c>
      <c r="C139" s="15" t="s">
        <v>19</v>
      </c>
      <c r="D139" s="15">
        <v>1</v>
      </c>
      <c r="E139" s="14" t="s">
        <v>109</v>
      </c>
      <c r="F139" s="40">
        <f>'GT Input'!C6</f>
        <v>11</v>
      </c>
      <c r="G139" s="40">
        <f>'GT Input'!D6</f>
        <v>19</v>
      </c>
      <c r="H139" s="40">
        <f>'GT Input'!E6</f>
        <v>11</v>
      </c>
      <c r="I139" s="40">
        <f>'GT Input'!F6</f>
        <v>19</v>
      </c>
      <c r="J139" s="41">
        <f>'Detailed Results'!G139</f>
        <v>8</v>
      </c>
      <c r="K139" s="41">
        <f>'Detailed Results'!H139</f>
        <v>8</v>
      </c>
      <c r="L139" s="42">
        <f t="shared" si="24"/>
        <v>1</v>
      </c>
      <c r="M139" s="42">
        <f t="shared" si="32"/>
        <v>0.72727272727272729</v>
      </c>
      <c r="N139" s="42">
        <f t="shared" si="25"/>
        <v>0.8421052631578948</v>
      </c>
      <c r="O139" s="43">
        <f>'Detailed Results'!I139</f>
        <v>15</v>
      </c>
      <c r="P139" s="43">
        <f>'Detailed Results'!J139</f>
        <v>15</v>
      </c>
      <c r="Q139" s="44">
        <f t="shared" si="26"/>
        <v>1</v>
      </c>
      <c r="R139" s="44">
        <f t="shared" si="33"/>
        <v>0.78947368421052633</v>
      </c>
      <c r="S139" s="44">
        <f t="shared" si="27"/>
        <v>0.88235294117647056</v>
      </c>
      <c r="T139" s="45">
        <f>'Detailed Results'!K139</f>
        <v>8</v>
      </c>
      <c r="U139" s="45">
        <f>'Detailed Results'!L139</f>
        <v>6</v>
      </c>
      <c r="V139" s="46">
        <f t="shared" si="28"/>
        <v>0.75</v>
      </c>
      <c r="W139" s="46">
        <f t="shared" si="34"/>
        <v>0.54545454545454541</v>
      </c>
      <c r="X139" s="46">
        <f t="shared" si="29"/>
        <v>0.63157894736842102</v>
      </c>
      <c r="Y139" s="47">
        <f>'Detailed Results'!M139</f>
        <v>15</v>
      </c>
      <c r="Z139" s="47">
        <f>'Detailed Results'!N139</f>
        <v>7</v>
      </c>
      <c r="AA139" s="48">
        <f t="shared" si="30"/>
        <v>0.46666666666666667</v>
      </c>
      <c r="AB139" s="48">
        <f t="shared" si="35"/>
        <v>0.36842105263157893</v>
      </c>
      <c r="AC139" s="48">
        <f t="shared" si="31"/>
        <v>0.41176470588235292</v>
      </c>
    </row>
    <row r="140" spans="1:29" ht="15" customHeight="1" thickBot="1" x14ac:dyDescent="0.4">
      <c r="A140" s="185"/>
      <c r="B140" s="12" t="s">
        <v>21</v>
      </c>
      <c r="C140" s="13" t="s">
        <v>19</v>
      </c>
      <c r="D140" s="13">
        <v>2</v>
      </c>
      <c r="E140" s="12" t="s">
        <v>17</v>
      </c>
      <c r="F140" s="40">
        <f>'GT Input'!C6</f>
        <v>11</v>
      </c>
      <c r="G140" s="40">
        <f>'GT Input'!D6</f>
        <v>19</v>
      </c>
      <c r="H140" s="40">
        <f>'GT Input'!E6</f>
        <v>11</v>
      </c>
      <c r="I140" s="40">
        <f>'GT Input'!F6</f>
        <v>19</v>
      </c>
      <c r="J140" s="41">
        <f>'Detailed Results'!G140</f>
        <v>9</v>
      </c>
      <c r="K140" s="41">
        <f>'Detailed Results'!H140</f>
        <v>9</v>
      </c>
      <c r="L140" s="42">
        <f t="shared" si="24"/>
        <v>1</v>
      </c>
      <c r="M140" s="42">
        <f t="shared" si="32"/>
        <v>0.81818181818181823</v>
      </c>
      <c r="N140" s="42">
        <f t="shared" si="25"/>
        <v>0.9</v>
      </c>
      <c r="O140" s="43">
        <f>'Detailed Results'!I140</f>
        <v>13</v>
      </c>
      <c r="P140" s="43">
        <f>'Detailed Results'!J140</f>
        <v>13</v>
      </c>
      <c r="Q140" s="44">
        <f t="shared" si="26"/>
        <v>1</v>
      </c>
      <c r="R140" s="44">
        <f t="shared" si="33"/>
        <v>0.68421052631578949</v>
      </c>
      <c r="S140" s="44">
        <f t="shared" si="27"/>
        <v>0.81250000000000011</v>
      </c>
      <c r="T140" s="45">
        <f>'Detailed Results'!K140</f>
        <v>9</v>
      </c>
      <c r="U140" s="45">
        <f>'Detailed Results'!L140</f>
        <v>7</v>
      </c>
      <c r="V140" s="46">
        <f t="shared" si="28"/>
        <v>0.77777777777777779</v>
      </c>
      <c r="W140" s="46">
        <f t="shared" si="34"/>
        <v>0.63636363636363635</v>
      </c>
      <c r="X140" s="46">
        <f t="shared" si="29"/>
        <v>0.70000000000000007</v>
      </c>
      <c r="Y140" s="47">
        <f>'Detailed Results'!M140</f>
        <v>13</v>
      </c>
      <c r="Z140" s="47">
        <f>'Detailed Results'!N140</f>
        <v>7</v>
      </c>
      <c r="AA140" s="48">
        <f t="shared" si="30"/>
        <v>0.53846153846153844</v>
      </c>
      <c r="AB140" s="48">
        <f t="shared" si="35"/>
        <v>0.36842105263157893</v>
      </c>
      <c r="AC140" s="48">
        <f t="shared" si="31"/>
        <v>0.4375</v>
      </c>
    </row>
    <row r="141" spans="1:29" ht="15" customHeight="1" thickBot="1" x14ac:dyDescent="0.4">
      <c r="A141" s="185"/>
      <c r="B141" s="12" t="s">
        <v>21</v>
      </c>
      <c r="C141" s="13" t="s">
        <v>19</v>
      </c>
      <c r="D141" s="13">
        <v>2</v>
      </c>
      <c r="E141" s="12" t="s">
        <v>109</v>
      </c>
      <c r="F141" s="40">
        <f>'GT Input'!C6</f>
        <v>11</v>
      </c>
      <c r="G141" s="40">
        <f>'GT Input'!D6</f>
        <v>19</v>
      </c>
      <c r="H141" s="40">
        <f>'GT Input'!E6</f>
        <v>11</v>
      </c>
      <c r="I141" s="40">
        <f>'GT Input'!F6</f>
        <v>19</v>
      </c>
      <c r="J141" s="41">
        <f>'Detailed Results'!G141</f>
        <v>7</v>
      </c>
      <c r="K141" s="41">
        <f>'Detailed Results'!H141</f>
        <v>7</v>
      </c>
      <c r="L141" s="42">
        <f t="shared" si="24"/>
        <v>1</v>
      </c>
      <c r="M141" s="42">
        <f t="shared" si="32"/>
        <v>0.63636363636363635</v>
      </c>
      <c r="N141" s="42">
        <f t="shared" si="25"/>
        <v>0.77777777777777779</v>
      </c>
      <c r="O141" s="43">
        <f>'Detailed Results'!I141</f>
        <v>13</v>
      </c>
      <c r="P141" s="43">
        <f>'Detailed Results'!J141</f>
        <v>13</v>
      </c>
      <c r="Q141" s="44">
        <f t="shared" si="26"/>
        <v>1</v>
      </c>
      <c r="R141" s="44">
        <f t="shared" si="33"/>
        <v>0.68421052631578949</v>
      </c>
      <c r="S141" s="44">
        <f t="shared" si="27"/>
        <v>0.81250000000000011</v>
      </c>
      <c r="T141" s="45">
        <f>'Detailed Results'!K141</f>
        <v>7</v>
      </c>
      <c r="U141" s="45">
        <f>'Detailed Results'!L141</f>
        <v>5</v>
      </c>
      <c r="V141" s="46">
        <f t="shared" si="28"/>
        <v>0.7142857142857143</v>
      </c>
      <c r="W141" s="46">
        <f t="shared" si="34"/>
        <v>0.45454545454545453</v>
      </c>
      <c r="X141" s="46">
        <f t="shared" si="29"/>
        <v>0.55555555555555558</v>
      </c>
      <c r="Y141" s="47">
        <f>'Detailed Results'!M141</f>
        <v>13</v>
      </c>
      <c r="Z141" s="47">
        <f>'Detailed Results'!N141</f>
        <v>13</v>
      </c>
      <c r="AA141" s="48">
        <f t="shared" si="30"/>
        <v>1</v>
      </c>
      <c r="AB141" s="48">
        <f t="shared" si="35"/>
        <v>0.68421052631578949</v>
      </c>
      <c r="AC141" s="48">
        <f t="shared" si="31"/>
        <v>0.81250000000000011</v>
      </c>
    </row>
    <row r="142" spans="1:29" ht="15" customHeight="1" thickBot="1" x14ac:dyDescent="0.4">
      <c r="A142" s="185"/>
      <c r="B142" s="14" t="s">
        <v>21</v>
      </c>
      <c r="C142" s="15" t="s">
        <v>19</v>
      </c>
      <c r="D142" s="15">
        <v>3</v>
      </c>
      <c r="E142" s="14" t="s">
        <v>17</v>
      </c>
      <c r="F142" s="40">
        <f>'GT Input'!C6</f>
        <v>11</v>
      </c>
      <c r="G142" s="40">
        <f>'GT Input'!D6</f>
        <v>19</v>
      </c>
      <c r="H142" s="40">
        <f>'GT Input'!E6</f>
        <v>11</v>
      </c>
      <c r="I142" s="40">
        <f>'GT Input'!F6</f>
        <v>19</v>
      </c>
      <c r="J142" s="41">
        <f>'Detailed Results'!G142</f>
        <v>9</v>
      </c>
      <c r="K142" s="41">
        <f>'Detailed Results'!H142</f>
        <v>9</v>
      </c>
      <c r="L142" s="42">
        <f t="shared" si="24"/>
        <v>1</v>
      </c>
      <c r="M142" s="42">
        <f t="shared" si="32"/>
        <v>0.81818181818181823</v>
      </c>
      <c r="N142" s="42">
        <f t="shared" si="25"/>
        <v>0.9</v>
      </c>
      <c r="O142" s="43">
        <f>'Detailed Results'!I142</f>
        <v>13</v>
      </c>
      <c r="P142" s="43">
        <f>'Detailed Results'!J142</f>
        <v>13</v>
      </c>
      <c r="Q142" s="44">
        <f t="shared" si="26"/>
        <v>1</v>
      </c>
      <c r="R142" s="44">
        <f t="shared" si="33"/>
        <v>0.68421052631578949</v>
      </c>
      <c r="S142" s="44">
        <f t="shared" si="27"/>
        <v>0.81250000000000011</v>
      </c>
      <c r="T142" s="45">
        <f>'Detailed Results'!K142</f>
        <v>9</v>
      </c>
      <c r="U142" s="45">
        <f>'Detailed Results'!L142</f>
        <v>7</v>
      </c>
      <c r="V142" s="46">
        <f t="shared" si="28"/>
        <v>0.77777777777777779</v>
      </c>
      <c r="W142" s="46">
        <f t="shared" si="34"/>
        <v>0.63636363636363635</v>
      </c>
      <c r="X142" s="46">
        <f t="shared" si="29"/>
        <v>0.70000000000000007</v>
      </c>
      <c r="Y142" s="47">
        <f>'Detailed Results'!M142</f>
        <v>13</v>
      </c>
      <c r="Z142" s="47">
        <f>'Detailed Results'!N142</f>
        <v>7</v>
      </c>
      <c r="AA142" s="48">
        <f t="shared" si="30"/>
        <v>0.53846153846153844</v>
      </c>
      <c r="AB142" s="48">
        <f t="shared" si="35"/>
        <v>0.36842105263157893</v>
      </c>
      <c r="AC142" s="48">
        <f t="shared" si="31"/>
        <v>0.4375</v>
      </c>
    </row>
    <row r="143" spans="1:29" ht="15" customHeight="1" thickBot="1" x14ac:dyDescent="0.4">
      <c r="A143" s="185"/>
      <c r="B143" s="14" t="s">
        <v>21</v>
      </c>
      <c r="C143" s="15" t="s">
        <v>19</v>
      </c>
      <c r="D143" s="15">
        <v>3</v>
      </c>
      <c r="E143" s="14" t="s">
        <v>109</v>
      </c>
      <c r="F143" s="40">
        <f>'GT Input'!C6</f>
        <v>11</v>
      </c>
      <c r="G143" s="40">
        <f>'GT Input'!D6</f>
        <v>19</v>
      </c>
      <c r="H143" s="40">
        <f>'GT Input'!E6</f>
        <v>11</v>
      </c>
      <c r="I143" s="40">
        <f>'GT Input'!F6</f>
        <v>19</v>
      </c>
      <c r="J143" s="41">
        <f>'Detailed Results'!G143</f>
        <v>8</v>
      </c>
      <c r="K143" s="41">
        <f>'Detailed Results'!H143</f>
        <v>8</v>
      </c>
      <c r="L143" s="42">
        <f t="shared" si="24"/>
        <v>1</v>
      </c>
      <c r="M143" s="42">
        <f t="shared" si="32"/>
        <v>0.72727272727272729</v>
      </c>
      <c r="N143" s="42">
        <f t="shared" si="25"/>
        <v>0.8421052631578948</v>
      </c>
      <c r="O143" s="43">
        <f>'Detailed Results'!I143</f>
        <v>14</v>
      </c>
      <c r="P143" s="43">
        <f>'Detailed Results'!J143</f>
        <v>14</v>
      </c>
      <c r="Q143" s="44">
        <f t="shared" si="26"/>
        <v>1</v>
      </c>
      <c r="R143" s="44">
        <f t="shared" si="33"/>
        <v>0.73684210526315785</v>
      </c>
      <c r="S143" s="44">
        <f t="shared" si="27"/>
        <v>0.8484848484848484</v>
      </c>
      <c r="T143" s="45">
        <f>'Detailed Results'!K143</f>
        <v>8</v>
      </c>
      <c r="U143" s="45">
        <f>'Detailed Results'!L143</f>
        <v>6</v>
      </c>
      <c r="V143" s="46">
        <f t="shared" si="28"/>
        <v>0.75</v>
      </c>
      <c r="W143" s="46">
        <f t="shared" si="34"/>
        <v>0.54545454545454541</v>
      </c>
      <c r="X143" s="46">
        <f t="shared" si="29"/>
        <v>0.63157894736842102</v>
      </c>
      <c r="Y143" s="47">
        <f>'Detailed Results'!M143</f>
        <v>14</v>
      </c>
      <c r="Z143" s="47">
        <f>'Detailed Results'!N143</f>
        <v>7</v>
      </c>
      <c r="AA143" s="48">
        <f t="shared" si="30"/>
        <v>0.5</v>
      </c>
      <c r="AB143" s="48">
        <f t="shared" si="35"/>
        <v>0.36842105263157893</v>
      </c>
      <c r="AC143" s="48">
        <f t="shared" si="31"/>
        <v>0.4242424242424242</v>
      </c>
    </row>
    <row r="144" spans="1:29" ht="15" customHeight="1" thickBot="1" x14ac:dyDescent="0.4">
      <c r="A144" s="185"/>
      <c r="B144" s="12" t="s">
        <v>21</v>
      </c>
      <c r="C144" s="13" t="s">
        <v>20</v>
      </c>
      <c r="D144" s="13">
        <v>1</v>
      </c>
      <c r="E144" s="12" t="s">
        <v>17</v>
      </c>
      <c r="F144" s="40">
        <f>'GT Input'!C6</f>
        <v>11</v>
      </c>
      <c r="G144" s="40">
        <f>'GT Input'!D6</f>
        <v>19</v>
      </c>
      <c r="H144" s="40">
        <f>'GT Input'!E6</f>
        <v>11</v>
      </c>
      <c r="I144" s="40">
        <f>'GT Input'!F6</f>
        <v>19</v>
      </c>
      <c r="J144" s="41">
        <f>'Detailed Results'!G144</f>
        <v>9</v>
      </c>
      <c r="K144" s="41">
        <f>'Detailed Results'!H144</f>
        <v>9</v>
      </c>
      <c r="L144" s="42">
        <f t="shared" si="24"/>
        <v>1</v>
      </c>
      <c r="M144" s="42">
        <f t="shared" si="32"/>
        <v>0.81818181818181823</v>
      </c>
      <c r="N144" s="42">
        <f t="shared" si="25"/>
        <v>0.9</v>
      </c>
      <c r="O144" s="43">
        <f>'Detailed Results'!I144</f>
        <v>15</v>
      </c>
      <c r="P144" s="43">
        <f>'Detailed Results'!J144</f>
        <v>15</v>
      </c>
      <c r="Q144" s="44">
        <f t="shared" si="26"/>
        <v>1</v>
      </c>
      <c r="R144" s="44">
        <f t="shared" si="33"/>
        <v>0.78947368421052633</v>
      </c>
      <c r="S144" s="44">
        <f t="shared" si="27"/>
        <v>0.88235294117647056</v>
      </c>
      <c r="T144" s="45">
        <f>'Detailed Results'!K144</f>
        <v>9</v>
      </c>
      <c r="U144" s="45">
        <f>'Detailed Results'!L144</f>
        <v>7</v>
      </c>
      <c r="V144" s="46">
        <f t="shared" si="28"/>
        <v>0.77777777777777779</v>
      </c>
      <c r="W144" s="46">
        <f t="shared" si="34"/>
        <v>0.63636363636363635</v>
      </c>
      <c r="X144" s="46">
        <f t="shared" si="29"/>
        <v>0.70000000000000007</v>
      </c>
      <c r="Y144" s="47">
        <f>'Detailed Results'!M144</f>
        <v>15</v>
      </c>
      <c r="Z144" s="47">
        <f>'Detailed Results'!N144</f>
        <v>7</v>
      </c>
      <c r="AA144" s="48">
        <f t="shared" si="30"/>
        <v>0.46666666666666667</v>
      </c>
      <c r="AB144" s="48">
        <f t="shared" si="35"/>
        <v>0.36842105263157893</v>
      </c>
      <c r="AC144" s="48">
        <f t="shared" si="31"/>
        <v>0.41176470588235292</v>
      </c>
    </row>
    <row r="145" spans="1:29" ht="15" customHeight="1" thickBot="1" x14ac:dyDescent="0.4">
      <c r="A145" s="185"/>
      <c r="B145" s="12" t="s">
        <v>21</v>
      </c>
      <c r="C145" s="13" t="s">
        <v>20</v>
      </c>
      <c r="D145" s="13">
        <v>1</v>
      </c>
      <c r="E145" s="12" t="s">
        <v>109</v>
      </c>
      <c r="F145" s="40">
        <f>'GT Input'!C6</f>
        <v>11</v>
      </c>
      <c r="G145" s="40">
        <f>'GT Input'!D6</f>
        <v>19</v>
      </c>
      <c r="H145" s="40">
        <f>'GT Input'!E6</f>
        <v>11</v>
      </c>
      <c r="I145" s="40">
        <f>'GT Input'!F6</f>
        <v>19</v>
      </c>
      <c r="J145" s="41">
        <f>'Detailed Results'!G145</f>
        <v>8</v>
      </c>
      <c r="K145" s="41">
        <f>'Detailed Results'!H145</f>
        <v>8</v>
      </c>
      <c r="L145" s="42">
        <f t="shared" si="24"/>
        <v>1</v>
      </c>
      <c r="M145" s="42">
        <f t="shared" si="32"/>
        <v>0.72727272727272729</v>
      </c>
      <c r="N145" s="42">
        <f t="shared" si="25"/>
        <v>0.8421052631578948</v>
      </c>
      <c r="O145" s="43">
        <f>'Detailed Results'!I145</f>
        <v>14</v>
      </c>
      <c r="P145" s="43">
        <f>'Detailed Results'!J145</f>
        <v>14</v>
      </c>
      <c r="Q145" s="44">
        <f t="shared" si="26"/>
        <v>1</v>
      </c>
      <c r="R145" s="44">
        <f t="shared" si="33"/>
        <v>0.73684210526315785</v>
      </c>
      <c r="S145" s="44">
        <f t="shared" si="27"/>
        <v>0.8484848484848484</v>
      </c>
      <c r="T145" s="45">
        <f>'Detailed Results'!K145</f>
        <v>8</v>
      </c>
      <c r="U145" s="45">
        <f>'Detailed Results'!L145</f>
        <v>6</v>
      </c>
      <c r="V145" s="46">
        <f t="shared" si="28"/>
        <v>0.75</v>
      </c>
      <c r="W145" s="46">
        <f t="shared" si="34"/>
        <v>0.54545454545454541</v>
      </c>
      <c r="X145" s="46">
        <f t="shared" si="29"/>
        <v>0.63157894736842102</v>
      </c>
      <c r="Y145" s="47">
        <f>'Detailed Results'!M145</f>
        <v>14</v>
      </c>
      <c r="Z145" s="47">
        <f>'Detailed Results'!N145</f>
        <v>7</v>
      </c>
      <c r="AA145" s="48">
        <f t="shared" si="30"/>
        <v>0.5</v>
      </c>
      <c r="AB145" s="48">
        <f t="shared" si="35"/>
        <v>0.36842105263157893</v>
      </c>
      <c r="AC145" s="48">
        <f t="shared" si="31"/>
        <v>0.4242424242424242</v>
      </c>
    </row>
    <row r="146" spans="1:29" ht="15" customHeight="1" thickBot="1" x14ac:dyDescent="0.4">
      <c r="A146" s="185"/>
      <c r="B146" s="14" t="s">
        <v>21</v>
      </c>
      <c r="C146" s="15" t="s">
        <v>20</v>
      </c>
      <c r="D146" s="15">
        <v>2</v>
      </c>
      <c r="E146" s="14" t="s">
        <v>17</v>
      </c>
      <c r="F146" s="40">
        <f>'GT Input'!C6</f>
        <v>11</v>
      </c>
      <c r="G146" s="40">
        <f>'GT Input'!D6</f>
        <v>19</v>
      </c>
      <c r="H146" s="40">
        <f>'GT Input'!E6</f>
        <v>11</v>
      </c>
      <c r="I146" s="40">
        <f>'GT Input'!F6</f>
        <v>19</v>
      </c>
      <c r="J146" s="41">
        <f>'Detailed Results'!G146</f>
        <v>9</v>
      </c>
      <c r="K146" s="41">
        <f>'Detailed Results'!H146</f>
        <v>9</v>
      </c>
      <c r="L146" s="42">
        <f t="shared" si="24"/>
        <v>1</v>
      </c>
      <c r="M146" s="42">
        <f t="shared" si="32"/>
        <v>0.81818181818181823</v>
      </c>
      <c r="N146" s="42">
        <f t="shared" si="25"/>
        <v>0.9</v>
      </c>
      <c r="O146" s="43">
        <f>'Detailed Results'!I146</f>
        <v>13</v>
      </c>
      <c r="P146" s="43">
        <f>'Detailed Results'!J146</f>
        <v>13</v>
      </c>
      <c r="Q146" s="44">
        <f t="shared" si="26"/>
        <v>1</v>
      </c>
      <c r="R146" s="44">
        <f t="shared" si="33"/>
        <v>0.68421052631578949</v>
      </c>
      <c r="S146" s="44">
        <f t="shared" si="27"/>
        <v>0.81250000000000011</v>
      </c>
      <c r="T146" s="45">
        <f>'Detailed Results'!K146</f>
        <v>9</v>
      </c>
      <c r="U146" s="45">
        <f>'Detailed Results'!L146</f>
        <v>7</v>
      </c>
      <c r="V146" s="46">
        <f t="shared" si="28"/>
        <v>0.77777777777777779</v>
      </c>
      <c r="W146" s="46">
        <f t="shared" si="34"/>
        <v>0.63636363636363635</v>
      </c>
      <c r="X146" s="46">
        <f t="shared" si="29"/>
        <v>0.70000000000000007</v>
      </c>
      <c r="Y146" s="47">
        <f>'Detailed Results'!M146</f>
        <v>13</v>
      </c>
      <c r="Z146" s="47">
        <f>'Detailed Results'!N146</f>
        <v>7</v>
      </c>
      <c r="AA146" s="48">
        <f t="shared" si="30"/>
        <v>0.53846153846153844</v>
      </c>
      <c r="AB146" s="48">
        <f t="shared" si="35"/>
        <v>0.36842105263157893</v>
      </c>
      <c r="AC146" s="48">
        <f t="shared" si="31"/>
        <v>0.4375</v>
      </c>
    </row>
    <row r="147" spans="1:29" ht="15" customHeight="1" thickBot="1" x14ac:dyDescent="0.4">
      <c r="A147" s="185"/>
      <c r="B147" s="14" t="s">
        <v>21</v>
      </c>
      <c r="C147" s="15" t="s">
        <v>20</v>
      </c>
      <c r="D147" s="15">
        <v>2</v>
      </c>
      <c r="E147" s="14" t="s">
        <v>109</v>
      </c>
      <c r="F147" s="40">
        <f>'GT Input'!C6</f>
        <v>11</v>
      </c>
      <c r="G147" s="40">
        <f>'GT Input'!D6</f>
        <v>19</v>
      </c>
      <c r="H147" s="40">
        <f>'GT Input'!E6</f>
        <v>11</v>
      </c>
      <c r="I147" s="40">
        <f>'GT Input'!F6</f>
        <v>19</v>
      </c>
      <c r="J147" s="41">
        <f>'Detailed Results'!G147</f>
        <v>8</v>
      </c>
      <c r="K147" s="41">
        <f>'Detailed Results'!H147</f>
        <v>8</v>
      </c>
      <c r="L147" s="42">
        <f t="shared" si="24"/>
        <v>1</v>
      </c>
      <c r="M147" s="42">
        <f t="shared" si="32"/>
        <v>0.72727272727272729</v>
      </c>
      <c r="N147" s="42">
        <f t="shared" si="25"/>
        <v>0.8421052631578948</v>
      </c>
      <c r="O147" s="43">
        <f>'Detailed Results'!I147</f>
        <v>14</v>
      </c>
      <c r="P147" s="43">
        <f>'Detailed Results'!J147</f>
        <v>14</v>
      </c>
      <c r="Q147" s="44">
        <f t="shared" si="26"/>
        <v>1</v>
      </c>
      <c r="R147" s="44">
        <f t="shared" si="33"/>
        <v>0.73684210526315785</v>
      </c>
      <c r="S147" s="44">
        <f t="shared" si="27"/>
        <v>0.8484848484848484</v>
      </c>
      <c r="T147" s="45">
        <f>'Detailed Results'!K147</f>
        <v>8</v>
      </c>
      <c r="U147" s="45">
        <f>'Detailed Results'!L147</f>
        <v>6</v>
      </c>
      <c r="V147" s="46">
        <f t="shared" si="28"/>
        <v>0.75</v>
      </c>
      <c r="W147" s="46">
        <f t="shared" si="34"/>
        <v>0.54545454545454541</v>
      </c>
      <c r="X147" s="46">
        <f t="shared" si="29"/>
        <v>0.63157894736842102</v>
      </c>
      <c r="Y147" s="47">
        <f>'Detailed Results'!M147</f>
        <v>14</v>
      </c>
      <c r="Z147" s="47">
        <f>'Detailed Results'!N147</f>
        <v>7</v>
      </c>
      <c r="AA147" s="48">
        <f t="shared" si="30"/>
        <v>0.5</v>
      </c>
      <c r="AB147" s="48">
        <f t="shared" si="35"/>
        <v>0.36842105263157893</v>
      </c>
      <c r="AC147" s="48">
        <f t="shared" si="31"/>
        <v>0.4242424242424242</v>
      </c>
    </row>
    <row r="148" spans="1:29" ht="15" customHeight="1" thickBot="1" x14ac:dyDescent="0.4">
      <c r="A148" s="185"/>
      <c r="B148" s="12" t="s">
        <v>21</v>
      </c>
      <c r="C148" s="13" t="s">
        <v>20</v>
      </c>
      <c r="D148" s="13">
        <v>3</v>
      </c>
      <c r="E148" s="12" t="s">
        <v>17</v>
      </c>
      <c r="F148" s="40">
        <f>'GT Input'!C6</f>
        <v>11</v>
      </c>
      <c r="G148" s="40">
        <f>'GT Input'!D6</f>
        <v>19</v>
      </c>
      <c r="H148" s="40">
        <f>'GT Input'!E6</f>
        <v>11</v>
      </c>
      <c r="I148" s="40">
        <f>'GT Input'!F6</f>
        <v>19</v>
      </c>
      <c r="J148" s="41">
        <f>'Detailed Results'!G148</f>
        <v>9</v>
      </c>
      <c r="K148" s="41">
        <f>'Detailed Results'!H148</f>
        <v>9</v>
      </c>
      <c r="L148" s="42">
        <f t="shared" si="24"/>
        <v>1</v>
      </c>
      <c r="M148" s="42">
        <f t="shared" si="32"/>
        <v>0.81818181818181823</v>
      </c>
      <c r="N148" s="42">
        <f t="shared" si="25"/>
        <v>0.9</v>
      </c>
      <c r="O148" s="43">
        <f>'Detailed Results'!I148</f>
        <v>13</v>
      </c>
      <c r="P148" s="43">
        <f>'Detailed Results'!J148</f>
        <v>13</v>
      </c>
      <c r="Q148" s="44">
        <f t="shared" si="26"/>
        <v>1</v>
      </c>
      <c r="R148" s="44">
        <f t="shared" si="33"/>
        <v>0.68421052631578949</v>
      </c>
      <c r="S148" s="44">
        <f t="shared" si="27"/>
        <v>0.81250000000000011</v>
      </c>
      <c r="T148" s="45">
        <f>'Detailed Results'!K148</f>
        <v>9</v>
      </c>
      <c r="U148" s="45">
        <f>'Detailed Results'!L148</f>
        <v>7</v>
      </c>
      <c r="V148" s="46">
        <f t="shared" si="28"/>
        <v>0.77777777777777779</v>
      </c>
      <c r="W148" s="46">
        <f t="shared" si="34"/>
        <v>0.63636363636363635</v>
      </c>
      <c r="X148" s="46">
        <f t="shared" si="29"/>
        <v>0.70000000000000007</v>
      </c>
      <c r="Y148" s="47">
        <f>'Detailed Results'!M148</f>
        <v>13</v>
      </c>
      <c r="Z148" s="47">
        <f>'Detailed Results'!N148</f>
        <v>7</v>
      </c>
      <c r="AA148" s="48">
        <f t="shared" si="30"/>
        <v>0.53846153846153844</v>
      </c>
      <c r="AB148" s="48">
        <f t="shared" si="35"/>
        <v>0.36842105263157893</v>
      </c>
      <c r="AC148" s="48">
        <f t="shared" si="31"/>
        <v>0.4375</v>
      </c>
    </row>
    <row r="149" spans="1:29" ht="15" customHeight="1" thickBot="1" x14ac:dyDescent="0.4">
      <c r="A149" s="185"/>
      <c r="B149" s="12" t="s">
        <v>21</v>
      </c>
      <c r="C149" s="13" t="s">
        <v>20</v>
      </c>
      <c r="D149" s="13">
        <v>3</v>
      </c>
      <c r="E149" s="12" t="s">
        <v>109</v>
      </c>
      <c r="F149" s="40">
        <f>'GT Input'!C6</f>
        <v>11</v>
      </c>
      <c r="G149" s="40">
        <f>'GT Input'!D6</f>
        <v>19</v>
      </c>
      <c r="H149" s="40">
        <f>'GT Input'!E6</f>
        <v>11</v>
      </c>
      <c r="I149" s="40">
        <f>'GT Input'!F6</f>
        <v>19</v>
      </c>
      <c r="J149" s="41">
        <f>'Detailed Results'!G149</f>
        <v>8</v>
      </c>
      <c r="K149" s="41">
        <f>'Detailed Results'!H149</f>
        <v>8</v>
      </c>
      <c r="L149" s="42">
        <f t="shared" si="24"/>
        <v>1</v>
      </c>
      <c r="M149" s="42">
        <f t="shared" si="32"/>
        <v>0.72727272727272729</v>
      </c>
      <c r="N149" s="42">
        <f t="shared" si="25"/>
        <v>0.8421052631578948</v>
      </c>
      <c r="O149" s="43">
        <f>'Detailed Results'!I149</f>
        <v>14</v>
      </c>
      <c r="P149" s="43">
        <f>'Detailed Results'!J149</f>
        <v>14</v>
      </c>
      <c r="Q149" s="44">
        <f t="shared" si="26"/>
        <v>1</v>
      </c>
      <c r="R149" s="44">
        <f t="shared" si="33"/>
        <v>0.73684210526315785</v>
      </c>
      <c r="S149" s="44">
        <f t="shared" si="27"/>
        <v>0.8484848484848484</v>
      </c>
      <c r="T149" s="45">
        <f>'Detailed Results'!K149</f>
        <v>8</v>
      </c>
      <c r="U149" s="45">
        <f>'Detailed Results'!L149</f>
        <v>6</v>
      </c>
      <c r="V149" s="46">
        <f t="shared" si="28"/>
        <v>0.75</v>
      </c>
      <c r="W149" s="46">
        <f t="shared" si="34"/>
        <v>0.54545454545454541</v>
      </c>
      <c r="X149" s="46">
        <f t="shared" si="29"/>
        <v>0.63157894736842102</v>
      </c>
      <c r="Y149" s="47">
        <f>'Detailed Results'!M149</f>
        <v>14</v>
      </c>
      <c r="Z149" s="47">
        <f>'Detailed Results'!N149</f>
        <v>7</v>
      </c>
      <c r="AA149" s="48">
        <f t="shared" si="30"/>
        <v>0.5</v>
      </c>
      <c r="AB149" s="48">
        <f t="shared" si="35"/>
        <v>0.36842105263157893</v>
      </c>
      <c r="AC149" s="48">
        <f t="shared" si="31"/>
        <v>0.4242424242424242</v>
      </c>
    </row>
    <row r="150" spans="1:29" ht="15" customHeight="1" thickBot="1" x14ac:dyDescent="0.4">
      <c r="A150" s="185"/>
      <c r="B150" s="16" t="s">
        <v>22</v>
      </c>
      <c r="C150" s="17" t="s">
        <v>16</v>
      </c>
      <c r="D150" s="17">
        <v>1</v>
      </c>
      <c r="E150" s="16" t="s">
        <v>17</v>
      </c>
      <c r="F150" s="40">
        <f>'GT Input'!C6</f>
        <v>11</v>
      </c>
      <c r="G150" s="40">
        <f>'GT Input'!D6</f>
        <v>19</v>
      </c>
      <c r="H150" s="40">
        <f>'GT Input'!E6</f>
        <v>11</v>
      </c>
      <c r="I150" s="40">
        <f>'GT Input'!F6</f>
        <v>19</v>
      </c>
      <c r="J150" s="41">
        <f>'Detailed Results'!G150</f>
        <v>9</v>
      </c>
      <c r="K150" s="41">
        <f>'Detailed Results'!H150</f>
        <v>9</v>
      </c>
      <c r="L150" s="42">
        <f t="shared" si="24"/>
        <v>1</v>
      </c>
      <c r="M150" s="42">
        <f t="shared" si="32"/>
        <v>0.81818181818181823</v>
      </c>
      <c r="N150" s="42">
        <f t="shared" si="25"/>
        <v>0.9</v>
      </c>
      <c r="O150" s="43">
        <f>'Detailed Results'!I150</f>
        <v>14</v>
      </c>
      <c r="P150" s="43">
        <f>'Detailed Results'!J150</f>
        <v>14</v>
      </c>
      <c r="Q150" s="44">
        <f t="shared" si="26"/>
        <v>1</v>
      </c>
      <c r="R150" s="44">
        <f t="shared" si="33"/>
        <v>0.73684210526315785</v>
      </c>
      <c r="S150" s="44">
        <f t="shared" si="27"/>
        <v>0.8484848484848484</v>
      </c>
      <c r="T150" s="45">
        <f>'Detailed Results'!K150</f>
        <v>9</v>
      </c>
      <c r="U150" s="45">
        <f>'Detailed Results'!L150</f>
        <v>7</v>
      </c>
      <c r="V150" s="46">
        <f t="shared" si="28"/>
        <v>0.77777777777777779</v>
      </c>
      <c r="W150" s="46">
        <f t="shared" si="34"/>
        <v>0.63636363636363635</v>
      </c>
      <c r="X150" s="46">
        <f t="shared" si="29"/>
        <v>0.70000000000000007</v>
      </c>
      <c r="Y150" s="47">
        <f>'Detailed Results'!M150</f>
        <v>14</v>
      </c>
      <c r="Z150" s="47">
        <f>'Detailed Results'!N150</f>
        <v>7</v>
      </c>
      <c r="AA150" s="48">
        <f t="shared" si="30"/>
        <v>0.5</v>
      </c>
      <c r="AB150" s="48">
        <f t="shared" si="35"/>
        <v>0.36842105263157893</v>
      </c>
      <c r="AC150" s="48">
        <f t="shared" si="31"/>
        <v>0.4242424242424242</v>
      </c>
    </row>
    <row r="151" spans="1:29" ht="15" customHeight="1" thickBot="1" x14ac:dyDescent="0.4">
      <c r="A151" s="185"/>
      <c r="B151" s="16" t="s">
        <v>22</v>
      </c>
      <c r="C151" s="17" t="s">
        <v>16</v>
      </c>
      <c r="D151" s="17">
        <v>1</v>
      </c>
      <c r="E151" s="16" t="s">
        <v>109</v>
      </c>
      <c r="F151" s="40">
        <f>'GT Input'!C6</f>
        <v>11</v>
      </c>
      <c r="G151" s="40">
        <f>'GT Input'!D6</f>
        <v>19</v>
      </c>
      <c r="H151" s="40">
        <f>'GT Input'!E6</f>
        <v>11</v>
      </c>
      <c r="I151" s="40">
        <f>'GT Input'!F6</f>
        <v>19</v>
      </c>
      <c r="J151" s="41">
        <f>'Detailed Results'!G151</f>
        <v>9</v>
      </c>
      <c r="K151" s="41">
        <f>'Detailed Results'!H151</f>
        <v>8</v>
      </c>
      <c r="L151" s="42">
        <f t="shared" si="24"/>
        <v>0.88888888888888884</v>
      </c>
      <c r="M151" s="42">
        <f t="shared" si="32"/>
        <v>0.72727272727272729</v>
      </c>
      <c r="N151" s="42">
        <f t="shared" si="25"/>
        <v>0.79999999999999993</v>
      </c>
      <c r="O151" s="43">
        <f>'Detailed Results'!I151</f>
        <v>15</v>
      </c>
      <c r="P151" s="43">
        <f>'Detailed Results'!J151</f>
        <v>15</v>
      </c>
      <c r="Q151" s="44">
        <f t="shared" si="26"/>
        <v>1</v>
      </c>
      <c r="R151" s="44">
        <f t="shared" si="33"/>
        <v>0.78947368421052633</v>
      </c>
      <c r="S151" s="44">
        <f t="shared" si="27"/>
        <v>0.88235294117647056</v>
      </c>
      <c r="T151" s="45">
        <f>'Detailed Results'!K151</f>
        <v>9</v>
      </c>
      <c r="U151" s="45">
        <f>'Detailed Results'!L151</f>
        <v>6</v>
      </c>
      <c r="V151" s="46">
        <f t="shared" si="28"/>
        <v>0.66666666666666663</v>
      </c>
      <c r="W151" s="46">
        <f t="shared" si="34"/>
        <v>0.54545454545454541</v>
      </c>
      <c r="X151" s="46">
        <f t="shared" si="29"/>
        <v>0.6</v>
      </c>
      <c r="Y151" s="47">
        <f>'Detailed Results'!M151</f>
        <v>15</v>
      </c>
      <c r="Z151" s="47">
        <f>'Detailed Results'!N151</f>
        <v>7</v>
      </c>
      <c r="AA151" s="48">
        <f t="shared" si="30"/>
        <v>0.46666666666666667</v>
      </c>
      <c r="AB151" s="48">
        <f t="shared" si="35"/>
        <v>0.36842105263157893</v>
      </c>
      <c r="AC151" s="48">
        <f t="shared" si="31"/>
        <v>0.41176470588235292</v>
      </c>
    </row>
    <row r="152" spans="1:29" ht="15" customHeight="1" thickBot="1" x14ac:dyDescent="0.4">
      <c r="A152" s="185"/>
      <c r="B152" s="18" t="s">
        <v>22</v>
      </c>
      <c r="C152" s="19" t="s">
        <v>16</v>
      </c>
      <c r="D152" s="19">
        <v>2</v>
      </c>
      <c r="E152" s="18" t="s">
        <v>17</v>
      </c>
      <c r="F152" s="40">
        <f>'GT Input'!C6</f>
        <v>11</v>
      </c>
      <c r="G152" s="40">
        <f>'GT Input'!D6</f>
        <v>19</v>
      </c>
      <c r="H152" s="40">
        <f>'GT Input'!E6</f>
        <v>11</v>
      </c>
      <c r="I152" s="40">
        <f>'GT Input'!F6</f>
        <v>19</v>
      </c>
      <c r="J152" s="41">
        <f>'Detailed Results'!G152</f>
        <v>9</v>
      </c>
      <c r="K152" s="41">
        <f>'Detailed Results'!H152</f>
        <v>9</v>
      </c>
      <c r="L152" s="42">
        <f t="shared" si="24"/>
        <v>1</v>
      </c>
      <c r="M152" s="42">
        <f t="shared" si="32"/>
        <v>0.81818181818181823</v>
      </c>
      <c r="N152" s="42">
        <f t="shared" si="25"/>
        <v>0.9</v>
      </c>
      <c r="O152" s="43">
        <f>'Detailed Results'!I152</f>
        <v>8</v>
      </c>
      <c r="P152" s="43">
        <f>'Detailed Results'!J152</f>
        <v>8</v>
      </c>
      <c r="Q152" s="44">
        <f t="shared" si="26"/>
        <v>1</v>
      </c>
      <c r="R152" s="44">
        <f t="shared" si="33"/>
        <v>0.42105263157894735</v>
      </c>
      <c r="S152" s="44">
        <f t="shared" si="27"/>
        <v>0.59259259259259256</v>
      </c>
      <c r="T152" s="45">
        <f>'Detailed Results'!K152</f>
        <v>9</v>
      </c>
      <c r="U152" s="45">
        <f>'Detailed Results'!L152</f>
        <v>7</v>
      </c>
      <c r="V152" s="46">
        <f t="shared" si="28"/>
        <v>0.77777777777777779</v>
      </c>
      <c r="W152" s="46">
        <f t="shared" si="34"/>
        <v>0.63636363636363635</v>
      </c>
      <c r="X152" s="46">
        <f t="shared" si="29"/>
        <v>0.70000000000000007</v>
      </c>
      <c r="Y152" s="47">
        <f>'Detailed Results'!M152</f>
        <v>8</v>
      </c>
      <c r="Z152" s="47">
        <f>'Detailed Results'!N152</f>
        <v>7</v>
      </c>
      <c r="AA152" s="48">
        <f t="shared" si="30"/>
        <v>0.875</v>
      </c>
      <c r="AB152" s="48">
        <f t="shared" si="35"/>
        <v>0.36842105263157893</v>
      </c>
      <c r="AC152" s="48">
        <f t="shared" si="31"/>
        <v>0.51851851851851849</v>
      </c>
    </row>
    <row r="153" spans="1:29" ht="15" customHeight="1" thickBot="1" x14ac:dyDescent="0.4">
      <c r="A153" s="185"/>
      <c r="B153" s="18" t="s">
        <v>22</v>
      </c>
      <c r="C153" s="19" t="s">
        <v>16</v>
      </c>
      <c r="D153" s="19">
        <v>2</v>
      </c>
      <c r="E153" s="18" t="s">
        <v>109</v>
      </c>
      <c r="F153" s="40">
        <f>'GT Input'!C6</f>
        <v>11</v>
      </c>
      <c r="G153" s="40">
        <f>'GT Input'!D6</f>
        <v>19</v>
      </c>
      <c r="H153" s="40">
        <f>'GT Input'!E6</f>
        <v>11</v>
      </c>
      <c r="I153" s="40">
        <f>'GT Input'!F6</f>
        <v>19</v>
      </c>
      <c r="J153" s="41">
        <f>'Detailed Results'!G153</f>
        <v>9</v>
      </c>
      <c r="K153" s="41">
        <f>'Detailed Results'!H153</f>
        <v>9</v>
      </c>
      <c r="L153" s="42">
        <f t="shared" si="24"/>
        <v>1</v>
      </c>
      <c r="M153" s="42">
        <f t="shared" si="32"/>
        <v>0.81818181818181823</v>
      </c>
      <c r="N153" s="42">
        <f t="shared" si="25"/>
        <v>0.9</v>
      </c>
      <c r="O153" s="43">
        <f>'Detailed Results'!I153</f>
        <v>15</v>
      </c>
      <c r="P153" s="43">
        <f>'Detailed Results'!J153</f>
        <v>15</v>
      </c>
      <c r="Q153" s="44">
        <f t="shared" si="26"/>
        <v>1</v>
      </c>
      <c r="R153" s="44">
        <f t="shared" si="33"/>
        <v>0.78947368421052633</v>
      </c>
      <c r="S153" s="44">
        <f t="shared" si="27"/>
        <v>0.88235294117647056</v>
      </c>
      <c r="T153" s="45">
        <f>'Detailed Results'!K153</f>
        <v>9</v>
      </c>
      <c r="U153" s="45">
        <f>'Detailed Results'!L153</f>
        <v>7</v>
      </c>
      <c r="V153" s="46">
        <f t="shared" si="28"/>
        <v>0.77777777777777779</v>
      </c>
      <c r="W153" s="46">
        <f t="shared" si="34"/>
        <v>0.63636363636363635</v>
      </c>
      <c r="X153" s="46">
        <f t="shared" si="29"/>
        <v>0.70000000000000007</v>
      </c>
      <c r="Y153" s="47">
        <f>'Detailed Results'!M153</f>
        <v>15</v>
      </c>
      <c r="Z153" s="47">
        <f>'Detailed Results'!N153</f>
        <v>7</v>
      </c>
      <c r="AA153" s="48">
        <f t="shared" si="30"/>
        <v>0.46666666666666667</v>
      </c>
      <c r="AB153" s="48">
        <f t="shared" si="35"/>
        <v>0.36842105263157893</v>
      </c>
      <c r="AC153" s="48">
        <f t="shared" si="31"/>
        <v>0.41176470588235292</v>
      </c>
    </row>
    <row r="154" spans="1:29" ht="15" customHeight="1" thickBot="1" x14ac:dyDescent="0.4">
      <c r="A154" s="185"/>
      <c r="B154" s="16" t="s">
        <v>22</v>
      </c>
      <c r="C154" s="17" t="s">
        <v>16</v>
      </c>
      <c r="D154" s="17">
        <v>3</v>
      </c>
      <c r="E154" s="16" t="s">
        <v>17</v>
      </c>
      <c r="F154" s="40">
        <f>'GT Input'!C6</f>
        <v>11</v>
      </c>
      <c r="G154" s="40">
        <f>'GT Input'!D6</f>
        <v>19</v>
      </c>
      <c r="H154" s="40">
        <f>'GT Input'!E6</f>
        <v>11</v>
      </c>
      <c r="I154" s="40">
        <f>'GT Input'!F6</f>
        <v>19</v>
      </c>
      <c r="J154" s="41">
        <f>'Detailed Results'!G154</f>
        <v>9</v>
      </c>
      <c r="K154" s="41">
        <f>'Detailed Results'!H154</f>
        <v>9</v>
      </c>
      <c r="L154" s="42">
        <f t="shared" si="24"/>
        <v>1</v>
      </c>
      <c r="M154" s="42">
        <f t="shared" si="32"/>
        <v>0.81818181818181823</v>
      </c>
      <c r="N154" s="42">
        <f t="shared" si="25"/>
        <v>0.9</v>
      </c>
      <c r="O154" s="43">
        <f>'Detailed Results'!I154</f>
        <v>13</v>
      </c>
      <c r="P154" s="43">
        <f>'Detailed Results'!J154</f>
        <v>13</v>
      </c>
      <c r="Q154" s="44">
        <f t="shared" si="26"/>
        <v>1</v>
      </c>
      <c r="R154" s="44">
        <f t="shared" si="33"/>
        <v>0.68421052631578949</v>
      </c>
      <c r="S154" s="44">
        <f t="shared" si="27"/>
        <v>0.81250000000000011</v>
      </c>
      <c r="T154" s="45">
        <f>'Detailed Results'!K154</f>
        <v>9</v>
      </c>
      <c r="U154" s="45">
        <f>'Detailed Results'!L154</f>
        <v>7</v>
      </c>
      <c r="V154" s="46">
        <f t="shared" si="28"/>
        <v>0.77777777777777779</v>
      </c>
      <c r="W154" s="46">
        <f t="shared" si="34"/>
        <v>0.63636363636363635</v>
      </c>
      <c r="X154" s="46">
        <f t="shared" si="29"/>
        <v>0.70000000000000007</v>
      </c>
      <c r="Y154" s="47">
        <f>'Detailed Results'!M154</f>
        <v>13</v>
      </c>
      <c r="Z154" s="47">
        <f>'Detailed Results'!N154</f>
        <v>7</v>
      </c>
      <c r="AA154" s="48">
        <f t="shared" si="30"/>
        <v>0.53846153846153844</v>
      </c>
      <c r="AB154" s="48">
        <f t="shared" si="35"/>
        <v>0.36842105263157893</v>
      </c>
      <c r="AC154" s="48">
        <f t="shared" si="31"/>
        <v>0.4375</v>
      </c>
    </row>
    <row r="155" spans="1:29" ht="15" customHeight="1" thickBot="1" x14ac:dyDescent="0.4">
      <c r="A155" s="185"/>
      <c r="B155" s="16" t="s">
        <v>22</v>
      </c>
      <c r="C155" s="17" t="s">
        <v>16</v>
      </c>
      <c r="D155" s="17">
        <v>3</v>
      </c>
      <c r="E155" s="16" t="s">
        <v>109</v>
      </c>
      <c r="F155" s="40">
        <f>'GT Input'!C6</f>
        <v>11</v>
      </c>
      <c r="G155" s="40">
        <f>'GT Input'!D6</f>
        <v>19</v>
      </c>
      <c r="H155" s="40">
        <f>'GT Input'!E6</f>
        <v>11</v>
      </c>
      <c r="I155" s="40">
        <f>'GT Input'!F6</f>
        <v>19</v>
      </c>
      <c r="J155" s="41">
        <f>'Detailed Results'!G155</f>
        <v>9</v>
      </c>
      <c r="K155" s="41">
        <f>'Detailed Results'!H155</f>
        <v>8</v>
      </c>
      <c r="L155" s="42">
        <f t="shared" si="24"/>
        <v>0.88888888888888884</v>
      </c>
      <c r="M155" s="42">
        <f t="shared" si="32"/>
        <v>0.72727272727272729</v>
      </c>
      <c r="N155" s="42">
        <f t="shared" si="25"/>
        <v>0.79999999999999993</v>
      </c>
      <c r="O155" s="43">
        <f>'Detailed Results'!I155</f>
        <v>13</v>
      </c>
      <c r="P155" s="43">
        <f>'Detailed Results'!J155</f>
        <v>13</v>
      </c>
      <c r="Q155" s="44">
        <f t="shared" si="26"/>
        <v>1</v>
      </c>
      <c r="R155" s="44">
        <f t="shared" si="33"/>
        <v>0.68421052631578949</v>
      </c>
      <c r="S155" s="44">
        <f t="shared" si="27"/>
        <v>0.81250000000000011</v>
      </c>
      <c r="T155" s="45">
        <f>'Detailed Results'!K155</f>
        <v>9</v>
      </c>
      <c r="U155" s="45">
        <f>'Detailed Results'!L155</f>
        <v>6</v>
      </c>
      <c r="V155" s="46">
        <f t="shared" si="28"/>
        <v>0.66666666666666663</v>
      </c>
      <c r="W155" s="46">
        <f t="shared" si="34"/>
        <v>0.54545454545454541</v>
      </c>
      <c r="X155" s="46">
        <f t="shared" si="29"/>
        <v>0.6</v>
      </c>
      <c r="Y155" s="47">
        <f>'Detailed Results'!M155</f>
        <v>13</v>
      </c>
      <c r="Z155" s="47">
        <f>'Detailed Results'!N155</f>
        <v>7</v>
      </c>
      <c r="AA155" s="48">
        <f t="shared" si="30"/>
        <v>0.53846153846153844</v>
      </c>
      <c r="AB155" s="48">
        <f t="shared" si="35"/>
        <v>0.36842105263157893</v>
      </c>
      <c r="AC155" s="48">
        <f t="shared" si="31"/>
        <v>0.4375</v>
      </c>
    </row>
    <row r="156" spans="1:29" ht="15" customHeight="1" thickBot="1" x14ac:dyDescent="0.4">
      <c r="A156" s="185"/>
      <c r="B156" s="18" t="s">
        <v>22</v>
      </c>
      <c r="C156" s="19" t="s">
        <v>19</v>
      </c>
      <c r="D156" s="19">
        <v>1</v>
      </c>
      <c r="E156" s="18" t="s">
        <v>17</v>
      </c>
      <c r="F156" s="40">
        <f>'GT Input'!C6</f>
        <v>11</v>
      </c>
      <c r="G156" s="40">
        <f>'GT Input'!D6</f>
        <v>19</v>
      </c>
      <c r="H156" s="40">
        <f>'GT Input'!E6</f>
        <v>11</v>
      </c>
      <c r="I156" s="40">
        <f>'GT Input'!F6</f>
        <v>19</v>
      </c>
      <c r="J156" s="41">
        <f>'Detailed Results'!G156</f>
        <v>9</v>
      </c>
      <c r="K156" s="41">
        <f>'Detailed Results'!H156</f>
        <v>9</v>
      </c>
      <c r="L156" s="42">
        <f t="shared" si="24"/>
        <v>1</v>
      </c>
      <c r="M156" s="42">
        <f t="shared" si="32"/>
        <v>0.81818181818181823</v>
      </c>
      <c r="N156" s="42">
        <f t="shared" si="25"/>
        <v>0.9</v>
      </c>
      <c r="O156" s="43">
        <f>'Detailed Results'!I156</f>
        <v>14</v>
      </c>
      <c r="P156" s="43">
        <f>'Detailed Results'!J156</f>
        <v>14</v>
      </c>
      <c r="Q156" s="44">
        <f t="shared" si="26"/>
        <v>1</v>
      </c>
      <c r="R156" s="44">
        <f t="shared" si="33"/>
        <v>0.73684210526315785</v>
      </c>
      <c r="S156" s="44">
        <f t="shared" si="27"/>
        <v>0.8484848484848484</v>
      </c>
      <c r="T156" s="45">
        <f>'Detailed Results'!K156</f>
        <v>9</v>
      </c>
      <c r="U156" s="45">
        <f>'Detailed Results'!L156</f>
        <v>7</v>
      </c>
      <c r="V156" s="46">
        <f t="shared" si="28"/>
        <v>0.77777777777777779</v>
      </c>
      <c r="W156" s="46">
        <f t="shared" si="34"/>
        <v>0.63636363636363635</v>
      </c>
      <c r="X156" s="46">
        <f t="shared" si="29"/>
        <v>0.70000000000000007</v>
      </c>
      <c r="Y156" s="47">
        <f>'Detailed Results'!M156</f>
        <v>14</v>
      </c>
      <c r="Z156" s="47">
        <f>'Detailed Results'!N156</f>
        <v>7</v>
      </c>
      <c r="AA156" s="48">
        <f t="shared" si="30"/>
        <v>0.5</v>
      </c>
      <c r="AB156" s="48">
        <f t="shared" si="35"/>
        <v>0.36842105263157893</v>
      </c>
      <c r="AC156" s="48">
        <f t="shared" si="31"/>
        <v>0.4242424242424242</v>
      </c>
    </row>
    <row r="157" spans="1:29" ht="15" customHeight="1" thickBot="1" x14ac:dyDescent="0.4">
      <c r="A157" s="185"/>
      <c r="B157" s="18" t="s">
        <v>22</v>
      </c>
      <c r="C157" s="19" t="s">
        <v>19</v>
      </c>
      <c r="D157" s="19">
        <v>1</v>
      </c>
      <c r="E157" s="18" t="s">
        <v>109</v>
      </c>
      <c r="F157" s="40">
        <f>'GT Input'!C6</f>
        <v>11</v>
      </c>
      <c r="G157" s="40">
        <f>'GT Input'!D6</f>
        <v>19</v>
      </c>
      <c r="H157" s="40">
        <f>'GT Input'!E6</f>
        <v>11</v>
      </c>
      <c r="I157" s="40">
        <f>'GT Input'!F6</f>
        <v>19</v>
      </c>
      <c r="J157" s="41">
        <f>'Detailed Results'!G157</f>
        <v>9</v>
      </c>
      <c r="K157" s="41">
        <f>'Detailed Results'!H157</f>
        <v>8</v>
      </c>
      <c r="L157" s="42">
        <f t="shared" si="24"/>
        <v>0.88888888888888884</v>
      </c>
      <c r="M157" s="42">
        <f t="shared" si="32"/>
        <v>0.72727272727272729</v>
      </c>
      <c r="N157" s="42">
        <f t="shared" si="25"/>
        <v>0.79999999999999993</v>
      </c>
      <c r="O157" s="43">
        <f>'Detailed Results'!I157</f>
        <v>13</v>
      </c>
      <c r="P157" s="43">
        <f>'Detailed Results'!J157</f>
        <v>13</v>
      </c>
      <c r="Q157" s="44">
        <f t="shared" si="26"/>
        <v>1</v>
      </c>
      <c r="R157" s="44">
        <f t="shared" si="33"/>
        <v>0.68421052631578949</v>
      </c>
      <c r="S157" s="44">
        <f t="shared" si="27"/>
        <v>0.81250000000000011</v>
      </c>
      <c r="T157" s="45">
        <f>'Detailed Results'!K157</f>
        <v>9</v>
      </c>
      <c r="U157" s="45">
        <f>'Detailed Results'!L157</f>
        <v>6</v>
      </c>
      <c r="V157" s="46">
        <f t="shared" si="28"/>
        <v>0.66666666666666663</v>
      </c>
      <c r="W157" s="46">
        <f t="shared" si="34"/>
        <v>0.54545454545454541</v>
      </c>
      <c r="X157" s="46">
        <f t="shared" si="29"/>
        <v>0.6</v>
      </c>
      <c r="Y157" s="47">
        <f>'Detailed Results'!M157</f>
        <v>13</v>
      </c>
      <c r="Z157" s="47">
        <f>'Detailed Results'!N157</f>
        <v>7</v>
      </c>
      <c r="AA157" s="48">
        <f t="shared" si="30"/>
        <v>0.53846153846153844</v>
      </c>
      <c r="AB157" s="48">
        <f t="shared" si="35"/>
        <v>0.36842105263157893</v>
      </c>
      <c r="AC157" s="48">
        <f t="shared" si="31"/>
        <v>0.4375</v>
      </c>
    </row>
    <row r="158" spans="1:29" ht="15" customHeight="1" thickBot="1" x14ac:dyDescent="0.4">
      <c r="A158" s="185"/>
      <c r="B158" s="16" t="s">
        <v>22</v>
      </c>
      <c r="C158" s="17" t="s">
        <v>19</v>
      </c>
      <c r="D158" s="17">
        <v>2</v>
      </c>
      <c r="E158" s="16" t="s">
        <v>17</v>
      </c>
      <c r="F158" s="40">
        <f>'GT Input'!C6</f>
        <v>11</v>
      </c>
      <c r="G158" s="40">
        <f>'GT Input'!D6</f>
        <v>19</v>
      </c>
      <c r="H158" s="40">
        <f>'GT Input'!E6</f>
        <v>11</v>
      </c>
      <c r="I158" s="40">
        <f>'GT Input'!F6</f>
        <v>19</v>
      </c>
      <c r="J158" s="41">
        <f>'Detailed Results'!G158</f>
        <v>9</v>
      </c>
      <c r="K158" s="41">
        <f>'Detailed Results'!H158</f>
        <v>9</v>
      </c>
      <c r="L158" s="42">
        <f t="shared" si="24"/>
        <v>1</v>
      </c>
      <c r="M158" s="42">
        <f t="shared" si="32"/>
        <v>0.81818181818181823</v>
      </c>
      <c r="N158" s="42">
        <f t="shared" si="25"/>
        <v>0.9</v>
      </c>
      <c r="O158" s="43">
        <f>'Detailed Results'!I158</f>
        <v>14</v>
      </c>
      <c r="P158" s="43">
        <f>'Detailed Results'!J158</f>
        <v>14</v>
      </c>
      <c r="Q158" s="44">
        <f t="shared" si="26"/>
        <v>1</v>
      </c>
      <c r="R158" s="44">
        <f t="shared" si="33"/>
        <v>0.73684210526315785</v>
      </c>
      <c r="S158" s="44">
        <f t="shared" si="27"/>
        <v>0.8484848484848484</v>
      </c>
      <c r="T158" s="45">
        <f>'Detailed Results'!K158</f>
        <v>9</v>
      </c>
      <c r="U158" s="45">
        <f>'Detailed Results'!L158</f>
        <v>7</v>
      </c>
      <c r="V158" s="46">
        <f t="shared" si="28"/>
        <v>0.77777777777777779</v>
      </c>
      <c r="W158" s="46">
        <f t="shared" si="34"/>
        <v>0.63636363636363635</v>
      </c>
      <c r="X158" s="46">
        <f t="shared" si="29"/>
        <v>0.70000000000000007</v>
      </c>
      <c r="Y158" s="47">
        <f>'Detailed Results'!M158</f>
        <v>14</v>
      </c>
      <c r="Z158" s="47">
        <f>'Detailed Results'!N158</f>
        <v>7</v>
      </c>
      <c r="AA158" s="48">
        <f t="shared" si="30"/>
        <v>0.5</v>
      </c>
      <c r="AB158" s="48">
        <f t="shared" si="35"/>
        <v>0.36842105263157893</v>
      </c>
      <c r="AC158" s="48">
        <f t="shared" si="31"/>
        <v>0.4242424242424242</v>
      </c>
    </row>
    <row r="159" spans="1:29" ht="15" customHeight="1" thickBot="1" x14ac:dyDescent="0.4">
      <c r="A159" s="185"/>
      <c r="B159" s="16" t="s">
        <v>22</v>
      </c>
      <c r="C159" s="17" t="s">
        <v>19</v>
      </c>
      <c r="D159" s="17">
        <v>2</v>
      </c>
      <c r="E159" s="16" t="s">
        <v>109</v>
      </c>
      <c r="F159" s="40">
        <f>'GT Input'!C6</f>
        <v>11</v>
      </c>
      <c r="G159" s="40">
        <f>'GT Input'!D6</f>
        <v>19</v>
      </c>
      <c r="H159" s="40">
        <f>'GT Input'!E6</f>
        <v>11</v>
      </c>
      <c r="I159" s="40">
        <f>'GT Input'!F6</f>
        <v>19</v>
      </c>
      <c r="J159" s="41">
        <f>'Detailed Results'!G159</f>
        <v>9</v>
      </c>
      <c r="K159" s="41">
        <f>'Detailed Results'!H159</f>
        <v>9</v>
      </c>
      <c r="L159" s="42">
        <f t="shared" si="24"/>
        <v>1</v>
      </c>
      <c r="M159" s="42">
        <f t="shared" si="32"/>
        <v>0.81818181818181823</v>
      </c>
      <c r="N159" s="42">
        <f t="shared" si="25"/>
        <v>0.9</v>
      </c>
      <c r="O159" s="43">
        <f>'Detailed Results'!I159</f>
        <v>12</v>
      </c>
      <c r="P159" s="43">
        <f>'Detailed Results'!J159</f>
        <v>12</v>
      </c>
      <c r="Q159" s="44">
        <f t="shared" si="26"/>
        <v>1</v>
      </c>
      <c r="R159" s="44">
        <f t="shared" si="33"/>
        <v>0.63157894736842102</v>
      </c>
      <c r="S159" s="44">
        <f t="shared" si="27"/>
        <v>0.77419354838709675</v>
      </c>
      <c r="T159" s="45">
        <f>'Detailed Results'!K159</f>
        <v>9</v>
      </c>
      <c r="U159" s="45">
        <f>'Detailed Results'!L159</f>
        <v>7</v>
      </c>
      <c r="V159" s="46">
        <f t="shared" si="28"/>
        <v>0.77777777777777779</v>
      </c>
      <c r="W159" s="46">
        <f t="shared" si="34"/>
        <v>0.63636363636363635</v>
      </c>
      <c r="X159" s="46">
        <f t="shared" si="29"/>
        <v>0.70000000000000007</v>
      </c>
      <c r="Y159" s="47">
        <f>'Detailed Results'!M159</f>
        <v>12</v>
      </c>
      <c r="Z159" s="47">
        <f>'Detailed Results'!N159</f>
        <v>7</v>
      </c>
      <c r="AA159" s="48">
        <f t="shared" si="30"/>
        <v>0.58333333333333337</v>
      </c>
      <c r="AB159" s="48">
        <f t="shared" si="35"/>
        <v>0.36842105263157893</v>
      </c>
      <c r="AC159" s="48">
        <f t="shared" si="31"/>
        <v>0.45161290322580649</v>
      </c>
    </row>
    <row r="160" spans="1:29" ht="15" customHeight="1" thickBot="1" x14ac:dyDescent="0.4">
      <c r="A160" s="185"/>
      <c r="B160" s="18" t="s">
        <v>22</v>
      </c>
      <c r="C160" s="19" t="s">
        <v>19</v>
      </c>
      <c r="D160" s="19">
        <v>3</v>
      </c>
      <c r="E160" s="18" t="s">
        <v>17</v>
      </c>
      <c r="F160" s="40">
        <f>'GT Input'!C6</f>
        <v>11</v>
      </c>
      <c r="G160" s="40">
        <f>'GT Input'!D6</f>
        <v>19</v>
      </c>
      <c r="H160" s="40">
        <f>'GT Input'!E6</f>
        <v>11</v>
      </c>
      <c r="I160" s="40">
        <f>'GT Input'!F6</f>
        <v>19</v>
      </c>
      <c r="J160" s="41">
        <f>'Detailed Results'!G160</f>
        <v>11</v>
      </c>
      <c r="K160" s="41">
        <f>'Detailed Results'!H160</f>
        <v>11</v>
      </c>
      <c r="L160" s="42">
        <f t="shared" si="24"/>
        <v>1</v>
      </c>
      <c r="M160" s="42">
        <f t="shared" si="32"/>
        <v>1</v>
      </c>
      <c r="N160" s="42">
        <f t="shared" si="25"/>
        <v>1</v>
      </c>
      <c r="O160" s="43">
        <f>'Detailed Results'!I160</f>
        <v>19</v>
      </c>
      <c r="P160" s="43">
        <f>'Detailed Results'!J160</f>
        <v>19</v>
      </c>
      <c r="Q160" s="44">
        <f t="shared" si="26"/>
        <v>1</v>
      </c>
      <c r="R160" s="44">
        <f t="shared" si="33"/>
        <v>1</v>
      </c>
      <c r="S160" s="44">
        <f t="shared" si="27"/>
        <v>1</v>
      </c>
      <c r="T160" s="45">
        <f>'Detailed Results'!K160</f>
        <v>11</v>
      </c>
      <c r="U160" s="45">
        <f>'Detailed Results'!L160</f>
        <v>11</v>
      </c>
      <c r="V160" s="46">
        <f t="shared" si="28"/>
        <v>1</v>
      </c>
      <c r="W160" s="46">
        <f t="shared" si="34"/>
        <v>1</v>
      </c>
      <c r="X160" s="46">
        <f t="shared" si="29"/>
        <v>1</v>
      </c>
      <c r="Y160" s="47">
        <f>'Detailed Results'!M160</f>
        <v>19</v>
      </c>
      <c r="Z160" s="47">
        <f>'Detailed Results'!N160</f>
        <v>18</v>
      </c>
      <c r="AA160" s="48">
        <f t="shared" si="30"/>
        <v>0.94736842105263153</v>
      </c>
      <c r="AB160" s="48">
        <f t="shared" si="35"/>
        <v>0.94736842105263153</v>
      </c>
      <c r="AC160" s="48">
        <f t="shared" si="31"/>
        <v>0.94736842105263153</v>
      </c>
    </row>
    <row r="161" spans="1:29" ht="15" customHeight="1" thickBot="1" x14ac:dyDescent="0.4">
      <c r="A161" s="185"/>
      <c r="B161" s="18" t="s">
        <v>22</v>
      </c>
      <c r="C161" s="19" t="s">
        <v>19</v>
      </c>
      <c r="D161" s="19">
        <v>3</v>
      </c>
      <c r="E161" s="18" t="s">
        <v>109</v>
      </c>
      <c r="F161" s="40">
        <f>'GT Input'!C6</f>
        <v>11</v>
      </c>
      <c r="G161" s="40">
        <f>'GT Input'!D6</f>
        <v>19</v>
      </c>
      <c r="H161" s="40">
        <f>'GT Input'!E6</f>
        <v>11</v>
      </c>
      <c r="I161" s="40">
        <f>'GT Input'!F6</f>
        <v>19</v>
      </c>
      <c r="J161" s="41">
        <f>'Detailed Results'!G161</f>
        <v>9</v>
      </c>
      <c r="K161" s="41">
        <f>'Detailed Results'!H161</f>
        <v>8</v>
      </c>
      <c r="L161" s="42">
        <f t="shared" si="24"/>
        <v>0.88888888888888884</v>
      </c>
      <c r="M161" s="42">
        <f t="shared" si="32"/>
        <v>0.72727272727272729</v>
      </c>
      <c r="N161" s="42">
        <f t="shared" si="25"/>
        <v>0.79999999999999993</v>
      </c>
      <c r="O161" s="43">
        <f>'Detailed Results'!I161</f>
        <v>15</v>
      </c>
      <c r="P161" s="43">
        <f>'Detailed Results'!J161</f>
        <v>15</v>
      </c>
      <c r="Q161" s="44">
        <f t="shared" si="26"/>
        <v>1</v>
      </c>
      <c r="R161" s="44">
        <f t="shared" si="33"/>
        <v>0.78947368421052633</v>
      </c>
      <c r="S161" s="44">
        <f t="shared" si="27"/>
        <v>0.88235294117647056</v>
      </c>
      <c r="T161" s="45">
        <f>'Detailed Results'!K161</f>
        <v>9</v>
      </c>
      <c r="U161" s="45">
        <f>'Detailed Results'!L161</f>
        <v>6</v>
      </c>
      <c r="V161" s="46">
        <f t="shared" si="28"/>
        <v>0.66666666666666663</v>
      </c>
      <c r="W161" s="46">
        <f t="shared" si="34"/>
        <v>0.54545454545454541</v>
      </c>
      <c r="X161" s="46">
        <f t="shared" si="29"/>
        <v>0.6</v>
      </c>
      <c r="Y161" s="47">
        <f>'Detailed Results'!M161</f>
        <v>15</v>
      </c>
      <c r="Z161" s="47">
        <f>'Detailed Results'!N161</f>
        <v>7</v>
      </c>
      <c r="AA161" s="48">
        <f t="shared" si="30"/>
        <v>0.46666666666666667</v>
      </c>
      <c r="AB161" s="48">
        <f t="shared" si="35"/>
        <v>0.36842105263157893</v>
      </c>
      <c r="AC161" s="48">
        <f t="shared" si="31"/>
        <v>0.41176470588235292</v>
      </c>
    </row>
    <row r="162" spans="1:29" ht="15" customHeight="1" thickBot="1" x14ac:dyDescent="0.4">
      <c r="A162" s="185"/>
      <c r="B162" s="16" t="s">
        <v>22</v>
      </c>
      <c r="C162" s="17" t="s">
        <v>20</v>
      </c>
      <c r="D162" s="17">
        <v>1</v>
      </c>
      <c r="E162" s="16" t="s">
        <v>17</v>
      </c>
      <c r="F162" s="40">
        <f>'GT Input'!C6</f>
        <v>11</v>
      </c>
      <c r="G162" s="40">
        <f>'GT Input'!D6</f>
        <v>19</v>
      </c>
      <c r="H162" s="40">
        <f>'GT Input'!E6</f>
        <v>11</v>
      </c>
      <c r="I162" s="40">
        <f>'GT Input'!F6</f>
        <v>19</v>
      </c>
      <c r="J162" s="41">
        <f>'Detailed Results'!G162</f>
        <v>11</v>
      </c>
      <c r="K162" s="41">
        <f>'Detailed Results'!H162</f>
        <v>11</v>
      </c>
      <c r="L162" s="42">
        <f t="shared" si="24"/>
        <v>1</v>
      </c>
      <c r="M162" s="42">
        <f t="shared" si="32"/>
        <v>1</v>
      </c>
      <c r="N162" s="42">
        <f t="shared" si="25"/>
        <v>1</v>
      </c>
      <c r="O162" s="43">
        <f>'Detailed Results'!I162</f>
        <v>19</v>
      </c>
      <c r="P162" s="43">
        <f>'Detailed Results'!J162</f>
        <v>19</v>
      </c>
      <c r="Q162" s="44">
        <f t="shared" si="26"/>
        <v>1</v>
      </c>
      <c r="R162" s="44">
        <f t="shared" si="33"/>
        <v>1</v>
      </c>
      <c r="S162" s="44">
        <f t="shared" si="27"/>
        <v>1</v>
      </c>
      <c r="T162" s="45">
        <f>'Detailed Results'!K162</f>
        <v>11</v>
      </c>
      <c r="U162" s="45">
        <f>'Detailed Results'!L162</f>
        <v>11</v>
      </c>
      <c r="V162" s="46">
        <f t="shared" si="28"/>
        <v>1</v>
      </c>
      <c r="W162" s="46">
        <f t="shared" si="34"/>
        <v>1</v>
      </c>
      <c r="X162" s="46">
        <f t="shared" si="29"/>
        <v>1</v>
      </c>
      <c r="Y162" s="47">
        <f>'Detailed Results'!M162</f>
        <v>19</v>
      </c>
      <c r="Z162" s="47">
        <f>'Detailed Results'!N162</f>
        <v>19</v>
      </c>
      <c r="AA162" s="48">
        <f t="shared" si="30"/>
        <v>1</v>
      </c>
      <c r="AB162" s="48">
        <f t="shared" si="35"/>
        <v>1</v>
      </c>
      <c r="AC162" s="48">
        <f t="shared" si="31"/>
        <v>1</v>
      </c>
    </row>
    <row r="163" spans="1:29" ht="15" customHeight="1" thickBot="1" x14ac:dyDescent="0.4">
      <c r="A163" s="185"/>
      <c r="B163" s="16" t="s">
        <v>22</v>
      </c>
      <c r="C163" s="17" t="s">
        <v>20</v>
      </c>
      <c r="D163" s="17">
        <v>1</v>
      </c>
      <c r="E163" s="16" t="s">
        <v>109</v>
      </c>
      <c r="F163" s="40">
        <f>'GT Input'!C6</f>
        <v>11</v>
      </c>
      <c r="G163" s="40">
        <f>'GT Input'!D6</f>
        <v>19</v>
      </c>
      <c r="H163" s="40">
        <f>'GT Input'!E6</f>
        <v>11</v>
      </c>
      <c r="I163" s="40">
        <f>'GT Input'!F6</f>
        <v>19</v>
      </c>
      <c r="J163" s="41">
        <f>'Detailed Results'!G163</f>
        <v>9</v>
      </c>
      <c r="K163" s="41">
        <f>'Detailed Results'!H163</f>
        <v>8</v>
      </c>
      <c r="L163" s="42">
        <f t="shared" si="24"/>
        <v>0.88888888888888884</v>
      </c>
      <c r="M163" s="42">
        <f t="shared" si="32"/>
        <v>0.72727272727272729</v>
      </c>
      <c r="N163" s="42">
        <f t="shared" si="25"/>
        <v>0.79999999999999993</v>
      </c>
      <c r="O163" s="43">
        <f>'Detailed Results'!I163</f>
        <v>13</v>
      </c>
      <c r="P163" s="43">
        <f>'Detailed Results'!J163</f>
        <v>13</v>
      </c>
      <c r="Q163" s="44">
        <f t="shared" si="26"/>
        <v>1</v>
      </c>
      <c r="R163" s="44">
        <f t="shared" si="33"/>
        <v>0.68421052631578949</v>
      </c>
      <c r="S163" s="44">
        <f t="shared" si="27"/>
        <v>0.81250000000000011</v>
      </c>
      <c r="T163" s="45">
        <f>'Detailed Results'!K163</f>
        <v>9</v>
      </c>
      <c r="U163" s="45">
        <f>'Detailed Results'!L163</f>
        <v>6</v>
      </c>
      <c r="V163" s="46">
        <f t="shared" si="28"/>
        <v>0.66666666666666663</v>
      </c>
      <c r="W163" s="46">
        <f t="shared" si="34"/>
        <v>0.54545454545454541</v>
      </c>
      <c r="X163" s="46">
        <f t="shared" si="29"/>
        <v>0.6</v>
      </c>
      <c r="Y163" s="47">
        <f>'Detailed Results'!M163</f>
        <v>13</v>
      </c>
      <c r="Z163" s="47">
        <f>'Detailed Results'!N163</f>
        <v>7</v>
      </c>
      <c r="AA163" s="48">
        <f t="shared" si="30"/>
        <v>0.53846153846153844</v>
      </c>
      <c r="AB163" s="48">
        <f t="shared" si="35"/>
        <v>0.36842105263157893</v>
      </c>
      <c r="AC163" s="48">
        <f t="shared" si="31"/>
        <v>0.4375</v>
      </c>
    </row>
    <row r="164" spans="1:29" ht="15" customHeight="1" thickBot="1" x14ac:dyDescent="0.4">
      <c r="A164" s="185"/>
      <c r="B164" s="18" t="s">
        <v>22</v>
      </c>
      <c r="C164" s="19" t="s">
        <v>20</v>
      </c>
      <c r="D164" s="19">
        <v>2</v>
      </c>
      <c r="E164" s="18" t="s">
        <v>17</v>
      </c>
      <c r="F164" s="40">
        <f>'GT Input'!C6</f>
        <v>11</v>
      </c>
      <c r="G164" s="40">
        <f>'GT Input'!D6</f>
        <v>19</v>
      </c>
      <c r="H164" s="40">
        <f>'GT Input'!E6</f>
        <v>11</v>
      </c>
      <c r="I164" s="40">
        <f>'GT Input'!F6</f>
        <v>19</v>
      </c>
      <c r="J164" s="41">
        <f>'Detailed Results'!G164</f>
        <v>9</v>
      </c>
      <c r="K164" s="41">
        <f>'Detailed Results'!H164</f>
        <v>9</v>
      </c>
      <c r="L164" s="42">
        <f t="shared" si="24"/>
        <v>1</v>
      </c>
      <c r="M164" s="42">
        <f t="shared" si="32"/>
        <v>0.81818181818181823</v>
      </c>
      <c r="N164" s="42">
        <f t="shared" si="25"/>
        <v>0.9</v>
      </c>
      <c r="O164" s="43">
        <f>'Detailed Results'!I164</f>
        <v>14</v>
      </c>
      <c r="P164" s="43">
        <f>'Detailed Results'!J164</f>
        <v>14</v>
      </c>
      <c r="Q164" s="44">
        <f t="shared" si="26"/>
        <v>1</v>
      </c>
      <c r="R164" s="44">
        <f t="shared" si="33"/>
        <v>0.73684210526315785</v>
      </c>
      <c r="S164" s="44">
        <f t="shared" si="27"/>
        <v>0.8484848484848484</v>
      </c>
      <c r="T164" s="45">
        <f>'Detailed Results'!K164</f>
        <v>9</v>
      </c>
      <c r="U164" s="45">
        <f>'Detailed Results'!L164</f>
        <v>7</v>
      </c>
      <c r="V164" s="46">
        <f t="shared" si="28"/>
        <v>0.77777777777777779</v>
      </c>
      <c r="W164" s="46">
        <f t="shared" si="34"/>
        <v>0.63636363636363635</v>
      </c>
      <c r="X164" s="46">
        <f t="shared" si="29"/>
        <v>0.70000000000000007</v>
      </c>
      <c r="Y164" s="47">
        <f>'Detailed Results'!M164</f>
        <v>14</v>
      </c>
      <c r="Z164" s="47">
        <f>'Detailed Results'!N164</f>
        <v>7</v>
      </c>
      <c r="AA164" s="48">
        <f t="shared" si="30"/>
        <v>0.5</v>
      </c>
      <c r="AB164" s="48">
        <f t="shared" si="35"/>
        <v>0.36842105263157893</v>
      </c>
      <c r="AC164" s="48">
        <f t="shared" si="31"/>
        <v>0.4242424242424242</v>
      </c>
    </row>
    <row r="165" spans="1:29" ht="15" customHeight="1" thickBot="1" x14ac:dyDescent="0.4">
      <c r="A165" s="185"/>
      <c r="B165" s="18" t="s">
        <v>22</v>
      </c>
      <c r="C165" s="19" t="s">
        <v>20</v>
      </c>
      <c r="D165" s="19">
        <v>2</v>
      </c>
      <c r="E165" s="18" t="s">
        <v>109</v>
      </c>
      <c r="F165" s="40">
        <f>'GT Input'!C6</f>
        <v>11</v>
      </c>
      <c r="G165" s="40">
        <f>'GT Input'!D6</f>
        <v>19</v>
      </c>
      <c r="H165" s="40">
        <f>'GT Input'!E6</f>
        <v>11</v>
      </c>
      <c r="I165" s="40">
        <f>'GT Input'!F6</f>
        <v>19</v>
      </c>
      <c r="J165" s="41">
        <f>'Detailed Results'!G165</f>
        <v>9</v>
      </c>
      <c r="K165" s="41">
        <f>'Detailed Results'!H165</f>
        <v>8</v>
      </c>
      <c r="L165" s="42">
        <f>IFERROR(K165/J165,"")</f>
        <v>0.88888888888888884</v>
      </c>
      <c r="M165" s="42">
        <f t="shared" si="32"/>
        <v>0.72727272727272729</v>
      </c>
      <c r="N165" s="42">
        <f t="shared" si="25"/>
        <v>0.79999999999999993</v>
      </c>
      <c r="O165" s="43">
        <f>'Detailed Results'!I165</f>
        <v>10</v>
      </c>
      <c r="P165" s="43">
        <f>'Detailed Results'!J165</f>
        <v>10</v>
      </c>
      <c r="Q165" s="44">
        <f t="shared" si="26"/>
        <v>1</v>
      </c>
      <c r="R165" s="44">
        <f t="shared" si="33"/>
        <v>0.52631578947368418</v>
      </c>
      <c r="S165" s="44">
        <f t="shared" si="27"/>
        <v>0.68965517241379315</v>
      </c>
      <c r="T165" s="45">
        <f>'Detailed Results'!K165</f>
        <v>9</v>
      </c>
      <c r="U165" s="45">
        <f>'Detailed Results'!L165</f>
        <v>6</v>
      </c>
      <c r="V165" s="46">
        <f t="shared" si="28"/>
        <v>0.66666666666666663</v>
      </c>
      <c r="W165" s="46">
        <f t="shared" si="34"/>
        <v>0.54545454545454541</v>
      </c>
      <c r="X165" s="46">
        <f t="shared" si="29"/>
        <v>0.6</v>
      </c>
      <c r="Y165" s="47">
        <f>'Detailed Results'!M165</f>
        <v>10</v>
      </c>
      <c r="Z165" s="47">
        <f>'Detailed Results'!N165</f>
        <v>7</v>
      </c>
      <c r="AA165" s="48">
        <f t="shared" si="30"/>
        <v>0.7</v>
      </c>
      <c r="AB165" s="48">
        <f t="shared" si="35"/>
        <v>0.36842105263157893</v>
      </c>
      <c r="AC165" s="48">
        <f t="shared" si="31"/>
        <v>0.48275862068965514</v>
      </c>
    </row>
    <row r="166" spans="1:29" ht="15" customHeight="1" thickBot="1" x14ac:dyDescent="0.4">
      <c r="A166" s="185"/>
      <c r="B166" s="16" t="s">
        <v>22</v>
      </c>
      <c r="C166" s="17" t="s">
        <v>20</v>
      </c>
      <c r="D166" s="17">
        <v>3</v>
      </c>
      <c r="E166" s="16" t="s">
        <v>17</v>
      </c>
      <c r="F166" s="40">
        <f>'GT Input'!C6</f>
        <v>11</v>
      </c>
      <c r="G166" s="40">
        <f>'GT Input'!D6</f>
        <v>19</v>
      </c>
      <c r="H166" s="40">
        <f>'GT Input'!E6</f>
        <v>11</v>
      </c>
      <c r="I166" s="40">
        <f>'GT Input'!F6</f>
        <v>19</v>
      </c>
      <c r="J166" s="41">
        <f>'Detailed Results'!G166</f>
        <v>9</v>
      </c>
      <c r="K166" s="41">
        <f>'Detailed Results'!H166</f>
        <v>9</v>
      </c>
      <c r="L166" s="42">
        <f t="shared" si="24"/>
        <v>1</v>
      </c>
      <c r="M166" s="42">
        <f t="shared" si="32"/>
        <v>0.81818181818181823</v>
      </c>
      <c r="N166" s="42">
        <f t="shared" si="25"/>
        <v>0.9</v>
      </c>
      <c r="O166" s="43">
        <f>'Detailed Results'!I166</f>
        <v>8</v>
      </c>
      <c r="P166" s="43">
        <f>'Detailed Results'!J166</f>
        <v>8</v>
      </c>
      <c r="Q166" s="44">
        <f t="shared" si="26"/>
        <v>1</v>
      </c>
      <c r="R166" s="44">
        <f t="shared" si="33"/>
        <v>0.42105263157894735</v>
      </c>
      <c r="S166" s="44">
        <f t="shared" si="27"/>
        <v>0.59259259259259256</v>
      </c>
      <c r="T166" s="45">
        <f>'Detailed Results'!K166</f>
        <v>9</v>
      </c>
      <c r="U166" s="45">
        <f>'Detailed Results'!L166</f>
        <v>7</v>
      </c>
      <c r="V166" s="46">
        <f t="shared" si="28"/>
        <v>0.77777777777777779</v>
      </c>
      <c r="W166" s="46">
        <f t="shared" si="34"/>
        <v>0.63636363636363635</v>
      </c>
      <c r="X166" s="46">
        <f t="shared" si="29"/>
        <v>0.70000000000000007</v>
      </c>
      <c r="Y166" s="47">
        <f>'Detailed Results'!M166</f>
        <v>8</v>
      </c>
      <c r="Z166" s="47">
        <f>'Detailed Results'!N166</f>
        <v>7</v>
      </c>
      <c r="AA166" s="48">
        <f t="shared" si="30"/>
        <v>0.875</v>
      </c>
      <c r="AB166" s="48">
        <f t="shared" si="35"/>
        <v>0.36842105263157893</v>
      </c>
      <c r="AC166" s="48">
        <f t="shared" si="31"/>
        <v>0.51851851851851849</v>
      </c>
    </row>
    <row r="167" spans="1:29" s="64" customFormat="1" ht="15" customHeight="1" thickBot="1" x14ac:dyDescent="0.4">
      <c r="A167" s="202"/>
      <c r="B167" s="76" t="s">
        <v>22</v>
      </c>
      <c r="C167" s="77" t="s">
        <v>20</v>
      </c>
      <c r="D167" s="77">
        <v>3</v>
      </c>
      <c r="E167" s="76" t="s">
        <v>109</v>
      </c>
      <c r="F167" s="78">
        <f>'GT Input'!C6</f>
        <v>11</v>
      </c>
      <c r="G167" s="78">
        <f>'GT Input'!D6</f>
        <v>19</v>
      </c>
      <c r="H167" s="78">
        <f>'GT Input'!E6</f>
        <v>11</v>
      </c>
      <c r="I167" s="78">
        <f>'GT Input'!F6</f>
        <v>19</v>
      </c>
      <c r="J167" s="79">
        <f>'Detailed Results'!G167</f>
        <v>9</v>
      </c>
      <c r="K167" s="79">
        <f>'Detailed Results'!H167</f>
        <v>9</v>
      </c>
      <c r="L167" s="57">
        <f t="shared" si="24"/>
        <v>1</v>
      </c>
      <c r="M167" s="57">
        <f t="shared" si="32"/>
        <v>0.81818181818181823</v>
      </c>
      <c r="N167" s="57">
        <f t="shared" si="25"/>
        <v>0.9</v>
      </c>
      <c r="O167" s="80">
        <f>'Detailed Results'!I167</f>
        <v>14</v>
      </c>
      <c r="P167" s="80">
        <f>'Detailed Results'!J167</f>
        <v>14</v>
      </c>
      <c r="Q167" s="59">
        <f t="shared" si="26"/>
        <v>1</v>
      </c>
      <c r="R167" s="59">
        <f t="shared" si="33"/>
        <v>0.73684210526315785</v>
      </c>
      <c r="S167" s="59">
        <f t="shared" si="27"/>
        <v>0.8484848484848484</v>
      </c>
      <c r="T167" s="81">
        <f>'Detailed Results'!K167</f>
        <v>9</v>
      </c>
      <c r="U167" s="81">
        <f>'Detailed Results'!L167</f>
        <v>7</v>
      </c>
      <c r="V167" s="61">
        <f t="shared" si="28"/>
        <v>0.77777777777777779</v>
      </c>
      <c r="W167" s="61">
        <f t="shared" si="34"/>
        <v>0.63636363636363635</v>
      </c>
      <c r="X167" s="61">
        <f t="shared" si="29"/>
        <v>0.70000000000000007</v>
      </c>
      <c r="Y167" s="82">
        <f>'Detailed Results'!M167</f>
        <v>14</v>
      </c>
      <c r="Z167" s="82">
        <f>'Detailed Results'!N167</f>
        <v>7</v>
      </c>
      <c r="AA167" s="63">
        <f t="shared" si="30"/>
        <v>0.5</v>
      </c>
      <c r="AB167" s="63">
        <f t="shared" si="35"/>
        <v>0.36842105263157893</v>
      </c>
      <c r="AC167" s="63">
        <f t="shared" si="31"/>
        <v>0.4242424242424242</v>
      </c>
    </row>
    <row r="168" spans="1:29" ht="15" customHeight="1" thickBot="1" x14ac:dyDescent="0.4">
      <c r="A168" s="202" t="s">
        <v>25</v>
      </c>
      <c r="B168" s="83" t="s">
        <v>15</v>
      </c>
      <c r="C168" s="84" t="s">
        <v>16</v>
      </c>
      <c r="D168" s="84">
        <v>1</v>
      </c>
      <c r="E168" s="83" t="s">
        <v>17</v>
      </c>
      <c r="F168" s="85">
        <f>'GT Input'!C7</f>
        <v>7</v>
      </c>
      <c r="G168" s="85">
        <f>'GT Input'!D7</f>
        <v>38</v>
      </c>
      <c r="H168" s="85">
        <f>'GT Input'!E7</f>
        <v>7</v>
      </c>
      <c r="I168" s="85">
        <f>'GT Input'!F7</f>
        <v>38</v>
      </c>
      <c r="J168" s="86">
        <f>'Detailed Results'!G168</f>
        <v>7</v>
      </c>
      <c r="K168" s="86">
        <f>'Detailed Results'!H168</f>
        <v>7</v>
      </c>
      <c r="L168" s="69">
        <f t="shared" si="24"/>
        <v>1</v>
      </c>
      <c r="M168" s="69">
        <f t="shared" si="32"/>
        <v>1</v>
      </c>
      <c r="N168" s="69">
        <f t="shared" si="25"/>
        <v>1</v>
      </c>
      <c r="O168" s="87">
        <f>'Detailed Results'!I168</f>
        <v>27</v>
      </c>
      <c r="P168" s="87">
        <f>'Detailed Results'!J168</f>
        <v>27</v>
      </c>
      <c r="Q168" s="71">
        <f t="shared" si="26"/>
        <v>1</v>
      </c>
      <c r="R168" s="71">
        <f t="shared" si="33"/>
        <v>0.71052631578947367</v>
      </c>
      <c r="S168" s="71">
        <f t="shared" si="27"/>
        <v>0.83076923076923082</v>
      </c>
      <c r="T168" s="88">
        <f>'Detailed Results'!K168</f>
        <v>7</v>
      </c>
      <c r="U168" s="88">
        <f>'Detailed Results'!L168</f>
        <v>7</v>
      </c>
      <c r="V168" s="73">
        <f t="shared" si="28"/>
        <v>1</v>
      </c>
      <c r="W168" s="73">
        <f t="shared" si="34"/>
        <v>1</v>
      </c>
      <c r="X168" s="73">
        <f t="shared" si="29"/>
        <v>1</v>
      </c>
      <c r="Y168" s="89">
        <f>'Detailed Results'!M168</f>
        <v>27</v>
      </c>
      <c r="Z168" s="89">
        <f>'Detailed Results'!N168</f>
        <v>27</v>
      </c>
      <c r="AA168" s="75">
        <f t="shared" si="30"/>
        <v>1</v>
      </c>
      <c r="AB168" s="75">
        <f t="shared" si="35"/>
        <v>0.71052631578947367</v>
      </c>
      <c r="AC168" s="75">
        <f t="shared" si="31"/>
        <v>0.83076923076923082</v>
      </c>
    </row>
    <row r="169" spans="1:29" ht="15" customHeight="1" thickBot="1" x14ac:dyDescent="0.4">
      <c r="A169" s="185"/>
      <c r="B169" s="7" t="s">
        <v>15</v>
      </c>
      <c r="C169" s="8" t="s">
        <v>16</v>
      </c>
      <c r="D169" s="8">
        <v>1</v>
      </c>
      <c r="E169" s="7" t="s">
        <v>109</v>
      </c>
      <c r="F169" s="40">
        <f>'GT Input'!C7</f>
        <v>7</v>
      </c>
      <c r="G169" s="40">
        <f>'GT Input'!D7</f>
        <v>38</v>
      </c>
      <c r="H169" s="40">
        <f>'GT Input'!E7</f>
        <v>7</v>
      </c>
      <c r="I169" s="40">
        <f>'GT Input'!F7</f>
        <v>38</v>
      </c>
      <c r="J169" s="41">
        <f>'Detailed Results'!G169</f>
        <v>7</v>
      </c>
      <c r="K169" s="41">
        <f>'Detailed Results'!H169</f>
        <v>7</v>
      </c>
      <c r="L169" s="42">
        <f t="shared" si="24"/>
        <v>1</v>
      </c>
      <c r="M169" s="42">
        <f t="shared" si="32"/>
        <v>1</v>
      </c>
      <c r="N169" s="42">
        <f t="shared" si="25"/>
        <v>1</v>
      </c>
      <c r="O169" s="43">
        <f>'Detailed Results'!I169</f>
        <v>18</v>
      </c>
      <c r="P169" s="43">
        <f>'Detailed Results'!J169</f>
        <v>18</v>
      </c>
      <c r="Q169" s="44">
        <f t="shared" si="26"/>
        <v>1</v>
      </c>
      <c r="R169" s="44">
        <f t="shared" si="33"/>
        <v>0.47368421052631576</v>
      </c>
      <c r="S169" s="44">
        <f t="shared" si="27"/>
        <v>0.6428571428571429</v>
      </c>
      <c r="T169" s="45">
        <f>'Detailed Results'!K169</f>
        <v>7</v>
      </c>
      <c r="U169" s="45">
        <f>'Detailed Results'!L169</f>
        <v>7</v>
      </c>
      <c r="V169" s="46">
        <f t="shared" si="28"/>
        <v>1</v>
      </c>
      <c r="W169" s="46">
        <f t="shared" si="34"/>
        <v>1</v>
      </c>
      <c r="X169" s="46">
        <f t="shared" si="29"/>
        <v>1</v>
      </c>
      <c r="Y169" s="47">
        <f>'Detailed Results'!M169</f>
        <v>18</v>
      </c>
      <c r="Z169" s="47">
        <f>'Detailed Results'!N169</f>
        <v>18</v>
      </c>
      <c r="AA169" s="48">
        <f t="shared" si="30"/>
        <v>1</v>
      </c>
      <c r="AB169" s="48">
        <f t="shared" si="35"/>
        <v>0.47368421052631576</v>
      </c>
      <c r="AC169" s="48">
        <f t="shared" si="31"/>
        <v>0.6428571428571429</v>
      </c>
    </row>
    <row r="170" spans="1:29" ht="15" customHeight="1" thickBot="1" x14ac:dyDescent="0.4">
      <c r="A170" s="185"/>
      <c r="B170" s="10" t="s">
        <v>15</v>
      </c>
      <c r="C170" s="11" t="s">
        <v>16</v>
      </c>
      <c r="D170" s="11">
        <v>2</v>
      </c>
      <c r="E170" s="10" t="s">
        <v>17</v>
      </c>
      <c r="F170" s="40">
        <f>'GT Input'!C7</f>
        <v>7</v>
      </c>
      <c r="G170" s="40">
        <f>'GT Input'!D7</f>
        <v>38</v>
      </c>
      <c r="H170" s="40">
        <f>'GT Input'!E7</f>
        <v>7</v>
      </c>
      <c r="I170" s="40">
        <f>'GT Input'!F7</f>
        <v>38</v>
      </c>
      <c r="J170" s="41">
        <f>'Detailed Results'!G170</f>
        <v>7</v>
      </c>
      <c r="K170" s="41">
        <f>'Detailed Results'!H170</f>
        <v>7</v>
      </c>
      <c r="L170" s="42">
        <f t="shared" si="24"/>
        <v>1</v>
      </c>
      <c r="M170" s="42">
        <f t="shared" si="32"/>
        <v>1</v>
      </c>
      <c r="N170" s="42">
        <f t="shared" si="25"/>
        <v>1</v>
      </c>
      <c r="O170" s="43">
        <f>'Detailed Results'!I170</f>
        <v>18</v>
      </c>
      <c r="P170" s="43">
        <f>'Detailed Results'!J170</f>
        <v>18</v>
      </c>
      <c r="Q170" s="44">
        <f t="shared" si="26"/>
        <v>1</v>
      </c>
      <c r="R170" s="44">
        <f t="shared" si="33"/>
        <v>0.47368421052631576</v>
      </c>
      <c r="S170" s="44">
        <f t="shared" si="27"/>
        <v>0.6428571428571429</v>
      </c>
      <c r="T170" s="45">
        <f>'Detailed Results'!K170</f>
        <v>7</v>
      </c>
      <c r="U170" s="45">
        <f>'Detailed Results'!L170</f>
        <v>7</v>
      </c>
      <c r="V170" s="46">
        <f t="shared" si="28"/>
        <v>1</v>
      </c>
      <c r="W170" s="46">
        <f t="shared" si="34"/>
        <v>1</v>
      </c>
      <c r="X170" s="46">
        <f t="shared" si="29"/>
        <v>1</v>
      </c>
      <c r="Y170" s="47">
        <f>'Detailed Results'!M170</f>
        <v>18</v>
      </c>
      <c r="Z170" s="47">
        <f>'Detailed Results'!N170</f>
        <v>18</v>
      </c>
      <c r="AA170" s="48">
        <f t="shared" si="30"/>
        <v>1</v>
      </c>
      <c r="AB170" s="48">
        <f t="shared" si="35"/>
        <v>0.47368421052631576</v>
      </c>
      <c r="AC170" s="48">
        <f t="shared" si="31"/>
        <v>0.6428571428571429</v>
      </c>
    </row>
    <row r="171" spans="1:29" ht="15" customHeight="1" thickBot="1" x14ac:dyDescent="0.4">
      <c r="A171" s="185"/>
      <c r="B171" s="10" t="s">
        <v>15</v>
      </c>
      <c r="C171" s="11" t="s">
        <v>16</v>
      </c>
      <c r="D171" s="11">
        <v>2</v>
      </c>
      <c r="E171" s="10" t="s">
        <v>109</v>
      </c>
      <c r="F171" s="40">
        <f>'GT Input'!C7</f>
        <v>7</v>
      </c>
      <c r="G171" s="40">
        <f>'GT Input'!D7</f>
        <v>38</v>
      </c>
      <c r="H171" s="40">
        <f>'GT Input'!E7</f>
        <v>7</v>
      </c>
      <c r="I171" s="40">
        <f>'GT Input'!F7</f>
        <v>38</v>
      </c>
      <c r="J171" s="41">
        <f>'Detailed Results'!G171</f>
        <v>7</v>
      </c>
      <c r="K171" s="41">
        <f>'Detailed Results'!H171</f>
        <v>7</v>
      </c>
      <c r="L171" s="42">
        <f t="shared" si="24"/>
        <v>1</v>
      </c>
      <c r="M171" s="42">
        <f t="shared" si="32"/>
        <v>1</v>
      </c>
      <c r="N171" s="42">
        <f t="shared" si="25"/>
        <v>1</v>
      </c>
      <c r="O171" s="43">
        <f>'Detailed Results'!I171</f>
        <v>27</v>
      </c>
      <c r="P171" s="43">
        <f>'Detailed Results'!J171</f>
        <v>27</v>
      </c>
      <c r="Q171" s="44">
        <f t="shared" si="26"/>
        <v>1</v>
      </c>
      <c r="R171" s="44">
        <f t="shared" si="33"/>
        <v>0.71052631578947367</v>
      </c>
      <c r="S171" s="44">
        <f t="shared" si="27"/>
        <v>0.83076923076923082</v>
      </c>
      <c r="T171" s="45">
        <f>'Detailed Results'!K171</f>
        <v>7</v>
      </c>
      <c r="U171" s="45">
        <f>'Detailed Results'!L171</f>
        <v>7</v>
      </c>
      <c r="V171" s="46">
        <f t="shared" si="28"/>
        <v>1</v>
      </c>
      <c r="W171" s="46">
        <f t="shared" si="34"/>
        <v>1</v>
      </c>
      <c r="X171" s="46">
        <f t="shared" si="29"/>
        <v>1</v>
      </c>
      <c r="Y171" s="47">
        <f>'Detailed Results'!M171</f>
        <v>27</v>
      </c>
      <c r="Z171" s="47">
        <f>'Detailed Results'!N171</f>
        <v>27</v>
      </c>
      <c r="AA171" s="48">
        <f t="shared" si="30"/>
        <v>1</v>
      </c>
      <c r="AB171" s="48">
        <f t="shared" si="35"/>
        <v>0.71052631578947367</v>
      </c>
      <c r="AC171" s="48">
        <f t="shared" si="31"/>
        <v>0.83076923076923082</v>
      </c>
    </row>
    <row r="172" spans="1:29" ht="15" customHeight="1" thickBot="1" x14ac:dyDescent="0.4">
      <c r="A172" s="185"/>
      <c r="B172" s="7" t="s">
        <v>15</v>
      </c>
      <c r="C172" s="8" t="s">
        <v>16</v>
      </c>
      <c r="D172" s="8">
        <v>3</v>
      </c>
      <c r="E172" s="7" t="s">
        <v>17</v>
      </c>
      <c r="F172" s="40">
        <f>'GT Input'!C7</f>
        <v>7</v>
      </c>
      <c r="G172" s="40">
        <f>'GT Input'!D7</f>
        <v>38</v>
      </c>
      <c r="H172" s="40">
        <f>'GT Input'!E7</f>
        <v>7</v>
      </c>
      <c r="I172" s="40">
        <f>'GT Input'!F7</f>
        <v>38</v>
      </c>
      <c r="J172" s="41">
        <f>'Detailed Results'!G172</f>
        <v>7</v>
      </c>
      <c r="K172" s="41">
        <f>'Detailed Results'!H172</f>
        <v>7</v>
      </c>
      <c r="L172" s="42">
        <f t="shared" si="24"/>
        <v>1</v>
      </c>
      <c r="M172" s="42">
        <f t="shared" si="32"/>
        <v>1</v>
      </c>
      <c r="N172" s="42">
        <f t="shared" si="25"/>
        <v>1</v>
      </c>
      <c r="O172" s="43">
        <f>'Detailed Results'!I172</f>
        <v>27</v>
      </c>
      <c r="P172" s="43">
        <f>'Detailed Results'!J172</f>
        <v>27</v>
      </c>
      <c r="Q172" s="44">
        <f t="shared" si="26"/>
        <v>1</v>
      </c>
      <c r="R172" s="44">
        <f t="shared" si="33"/>
        <v>0.71052631578947367</v>
      </c>
      <c r="S172" s="44">
        <f t="shared" si="27"/>
        <v>0.83076923076923082</v>
      </c>
      <c r="T172" s="45">
        <f>'Detailed Results'!K172</f>
        <v>7</v>
      </c>
      <c r="U172" s="45">
        <f>'Detailed Results'!L172</f>
        <v>7</v>
      </c>
      <c r="V172" s="46">
        <f t="shared" si="28"/>
        <v>1</v>
      </c>
      <c r="W172" s="46">
        <f t="shared" si="34"/>
        <v>1</v>
      </c>
      <c r="X172" s="46">
        <f t="shared" si="29"/>
        <v>1</v>
      </c>
      <c r="Y172" s="47">
        <f>'Detailed Results'!M172</f>
        <v>27</v>
      </c>
      <c r="Z172" s="47">
        <f>'Detailed Results'!N172</f>
        <v>27</v>
      </c>
      <c r="AA172" s="48">
        <f t="shared" si="30"/>
        <v>1</v>
      </c>
      <c r="AB172" s="48">
        <f t="shared" si="35"/>
        <v>0.71052631578947367</v>
      </c>
      <c r="AC172" s="48">
        <f t="shared" si="31"/>
        <v>0.83076923076923082</v>
      </c>
    </row>
    <row r="173" spans="1:29" ht="15" customHeight="1" thickBot="1" x14ac:dyDescent="0.4">
      <c r="A173" s="185"/>
      <c r="B173" s="7" t="s">
        <v>15</v>
      </c>
      <c r="C173" s="8" t="s">
        <v>16</v>
      </c>
      <c r="D173" s="8">
        <v>3</v>
      </c>
      <c r="E173" s="7" t="s">
        <v>109</v>
      </c>
      <c r="F173" s="40">
        <f>'GT Input'!C7</f>
        <v>7</v>
      </c>
      <c r="G173" s="40">
        <f>'GT Input'!D7</f>
        <v>38</v>
      </c>
      <c r="H173" s="40">
        <f>'GT Input'!E7</f>
        <v>7</v>
      </c>
      <c r="I173" s="40">
        <f>'GT Input'!F7</f>
        <v>38</v>
      </c>
      <c r="J173" s="41">
        <f>'Detailed Results'!G173</f>
        <v>7</v>
      </c>
      <c r="K173" s="41">
        <f>'Detailed Results'!H173</f>
        <v>7</v>
      </c>
      <c r="L173" s="42">
        <f t="shared" si="24"/>
        <v>1</v>
      </c>
      <c r="M173" s="42">
        <f t="shared" si="32"/>
        <v>1</v>
      </c>
      <c r="N173" s="42">
        <f t="shared" si="25"/>
        <v>1</v>
      </c>
      <c r="O173" s="43">
        <f>'Detailed Results'!I173</f>
        <v>21</v>
      </c>
      <c r="P173" s="43">
        <f>'Detailed Results'!J173</f>
        <v>21</v>
      </c>
      <c r="Q173" s="44">
        <f t="shared" si="26"/>
        <v>1</v>
      </c>
      <c r="R173" s="44">
        <f t="shared" si="33"/>
        <v>0.55263157894736847</v>
      </c>
      <c r="S173" s="44">
        <f t="shared" si="27"/>
        <v>0.71186440677966101</v>
      </c>
      <c r="T173" s="45">
        <f>'Detailed Results'!K173</f>
        <v>7</v>
      </c>
      <c r="U173" s="45">
        <f>'Detailed Results'!L173</f>
        <v>7</v>
      </c>
      <c r="V173" s="46">
        <f t="shared" si="28"/>
        <v>1</v>
      </c>
      <c r="W173" s="46">
        <f t="shared" si="34"/>
        <v>1</v>
      </c>
      <c r="X173" s="46">
        <f t="shared" si="29"/>
        <v>1</v>
      </c>
      <c r="Y173" s="47">
        <f>'Detailed Results'!M173</f>
        <v>21</v>
      </c>
      <c r="Z173" s="47">
        <f>'Detailed Results'!N173</f>
        <v>21</v>
      </c>
      <c r="AA173" s="48">
        <f t="shared" si="30"/>
        <v>1</v>
      </c>
      <c r="AB173" s="48">
        <f t="shared" si="35"/>
        <v>0.55263157894736847</v>
      </c>
      <c r="AC173" s="48">
        <f t="shared" si="31"/>
        <v>0.71186440677966101</v>
      </c>
    </row>
    <row r="174" spans="1:29" ht="15" customHeight="1" thickBot="1" x14ac:dyDescent="0.4">
      <c r="A174" s="185"/>
      <c r="B174" s="10" t="s">
        <v>15</v>
      </c>
      <c r="C174" s="11" t="s">
        <v>19</v>
      </c>
      <c r="D174" s="11">
        <v>1</v>
      </c>
      <c r="E174" s="10" t="s">
        <v>17</v>
      </c>
      <c r="F174" s="40">
        <f>'GT Input'!C7</f>
        <v>7</v>
      </c>
      <c r="G174" s="40">
        <f>'GT Input'!D7</f>
        <v>38</v>
      </c>
      <c r="H174" s="40">
        <f>'GT Input'!E7</f>
        <v>7</v>
      </c>
      <c r="I174" s="40">
        <f>'GT Input'!F7</f>
        <v>38</v>
      </c>
      <c r="J174" s="41">
        <f>'Detailed Results'!G174</f>
        <v>7</v>
      </c>
      <c r="K174" s="41">
        <f>'Detailed Results'!H174</f>
        <v>7</v>
      </c>
      <c r="L174" s="42">
        <f t="shared" si="24"/>
        <v>1</v>
      </c>
      <c r="M174" s="42">
        <f t="shared" si="32"/>
        <v>1</v>
      </c>
      <c r="N174" s="42">
        <f t="shared" si="25"/>
        <v>1</v>
      </c>
      <c r="O174" s="43">
        <f>'Detailed Results'!I174</f>
        <v>27</v>
      </c>
      <c r="P174" s="43">
        <f>'Detailed Results'!J174</f>
        <v>27</v>
      </c>
      <c r="Q174" s="44">
        <f t="shared" si="26"/>
        <v>1</v>
      </c>
      <c r="R174" s="44">
        <f t="shared" si="33"/>
        <v>0.71052631578947367</v>
      </c>
      <c r="S174" s="44">
        <f t="shared" si="27"/>
        <v>0.83076923076923082</v>
      </c>
      <c r="T174" s="45">
        <f>'Detailed Results'!K174</f>
        <v>7</v>
      </c>
      <c r="U174" s="45">
        <f>'Detailed Results'!L174</f>
        <v>7</v>
      </c>
      <c r="V174" s="46">
        <f t="shared" si="28"/>
        <v>1</v>
      </c>
      <c r="W174" s="46">
        <f t="shared" si="34"/>
        <v>1</v>
      </c>
      <c r="X174" s="46">
        <f t="shared" si="29"/>
        <v>1</v>
      </c>
      <c r="Y174" s="47">
        <f>'Detailed Results'!M174</f>
        <v>27</v>
      </c>
      <c r="Z174" s="47">
        <f>'Detailed Results'!N174</f>
        <v>27</v>
      </c>
      <c r="AA174" s="48">
        <f t="shared" si="30"/>
        <v>1</v>
      </c>
      <c r="AB174" s="48">
        <f t="shared" si="35"/>
        <v>0.71052631578947367</v>
      </c>
      <c r="AC174" s="48">
        <f t="shared" si="31"/>
        <v>0.83076923076923082</v>
      </c>
    </row>
    <row r="175" spans="1:29" ht="15" customHeight="1" thickBot="1" x14ac:dyDescent="0.4">
      <c r="A175" s="185"/>
      <c r="B175" s="10" t="s">
        <v>15</v>
      </c>
      <c r="C175" s="11" t="s">
        <v>19</v>
      </c>
      <c r="D175" s="11">
        <v>1</v>
      </c>
      <c r="E175" s="10" t="s">
        <v>109</v>
      </c>
      <c r="F175" s="40">
        <f>'GT Input'!C7</f>
        <v>7</v>
      </c>
      <c r="G175" s="40">
        <f>'GT Input'!D7</f>
        <v>38</v>
      </c>
      <c r="H175" s="40">
        <f>'GT Input'!E7</f>
        <v>7</v>
      </c>
      <c r="I175" s="40">
        <f>'GT Input'!F7</f>
        <v>38</v>
      </c>
      <c r="J175" s="41">
        <f>'Detailed Results'!G175</f>
        <v>7</v>
      </c>
      <c r="K175" s="41">
        <f>'Detailed Results'!H175</f>
        <v>7</v>
      </c>
      <c r="L175" s="42">
        <f t="shared" si="24"/>
        <v>1</v>
      </c>
      <c r="M175" s="42">
        <f t="shared" si="32"/>
        <v>1</v>
      </c>
      <c r="N175" s="42">
        <f t="shared" si="25"/>
        <v>1</v>
      </c>
      <c r="O175" s="43">
        <f>'Detailed Results'!I175</f>
        <v>27</v>
      </c>
      <c r="P175" s="43">
        <f>'Detailed Results'!J175</f>
        <v>27</v>
      </c>
      <c r="Q175" s="44">
        <f t="shared" si="26"/>
        <v>1</v>
      </c>
      <c r="R175" s="44">
        <f t="shared" si="33"/>
        <v>0.71052631578947367</v>
      </c>
      <c r="S175" s="44">
        <f t="shared" si="27"/>
        <v>0.83076923076923082</v>
      </c>
      <c r="T175" s="45">
        <f>'Detailed Results'!K175</f>
        <v>7</v>
      </c>
      <c r="U175" s="45">
        <f>'Detailed Results'!L175</f>
        <v>7</v>
      </c>
      <c r="V175" s="46">
        <f t="shared" si="28"/>
        <v>1</v>
      </c>
      <c r="W175" s="46">
        <f t="shared" si="34"/>
        <v>1</v>
      </c>
      <c r="X175" s="46">
        <f t="shared" si="29"/>
        <v>1</v>
      </c>
      <c r="Y175" s="47">
        <f>'Detailed Results'!M175</f>
        <v>27</v>
      </c>
      <c r="Z175" s="47">
        <f>'Detailed Results'!N175</f>
        <v>27</v>
      </c>
      <c r="AA175" s="48">
        <f t="shared" si="30"/>
        <v>1</v>
      </c>
      <c r="AB175" s="48">
        <f t="shared" si="35"/>
        <v>0.71052631578947367</v>
      </c>
      <c r="AC175" s="48">
        <f t="shared" si="31"/>
        <v>0.83076923076923082</v>
      </c>
    </row>
    <row r="176" spans="1:29" ht="15" customHeight="1" thickBot="1" x14ac:dyDescent="0.4">
      <c r="A176" s="185"/>
      <c r="B176" s="7" t="s">
        <v>15</v>
      </c>
      <c r="C176" s="8" t="s">
        <v>19</v>
      </c>
      <c r="D176" s="8">
        <v>2</v>
      </c>
      <c r="E176" s="7" t="s">
        <v>17</v>
      </c>
      <c r="F176" s="40">
        <f>'GT Input'!C7</f>
        <v>7</v>
      </c>
      <c r="G176" s="40">
        <f>'GT Input'!D7</f>
        <v>38</v>
      </c>
      <c r="H176" s="40">
        <f>'GT Input'!E7</f>
        <v>7</v>
      </c>
      <c r="I176" s="40">
        <f>'GT Input'!F7</f>
        <v>38</v>
      </c>
      <c r="J176" s="41">
        <f>'Detailed Results'!G176</f>
        <v>7</v>
      </c>
      <c r="K176" s="41">
        <f>'Detailed Results'!H176</f>
        <v>7</v>
      </c>
      <c r="L176" s="42">
        <f t="shared" si="24"/>
        <v>1</v>
      </c>
      <c r="M176" s="42">
        <f t="shared" si="32"/>
        <v>1</v>
      </c>
      <c r="N176" s="42">
        <f t="shared" si="25"/>
        <v>1</v>
      </c>
      <c r="O176" s="43">
        <f>'Detailed Results'!I176</f>
        <v>18</v>
      </c>
      <c r="P176" s="43">
        <f>'Detailed Results'!J176</f>
        <v>18</v>
      </c>
      <c r="Q176" s="44">
        <f t="shared" si="26"/>
        <v>1</v>
      </c>
      <c r="R176" s="44">
        <f t="shared" si="33"/>
        <v>0.47368421052631576</v>
      </c>
      <c r="S176" s="44">
        <f t="shared" si="27"/>
        <v>0.6428571428571429</v>
      </c>
      <c r="T176" s="45">
        <f>'Detailed Results'!K176</f>
        <v>7</v>
      </c>
      <c r="U176" s="45">
        <f>'Detailed Results'!L176</f>
        <v>7</v>
      </c>
      <c r="V176" s="46">
        <f t="shared" si="28"/>
        <v>1</v>
      </c>
      <c r="W176" s="46">
        <f t="shared" si="34"/>
        <v>1</v>
      </c>
      <c r="X176" s="46">
        <f t="shared" si="29"/>
        <v>1</v>
      </c>
      <c r="Y176" s="47">
        <f>'Detailed Results'!M176</f>
        <v>18</v>
      </c>
      <c r="Z176" s="47">
        <f>'Detailed Results'!N176</f>
        <v>18</v>
      </c>
      <c r="AA176" s="48">
        <f t="shared" si="30"/>
        <v>1</v>
      </c>
      <c r="AB176" s="48">
        <f t="shared" si="35"/>
        <v>0.47368421052631576</v>
      </c>
      <c r="AC176" s="48">
        <f t="shared" si="31"/>
        <v>0.6428571428571429</v>
      </c>
    </row>
    <row r="177" spans="1:29" ht="15" customHeight="1" thickBot="1" x14ac:dyDescent="0.4">
      <c r="A177" s="185"/>
      <c r="B177" s="7" t="s">
        <v>15</v>
      </c>
      <c r="C177" s="8" t="s">
        <v>19</v>
      </c>
      <c r="D177" s="8">
        <v>2</v>
      </c>
      <c r="E177" s="7" t="s">
        <v>109</v>
      </c>
      <c r="F177" s="40">
        <f>'GT Input'!C7</f>
        <v>7</v>
      </c>
      <c r="G177" s="40">
        <f>'GT Input'!D7</f>
        <v>38</v>
      </c>
      <c r="H177" s="40">
        <f>'GT Input'!E7</f>
        <v>7</v>
      </c>
      <c r="I177" s="40">
        <f>'GT Input'!F7</f>
        <v>38</v>
      </c>
      <c r="J177" s="41">
        <f>'Detailed Results'!G177</f>
        <v>7</v>
      </c>
      <c r="K177" s="41">
        <f>'Detailed Results'!H177</f>
        <v>7</v>
      </c>
      <c r="L177" s="42">
        <f t="shared" si="24"/>
        <v>1</v>
      </c>
      <c r="M177" s="42">
        <f t="shared" si="32"/>
        <v>1</v>
      </c>
      <c r="N177" s="42">
        <f t="shared" si="25"/>
        <v>1</v>
      </c>
      <c r="O177" s="43">
        <f>'Detailed Results'!I177</f>
        <v>21</v>
      </c>
      <c r="P177" s="43">
        <f>'Detailed Results'!J177</f>
        <v>21</v>
      </c>
      <c r="Q177" s="44">
        <f t="shared" si="26"/>
        <v>1</v>
      </c>
      <c r="R177" s="44">
        <f t="shared" si="33"/>
        <v>0.55263157894736847</v>
      </c>
      <c r="S177" s="44">
        <f t="shared" si="27"/>
        <v>0.71186440677966101</v>
      </c>
      <c r="T177" s="45">
        <f>'Detailed Results'!K177</f>
        <v>7</v>
      </c>
      <c r="U177" s="45">
        <f>'Detailed Results'!L177</f>
        <v>7</v>
      </c>
      <c r="V177" s="46">
        <f t="shared" si="28"/>
        <v>1</v>
      </c>
      <c r="W177" s="46">
        <f t="shared" si="34"/>
        <v>1</v>
      </c>
      <c r="X177" s="46">
        <f t="shared" si="29"/>
        <v>1</v>
      </c>
      <c r="Y177" s="47">
        <f>'Detailed Results'!M177</f>
        <v>21</v>
      </c>
      <c r="Z177" s="47">
        <f>'Detailed Results'!N177</f>
        <v>21</v>
      </c>
      <c r="AA177" s="48">
        <f t="shared" si="30"/>
        <v>1</v>
      </c>
      <c r="AB177" s="48">
        <f t="shared" si="35"/>
        <v>0.55263157894736847</v>
      </c>
      <c r="AC177" s="48">
        <f t="shared" si="31"/>
        <v>0.71186440677966101</v>
      </c>
    </row>
    <row r="178" spans="1:29" ht="15" customHeight="1" thickBot="1" x14ac:dyDescent="0.4">
      <c r="A178" s="185"/>
      <c r="B178" s="10" t="s">
        <v>15</v>
      </c>
      <c r="C178" s="11" t="s">
        <v>19</v>
      </c>
      <c r="D178" s="11">
        <v>3</v>
      </c>
      <c r="E178" s="10" t="s">
        <v>17</v>
      </c>
      <c r="F178" s="40">
        <f>'GT Input'!C7</f>
        <v>7</v>
      </c>
      <c r="G178" s="40">
        <f>'GT Input'!D7</f>
        <v>38</v>
      </c>
      <c r="H178" s="40">
        <f>'GT Input'!E7</f>
        <v>7</v>
      </c>
      <c r="I178" s="40">
        <f>'GT Input'!F7</f>
        <v>38</v>
      </c>
      <c r="J178" s="41">
        <f>'Detailed Results'!G178</f>
        <v>7</v>
      </c>
      <c r="K178" s="41">
        <f>'Detailed Results'!H178</f>
        <v>7</v>
      </c>
      <c r="L178" s="42">
        <f t="shared" si="24"/>
        <v>1</v>
      </c>
      <c r="M178" s="42">
        <f t="shared" si="32"/>
        <v>1</v>
      </c>
      <c r="N178" s="42">
        <f t="shared" si="25"/>
        <v>1</v>
      </c>
      <c r="O178" s="43">
        <f>'Detailed Results'!I178</f>
        <v>27</v>
      </c>
      <c r="P178" s="43">
        <f>'Detailed Results'!J178</f>
        <v>27</v>
      </c>
      <c r="Q178" s="44">
        <f t="shared" si="26"/>
        <v>1</v>
      </c>
      <c r="R178" s="44">
        <f t="shared" si="33"/>
        <v>0.71052631578947367</v>
      </c>
      <c r="S178" s="44">
        <f t="shared" si="27"/>
        <v>0.83076923076923082</v>
      </c>
      <c r="T178" s="45">
        <f>'Detailed Results'!K178</f>
        <v>7</v>
      </c>
      <c r="U178" s="45">
        <f>'Detailed Results'!L178</f>
        <v>7</v>
      </c>
      <c r="V178" s="46">
        <f t="shared" si="28"/>
        <v>1</v>
      </c>
      <c r="W178" s="46">
        <f t="shared" si="34"/>
        <v>1</v>
      </c>
      <c r="X178" s="46">
        <f t="shared" si="29"/>
        <v>1</v>
      </c>
      <c r="Y178" s="47">
        <f>'Detailed Results'!M178</f>
        <v>27</v>
      </c>
      <c r="Z178" s="47">
        <f>'Detailed Results'!N178</f>
        <v>27</v>
      </c>
      <c r="AA178" s="48">
        <f t="shared" si="30"/>
        <v>1</v>
      </c>
      <c r="AB178" s="48">
        <f t="shared" si="35"/>
        <v>0.71052631578947367</v>
      </c>
      <c r="AC178" s="48">
        <f t="shared" si="31"/>
        <v>0.83076923076923082</v>
      </c>
    </row>
    <row r="179" spans="1:29" ht="15" customHeight="1" thickBot="1" x14ac:dyDescent="0.4">
      <c r="A179" s="185"/>
      <c r="B179" s="10" t="s">
        <v>15</v>
      </c>
      <c r="C179" s="11" t="s">
        <v>19</v>
      </c>
      <c r="D179" s="11">
        <v>3</v>
      </c>
      <c r="E179" s="10" t="s">
        <v>109</v>
      </c>
      <c r="F179" s="40">
        <f>'GT Input'!C7</f>
        <v>7</v>
      </c>
      <c r="G179" s="40">
        <f>'GT Input'!D7</f>
        <v>38</v>
      </c>
      <c r="H179" s="40">
        <f>'GT Input'!E7</f>
        <v>7</v>
      </c>
      <c r="I179" s="40">
        <f>'GT Input'!F7</f>
        <v>38</v>
      </c>
      <c r="J179" s="41">
        <f>'Detailed Results'!G179</f>
        <v>7</v>
      </c>
      <c r="K179" s="41">
        <f>'Detailed Results'!H179</f>
        <v>7</v>
      </c>
      <c r="L179" s="42">
        <f t="shared" si="24"/>
        <v>1</v>
      </c>
      <c r="M179" s="42">
        <f t="shared" si="32"/>
        <v>1</v>
      </c>
      <c r="N179" s="42">
        <f t="shared" si="25"/>
        <v>1</v>
      </c>
      <c r="O179" s="43">
        <f>'Detailed Results'!I179</f>
        <v>27</v>
      </c>
      <c r="P179" s="43">
        <f>'Detailed Results'!J179</f>
        <v>27</v>
      </c>
      <c r="Q179" s="44">
        <f t="shared" si="26"/>
        <v>1</v>
      </c>
      <c r="R179" s="44">
        <f t="shared" si="33"/>
        <v>0.71052631578947367</v>
      </c>
      <c r="S179" s="44">
        <f t="shared" si="27"/>
        <v>0.83076923076923082</v>
      </c>
      <c r="T179" s="45">
        <f>'Detailed Results'!K179</f>
        <v>7</v>
      </c>
      <c r="U179" s="45">
        <f>'Detailed Results'!L179</f>
        <v>7</v>
      </c>
      <c r="V179" s="46">
        <f t="shared" si="28"/>
        <v>1</v>
      </c>
      <c r="W179" s="46">
        <f t="shared" si="34"/>
        <v>1</v>
      </c>
      <c r="X179" s="46">
        <f t="shared" si="29"/>
        <v>1</v>
      </c>
      <c r="Y179" s="47">
        <f>'Detailed Results'!M179</f>
        <v>27</v>
      </c>
      <c r="Z179" s="47">
        <f>'Detailed Results'!N179</f>
        <v>27</v>
      </c>
      <c r="AA179" s="48">
        <f t="shared" si="30"/>
        <v>1</v>
      </c>
      <c r="AB179" s="48">
        <f t="shared" si="35"/>
        <v>0.71052631578947367</v>
      </c>
      <c r="AC179" s="48">
        <f t="shared" si="31"/>
        <v>0.83076923076923082</v>
      </c>
    </row>
    <row r="180" spans="1:29" ht="15" customHeight="1" thickBot="1" x14ac:dyDescent="0.4">
      <c r="A180" s="185"/>
      <c r="B180" s="7" t="s">
        <v>15</v>
      </c>
      <c r="C180" s="8" t="s">
        <v>20</v>
      </c>
      <c r="D180" s="8">
        <v>1</v>
      </c>
      <c r="E180" s="7" t="s">
        <v>17</v>
      </c>
      <c r="F180" s="40">
        <f>'GT Input'!C7</f>
        <v>7</v>
      </c>
      <c r="G180" s="40">
        <f>'GT Input'!D7</f>
        <v>38</v>
      </c>
      <c r="H180" s="40">
        <f>'GT Input'!E7</f>
        <v>7</v>
      </c>
      <c r="I180" s="40">
        <f>'GT Input'!F7</f>
        <v>38</v>
      </c>
      <c r="J180" s="41">
        <f>'Detailed Results'!G180</f>
        <v>7</v>
      </c>
      <c r="K180" s="41">
        <f>'Detailed Results'!H180</f>
        <v>7</v>
      </c>
      <c r="L180" s="42">
        <f t="shared" si="24"/>
        <v>1</v>
      </c>
      <c r="M180" s="42">
        <f t="shared" si="32"/>
        <v>1</v>
      </c>
      <c r="N180" s="42">
        <f t="shared" si="25"/>
        <v>1</v>
      </c>
      <c r="O180" s="43">
        <f>'Detailed Results'!I180</f>
        <v>27</v>
      </c>
      <c r="P180" s="43">
        <f>'Detailed Results'!J180</f>
        <v>27</v>
      </c>
      <c r="Q180" s="44">
        <f t="shared" si="26"/>
        <v>1</v>
      </c>
      <c r="R180" s="44">
        <f t="shared" si="33"/>
        <v>0.71052631578947367</v>
      </c>
      <c r="S180" s="44">
        <f t="shared" si="27"/>
        <v>0.83076923076923082</v>
      </c>
      <c r="T180" s="45">
        <f>'Detailed Results'!K180</f>
        <v>7</v>
      </c>
      <c r="U180" s="45">
        <f>'Detailed Results'!L180</f>
        <v>7</v>
      </c>
      <c r="V180" s="46">
        <f t="shared" si="28"/>
        <v>1</v>
      </c>
      <c r="W180" s="46">
        <f t="shared" si="34"/>
        <v>1</v>
      </c>
      <c r="X180" s="46">
        <f t="shared" si="29"/>
        <v>1</v>
      </c>
      <c r="Y180" s="47">
        <f>'Detailed Results'!M180</f>
        <v>27</v>
      </c>
      <c r="Z180" s="47">
        <f>'Detailed Results'!N180</f>
        <v>27</v>
      </c>
      <c r="AA180" s="48">
        <f t="shared" si="30"/>
        <v>1</v>
      </c>
      <c r="AB180" s="48">
        <f t="shared" si="35"/>
        <v>0.71052631578947367</v>
      </c>
      <c r="AC180" s="48">
        <f t="shared" si="31"/>
        <v>0.83076923076923082</v>
      </c>
    </row>
    <row r="181" spans="1:29" ht="15" customHeight="1" thickBot="1" x14ac:dyDescent="0.4">
      <c r="A181" s="185"/>
      <c r="B181" s="7" t="s">
        <v>15</v>
      </c>
      <c r="C181" s="8" t="s">
        <v>20</v>
      </c>
      <c r="D181" s="8">
        <v>1</v>
      </c>
      <c r="E181" s="7" t="s">
        <v>109</v>
      </c>
      <c r="F181" s="40">
        <f>'GT Input'!C7</f>
        <v>7</v>
      </c>
      <c r="G181" s="40">
        <f>'GT Input'!D7</f>
        <v>38</v>
      </c>
      <c r="H181" s="40">
        <f>'GT Input'!E7</f>
        <v>7</v>
      </c>
      <c r="I181" s="40">
        <f>'GT Input'!F7</f>
        <v>38</v>
      </c>
      <c r="J181" s="41">
        <f>'Detailed Results'!G181</f>
        <v>7</v>
      </c>
      <c r="K181" s="41">
        <f>'Detailed Results'!H181</f>
        <v>7</v>
      </c>
      <c r="L181" s="42">
        <f t="shared" si="24"/>
        <v>1</v>
      </c>
      <c r="M181" s="42">
        <f t="shared" si="32"/>
        <v>1</v>
      </c>
      <c r="N181" s="42">
        <f t="shared" si="25"/>
        <v>1</v>
      </c>
      <c r="O181" s="43">
        <f>'Detailed Results'!I181</f>
        <v>18</v>
      </c>
      <c r="P181" s="43">
        <f>'Detailed Results'!J181</f>
        <v>18</v>
      </c>
      <c r="Q181" s="44">
        <f t="shared" si="26"/>
        <v>1</v>
      </c>
      <c r="R181" s="44">
        <f t="shared" si="33"/>
        <v>0.47368421052631576</v>
      </c>
      <c r="S181" s="44">
        <f t="shared" si="27"/>
        <v>0.6428571428571429</v>
      </c>
      <c r="T181" s="45">
        <f>'Detailed Results'!K181</f>
        <v>7</v>
      </c>
      <c r="U181" s="45">
        <f>'Detailed Results'!L181</f>
        <v>7</v>
      </c>
      <c r="V181" s="46">
        <f t="shared" si="28"/>
        <v>1</v>
      </c>
      <c r="W181" s="46">
        <f t="shared" si="34"/>
        <v>1</v>
      </c>
      <c r="X181" s="46">
        <f t="shared" si="29"/>
        <v>1</v>
      </c>
      <c r="Y181" s="47">
        <f>'Detailed Results'!M181</f>
        <v>18</v>
      </c>
      <c r="Z181" s="47">
        <f>'Detailed Results'!N181</f>
        <v>18</v>
      </c>
      <c r="AA181" s="48">
        <f t="shared" si="30"/>
        <v>1</v>
      </c>
      <c r="AB181" s="48">
        <f t="shared" si="35"/>
        <v>0.47368421052631576</v>
      </c>
      <c r="AC181" s="48">
        <f t="shared" si="31"/>
        <v>0.6428571428571429</v>
      </c>
    </row>
    <row r="182" spans="1:29" ht="15" customHeight="1" thickBot="1" x14ac:dyDescent="0.4">
      <c r="A182" s="185"/>
      <c r="B182" s="10" t="s">
        <v>15</v>
      </c>
      <c r="C182" s="11" t="s">
        <v>20</v>
      </c>
      <c r="D182" s="11">
        <v>2</v>
      </c>
      <c r="E182" s="10" t="s">
        <v>17</v>
      </c>
      <c r="F182" s="40">
        <f>'GT Input'!C7</f>
        <v>7</v>
      </c>
      <c r="G182" s="40">
        <f>'GT Input'!D7</f>
        <v>38</v>
      </c>
      <c r="H182" s="40">
        <f>'GT Input'!E7</f>
        <v>7</v>
      </c>
      <c r="I182" s="40">
        <f>'GT Input'!F7</f>
        <v>38</v>
      </c>
      <c r="J182" s="41">
        <f>'Detailed Results'!G182</f>
        <v>7</v>
      </c>
      <c r="K182" s="41">
        <f>'Detailed Results'!H182</f>
        <v>7</v>
      </c>
      <c r="L182" s="42">
        <f t="shared" si="24"/>
        <v>1</v>
      </c>
      <c r="M182" s="42">
        <f t="shared" si="32"/>
        <v>1</v>
      </c>
      <c r="N182" s="42">
        <f t="shared" si="25"/>
        <v>1</v>
      </c>
      <c r="O182" s="43">
        <f>'Detailed Results'!I182</f>
        <v>27</v>
      </c>
      <c r="P182" s="43">
        <f>'Detailed Results'!J182</f>
        <v>27</v>
      </c>
      <c r="Q182" s="44">
        <f t="shared" si="26"/>
        <v>1</v>
      </c>
      <c r="R182" s="44">
        <f t="shared" si="33"/>
        <v>0.71052631578947367</v>
      </c>
      <c r="S182" s="44">
        <f t="shared" si="27"/>
        <v>0.83076923076923082</v>
      </c>
      <c r="T182" s="45">
        <f>'Detailed Results'!K182</f>
        <v>7</v>
      </c>
      <c r="U182" s="45">
        <f>'Detailed Results'!L182</f>
        <v>7</v>
      </c>
      <c r="V182" s="46">
        <f t="shared" si="28"/>
        <v>1</v>
      </c>
      <c r="W182" s="46">
        <f t="shared" si="34"/>
        <v>1</v>
      </c>
      <c r="X182" s="46">
        <f t="shared" si="29"/>
        <v>1</v>
      </c>
      <c r="Y182" s="47">
        <f>'Detailed Results'!M182</f>
        <v>27</v>
      </c>
      <c r="Z182" s="47">
        <f>'Detailed Results'!N182</f>
        <v>27</v>
      </c>
      <c r="AA182" s="48">
        <f t="shared" si="30"/>
        <v>1</v>
      </c>
      <c r="AB182" s="48">
        <f t="shared" si="35"/>
        <v>0.71052631578947367</v>
      </c>
      <c r="AC182" s="48">
        <f t="shared" si="31"/>
        <v>0.83076923076923082</v>
      </c>
    </row>
    <row r="183" spans="1:29" ht="15" customHeight="1" thickBot="1" x14ac:dyDescent="0.4">
      <c r="A183" s="185"/>
      <c r="B183" s="10" t="s">
        <v>15</v>
      </c>
      <c r="C183" s="11" t="s">
        <v>20</v>
      </c>
      <c r="D183" s="11">
        <v>2</v>
      </c>
      <c r="E183" s="10" t="s">
        <v>109</v>
      </c>
      <c r="F183" s="40">
        <f>'GT Input'!C7</f>
        <v>7</v>
      </c>
      <c r="G183" s="40">
        <f>'GT Input'!D7</f>
        <v>38</v>
      </c>
      <c r="H183" s="40">
        <f>'GT Input'!E7</f>
        <v>7</v>
      </c>
      <c r="I183" s="40">
        <f>'GT Input'!F7</f>
        <v>38</v>
      </c>
      <c r="J183" s="41">
        <f>'Detailed Results'!G183</f>
        <v>7</v>
      </c>
      <c r="K183" s="41">
        <f>'Detailed Results'!H183</f>
        <v>7</v>
      </c>
      <c r="L183" s="42">
        <f t="shared" si="24"/>
        <v>1</v>
      </c>
      <c r="M183" s="42">
        <f t="shared" si="32"/>
        <v>1</v>
      </c>
      <c r="N183" s="42">
        <f t="shared" si="25"/>
        <v>1</v>
      </c>
      <c r="O183" s="43">
        <f>'Detailed Results'!I183</f>
        <v>25</v>
      </c>
      <c r="P183" s="43">
        <f>'Detailed Results'!J183</f>
        <v>25</v>
      </c>
      <c r="Q183" s="44">
        <f t="shared" si="26"/>
        <v>1</v>
      </c>
      <c r="R183" s="44">
        <f t="shared" si="33"/>
        <v>0.65789473684210531</v>
      </c>
      <c r="S183" s="44">
        <f t="shared" si="27"/>
        <v>0.79365079365079372</v>
      </c>
      <c r="T183" s="45">
        <f>'Detailed Results'!K183</f>
        <v>7</v>
      </c>
      <c r="U183" s="45">
        <f>'Detailed Results'!L183</f>
        <v>7</v>
      </c>
      <c r="V183" s="46">
        <f t="shared" si="28"/>
        <v>1</v>
      </c>
      <c r="W183" s="46">
        <f t="shared" si="34"/>
        <v>1</v>
      </c>
      <c r="X183" s="46">
        <f t="shared" si="29"/>
        <v>1</v>
      </c>
      <c r="Y183" s="47">
        <f>'Detailed Results'!M183</f>
        <v>25</v>
      </c>
      <c r="Z183" s="47">
        <f>'Detailed Results'!N183</f>
        <v>25</v>
      </c>
      <c r="AA183" s="48">
        <f t="shared" si="30"/>
        <v>1</v>
      </c>
      <c r="AB183" s="48">
        <f t="shared" si="35"/>
        <v>0.65789473684210531</v>
      </c>
      <c r="AC183" s="48">
        <f t="shared" si="31"/>
        <v>0.79365079365079372</v>
      </c>
    </row>
    <row r="184" spans="1:29" ht="15" customHeight="1" thickBot="1" x14ac:dyDescent="0.4">
      <c r="A184" s="185"/>
      <c r="B184" s="7" t="s">
        <v>15</v>
      </c>
      <c r="C184" s="8" t="s">
        <v>20</v>
      </c>
      <c r="D184" s="8">
        <v>3</v>
      </c>
      <c r="E184" s="7" t="s">
        <v>17</v>
      </c>
      <c r="F184" s="40">
        <f>'GT Input'!C7</f>
        <v>7</v>
      </c>
      <c r="G184" s="40">
        <f>'GT Input'!D7</f>
        <v>38</v>
      </c>
      <c r="H184" s="40">
        <f>'GT Input'!E7</f>
        <v>7</v>
      </c>
      <c r="I184" s="40">
        <f>'GT Input'!F7</f>
        <v>38</v>
      </c>
      <c r="J184" s="41">
        <f>'Detailed Results'!G184</f>
        <v>7</v>
      </c>
      <c r="K184" s="41">
        <f>'Detailed Results'!H184</f>
        <v>7</v>
      </c>
      <c r="L184" s="42">
        <f t="shared" si="24"/>
        <v>1</v>
      </c>
      <c r="M184" s="42">
        <f t="shared" si="32"/>
        <v>1</v>
      </c>
      <c r="N184" s="42">
        <f t="shared" si="25"/>
        <v>1</v>
      </c>
      <c r="O184" s="43">
        <f>'Detailed Results'!I184</f>
        <v>27</v>
      </c>
      <c r="P184" s="43">
        <f>'Detailed Results'!J184</f>
        <v>27</v>
      </c>
      <c r="Q184" s="44">
        <f t="shared" si="26"/>
        <v>1</v>
      </c>
      <c r="R184" s="44">
        <f t="shared" si="33"/>
        <v>0.71052631578947367</v>
      </c>
      <c r="S184" s="44">
        <f t="shared" si="27"/>
        <v>0.83076923076923082</v>
      </c>
      <c r="T184" s="45">
        <f>'Detailed Results'!K184</f>
        <v>7</v>
      </c>
      <c r="U184" s="45">
        <f>'Detailed Results'!L184</f>
        <v>7</v>
      </c>
      <c r="V184" s="46">
        <f t="shared" si="28"/>
        <v>1</v>
      </c>
      <c r="W184" s="46">
        <f t="shared" si="34"/>
        <v>1</v>
      </c>
      <c r="X184" s="46">
        <f t="shared" si="29"/>
        <v>1</v>
      </c>
      <c r="Y184" s="47">
        <f>'Detailed Results'!M184</f>
        <v>27</v>
      </c>
      <c r="Z184" s="47">
        <f>'Detailed Results'!N184</f>
        <v>27</v>
      </c>
      <c r="AA184" s="48">
        <f t="shared" si="30"/>
        <v>1</v>
      </c>
      <c r="AB184" s="48">
        <f t="shared" si="35"/>
        <v>0.71052631578947367</v>
      </c>
      <c r="AC184" s="48">
        <f t="shared" si="31"/>
        <v>0.83076923076923082</v>
      </c>
    </row>
    <row r="185" spans="1:29" ht="15" customHeight="1" thickBot="1" x14ac:dyDescent="0.4">
      <c r="A185" s="185"/>
      <c r="B185" s="7" t="s">
        <v>15</v>
      </c>
      <c r="C185" s="8" t="s">
        <v>20</v>
      </c>
      <c r="D185" s="8">
        <v>3</v>
      </c>
      <c r="E185" s="7" t="s">
        <v>109</v>
      </c>
      <c r="F185" s="40">
        <f>'GT Input'!C7</f>
        <v>7</v>
      </c>
      <c r="G185" s="40">
        <f>'GT Input'!D7</f>
        <v>38</v>
      </c>
      <c r="H185" s="40">
        <f>'GT Input'!E7</f>
        <v>7</v>
      </c>
      <c r="I185" s="40">
        <f>'GT Input'!F7</f>
        <v>38</v>
      </c>
      <c r="J185" s="41">
        <f>'Detailed Results'!G185</f>
        <v>7</v>
      </c>
      <c r="K185" s="41">
        <f>'Detailed Results'!H185</f>
        <v>7</v>
      </c>
      <c r="L185" s="42">
        <f t="shared" si="24"/>
        <v>1</v>
      </c>
      <c r="M185" s="42">
        <f t="shared" si="32"/>
        <v>1</v>
      </c>
      <c r="N185" s="42">
        <f t="shared" si="25"/>
        <v>1</v>
      </c>
      <c r="O185" s="43">
        <f>'Detailed Results'!I185</f>
        <v>18</v>
      </c>
      <c r="P185" s="43">
        <f>'Detailed Results'!J185</f>
        <v>18</v>
      </c>
      <c r="Q185" s="44">
        <f t="shared" si="26"/>
        <v>1</v>
      </c>
      <c r="R185" s="44">
        <f t="shared" si="33"/>
        <v>0.47368421052631576</v>
      </c>
      <c r="S185" s="44">
        <f t="shared" si="27"/>
        <v>0.6428571428571429</v>
      </c>
      <c r="T185" s="45">
        <f>'Detailed Results'!K185</f>
        <v>7</v>
      </c>
      <c r="U185" s="45">
        <f>'Detailed Results'!L185</f>
        <v>7</v>
      </c>
      <c r="V185" s="46">
        <f t="shared" si="28"/>
        <v>1</v>
      </c>
      <c r="W185" s="46">
        <f t="shared" si="34"/>
        <v>1</v>
      </c>
      <c r="X185" s="46">
        <f t="shared" si="29"/>
        <v>1</v>
      </c>
      <c r="Y185" s="47">
        <f>'Detailed Results'!M185</f>
        <v>18</v>
      </c>
      <c r="Z185" s="47">
        <f>'Detailed Results'!N185</f>
        <v>18</v>
      </c>
      <c r="AA185" s="48">
        <f t="shared" si="30"/>
        <v>1</v>
      </c>
      <c r="AB185" s="48">
        <f t="shared" si="35"/>
        <v>0.47368421052631576</v>
      </c>
      <c r="AC185" s="48">
        <f t="shared" si="31"/>
        <v>0.6428571428571429</v>
      </c>
    </row>
    <row r="186" spans="1:29" ht="15" customHeight="1" thickBot="1" x14ac:dyDescent="0.4">
      <c r="A186" s="185"/>
      <c r="B186" s="12" t="s">
        <v>21</v>
      </c>
      <c r="C186" s="13" t="s">
        <v>16</v>
      </c>
      <c r="D186" s="13">
        <v>1</v>
      </c>
      <c r="E186" s="12" t="s">
        <v>17</v>
      </c>
      <c r="F186" s="40">
        <f>'GT Input'!C7</f>
        <v>7</v>
      </c>
      <c r="G186" s="40">
        <f>'GT Input'!D7</f>
        <v>38</v>
      </c>
      <c r="H186" s="40">
        <f>'GT Input'!E7</f>
        <v>7</v>
      </c>
      <c r="I186" s="40">
        <f>'GT Input'!F7</f>
        <v>38</v>
      </c>
      <c r="J186" s="41">
        <f>'Detailed Results'!G186</f>
        <v>7</v>
      </c>
      <c r="K186" s="41">
        <f>'Detailed Results'!H186</f>
        <v>7</v>
      </c>
      <c r="L186" s="42">
        <f t="shared" si="24"/>
        <v>1</v>
      </c>
      <c r="M186" s="42">
        <f t="shared" si="32"/>
        <v>1</v>
      </c>
      <c r="N186" s="42">
        <f t="shared" si="25"/>
        <v>1</v>
      </c>
      <c r="O186" s="43">
        <f>'Detailed Results'!I186</f>
        <v>18</v>
      </c>
      <c r="P186" s="43">
        <f>'Detailed Results'!J186</f>
        <v>18</v>
      </c>
      <c r="Q186" s="44">
        <f t="shared" si="26"/>
        <v>1</v>
      </c>
      <c r="R186" s="44">
        <f t="shared" si="33"/>
        <v>0.47368421052631576</v>
      </c>
      <c r="S186" s="44">
        <f t="shared" si="27"/>
        <v>0.6428571428571429</v>
      </c>
      <c r="T186" s="45">
        <f>'Detailed Results'!K186</f>
        <v>7</v>
      </c>
      <c r="U186" s="45">
        <f>'Detailed Results'!L186</f>
        <v>7</v>
      </c>
      <c r="V186" s="46">
        <f t="shared" si="28"/>
        <v>1</v>
      </c>
      <c r="W186" s="46">
        <f t="shared" si="34"/>
        <v>1</v>
      </c>
      <c r="X186" s="46">
        <f t="shared" si="29"/>
        <v>1</v>
      </c>
      <c r="Y186" s="47">
        <f>'Detailed Results'!M186</f>
        <v>18</v>
      </c>
      <c r="Z186" s="47">
        <f>'Detailed Results'!N186</f>
        <v>18</v>
      </c>
      <c r="AA186" s="48">
        <f t="shared" si="30"/>
        <v>1</v>
      </c>
      <c r="AB186" s="48">
        <f t="shared" si="35"/>
        <v>0.47368421052631576</v>
      </c>
      <c r="AC186" s="48">
        <f t="shared" si="31"/>
        <v>0.6428571428571429</v>
      </c>
    </row>
    <row r="187" spans="1:29" ht="15" customHeight="1" thickBot="1" x14ac:dyDescent="0.4">
      <c r="A187" s="185"/>
      <c r="B187" s="12" t="s">
        <v>21</v>
      </c>
      <c r="C187" s="13" t="s">
        <v>16</v>
      </c>
      <c r="D187" s="13">
        <v>1</v>
      </c>
      <c r="E187" s="12" t="s">
        <v>109</v>
      </c>
      <c r="F187" s="40">
        <f>'GT Input'!C7</f>
        <v>7</v>
      </c>
      <c r="G187" s="40">
        <f>'GT Input'!D7</f>
        <v>38</v>
      </c>
      <c r="H187" s="40">
        <f>'GT Input'!E7</f>
        <v>7</v>
      </c>
      <c r="I187" s="40">
        <f>'GT Input'!F7</f>
        <v>38</v>
      </c>
      <c r="J187" s="41">
        <f>'Detailed Results'!G187</f>
        <v>7</v>
      </c>
      <c r="K187" s="41">
        <f>'Detailed Results'!H187</f>
        <v>7</v>
      </c>
      <c r="L187" s="42">
        <f t="shared" si="24"/>
        <v>1</v>
      </c>
      <c r="M187" s="42">
        <f t="shared" si="32"/>
        <v>1</v>
      </c>
      <c r="N187" s="42">
        <f t="shared" si="25"/>
        <v>1</v>
      </c>
      <c r="O187" s="43">
        <f>'Detailed Results'!I187</f>
        <v>18</v>
      </c>
      <c r="P187" s="43">
        <f>'Detailed Results'!J187</f>
        <v>18</v>
      </c>
      <c r="Q187" s="44">
        <f t="shared" si="26"/>
        <v>1</v>
      </c>
      <c r="R187" s="44">
        <f t="shared" si="33"/>
        <v>0.47368421052631576</v>
      </c>
      <c r="S187" s="44">
        <f t="shared" si="27"/>
        <v>0.6428571428571429</v>
      </c>
      <c r="T187" s="45">
        <f>'Detailed Results'!K187</f>
        <v>7</v>
      </c>
      <c r="U187" s="45">
        <f>'Detailed Results'!L187</f>
        <v>7</v>
      </c>
      <c r="V187" s="46">
        <f t="shared" si="28"/>
        <v>1</v>
      </c>
      <c r="W187" s="46">
        <f t="shared" si="34"/>
        <v>1</v>
      </c>
      <c r="X187" s="46">
        <f t="shared" si="29"/>
        <v>1</v>
      </c>
      <c r="Y187" s="47">
        <f>'Detailed Results'!M187</f>
        <v>18</v>
      </c>
      <c r="Z187" s="47">
        <f>'Detailed Results'!N187</f>
        <v>18</v>
      </c>
      <c r="AA187" s="48">
        <f t="shared" si="30"/>
        <v>1</v>
      </c>
      <c r="AB187" s="48">
        <f t="shared" si="35"/>
        <v>0.47368421052631576</v>
      </c>
      <c r="AC187" s="48">
        <f t="shared" si="31"/>
        <v>0.6428571428571429</v>
      </c>
    </row>
    <row r="188" spans="1:29" ht="15" customHeight="1" thickBot="1" x14ac:dyDescent="0.4">
      <c r="A188" s="185"/>
      <c r="B188" s="14" t="s">
        <v>21</v>
      </c>
      <c r="C188" s="15" t="s">
        <v>16</v>
      </c>
      <c r="D188" s="15">
        <v>2</v>
      </c>
      <c r="E188" s="14" t="s">
        <v>17</v>
      </c>
      <c r="F188" s="40">
        <f>'GT Input'!C7</f>
        <v>7</v>
      </c>
      <c r="G188" s="40">
        <f>'GT Input'!D7</f>
        <v>38</v>
      </c>
      <c r="H188" s="40">
        <f>'GT Input'!E7</f>
        <v>7</v>
      </c>
      <c r="I188" s="40">
        <f>'GT Input'!F7</f>
        <v>38</v>
      </c>
      <c r="J188" s="41">
        <f>'Detailed Results'!G188</f>
        <v>7</v>
      </c>
      <c r="K188" s="41">
        <f>'Detailed Results'!H188</f>
        <v>7</v>
      </c>
      <c r="L188" s="42">
        <f t="shared" si="24"/>
        <v>1</v>
      </c>
      <c r="M188" s="42">
        <f t="shared" si="32"/>
        <v>1</v>
      </c>
      <c r="N188" s="42">
        <f t="shared" si="25"/>
        <v>1</v>
      </c>
      <c r="O188" s="43">
        <f>'Detailed Results'!I188</f>
        <v>18</v>
      </c>
      <c r="P188" s="43">
        <f>'Detailed Results'!J188</f>
        <v>18</v>
      </c>
      <c r="Q188" s="44">
        <f t="shared" si="26"/>
        <v>1</v>
      </c>
      <c r="R188" s="44">
        <f t="shared" si="33"/>
        <v>0.47368421052631576</v>
      </c>
      <c r="S188" s="44">
        <f t="shared" si="27"/>
        <v>0.6428571428571429</v>
      </c>
      <c r="T188" s="45">
        <f>'Detailed Results'!K188</f>
        <v>7</v>
      </c>
      <c r="U188" s="45">
        <f>'Detailed Results'!L188</f>
        <v>7</v>
      </c>
      <c r="V188" s="46">
        <f t="shared" si="28"/>
        <v>1</v>
      </c>
      <c r="W188" s="46">
        <f t="shared" si="34"/>
        <v>1</v>
      </c>
      <c r="X188" s="46">
        <f t="shared" si="29"/>
        <v>1</v>
      </c>
      <c r="Y188" s="47">
        <f>'Detailed Results'!M188</f>
        <v>18</v>
      </c>
      <c r="Z188" s="47">
        <f>'Detailed Results'!N188</f>
        <v>18</v>
      </c>
      <c r="AA188" s="48">
        <f t="shared" si="30"/>
        <v>1</v>
      </c>
      <c r="AB188" s="48">
        <f t="shared" si="35"/>
        <v>0.47368421052631576</v>
      </c>
      <c r="AC188" s="48">
        <f t="shared" si="31"/>
        <v>0.6428571428571429</v>
      </c>
    </row>
    <row r="189" spans="1:29" ht="15" customHeight="1" thickBot="1" x14ac:dyDescent="0.4">
      <c r="A189" s="185"/>
      <c r="B189" s="14" t="s">
        <v>21</v>
      </c>
      <c r="C189" s="15" t="s">
        <v>16</v>
      </c>
      <c r="D189" s="15">
        <v>2</v>
      </c>
      <c r="E189" s="14" t="s">
        <v>109</v>
      </c>
      <c r="F189" s="40">
        <f>'GT Input'!C7</f>
        <v>7</v>
      </c>
      <c r="G189" s="40">
        <f>'GT Input'!D7</f>
        <v>38</v>
      </c>
      <c r="H189" s="40">
        <f>'GT Input'!E7</f>
        <v>7</v>
      </c>
      <c r="I189" s="40">
        <f>'GT Input'!F7</f>
        <v>38</v>
      </c>
      <c r="J189" s="41">
        <f>'Detailed Results'!G189</f>
        <v>7</v>
      </c>
      <c r="K189" s="41">
        <f>'Detailed Results'!H189</f>
        <v>7</v>
      </c>
      <c r="L189" s="42">
        <f t="shared" si="24"/>
        <v>1</v>
      </c>
      <c r="M189" s="42">
        <f t="shared" si="32"/>
        <v>1</v>
      </c>
      <c r="N189" s="42">
        <f t="shared" si="25"/>
        <v>1</v>
      </c>
      <c r="O189" s="43">
        <f>'Detailed Results'!I189</f>
        <v>17</v>
      </c>
      <c r="P189" s="43">
        <f>'Detailed Results'!J189</f>
        <v>17</v>
      </c>
      <c r="Q189" s="44">
        <f t="shared" si="26"/>
        <v>1</v>
      </c>
      <c r="R189" s="44">
        <f t="shared" si="33"/>
        <v>0.44736842105263158</v>
      </c>
      <c r="S189" s="44">
        <f t="shared" si="27"/>
        <v>0.61818181818181817</v>
      </c>
      <c r="T189" s="45">
        <f>'Detailed Results'!K189</f>
        <v>7</v>
      </c>
      <c r="U189" s="45">
        <f>'Detailed Results'!L189</f>
        <v>7</v>
      </c>
      <c r="V189" s="46">
        <f t="shared" si="28"/>
        <v>1</v>
      </c>
      <c r="W189" s="46">
        <f t="shared" si="34"/>
        <v>1</v>
      </c>
      <c r="X189" s="46">
        <f t="shared" si="29"/>
        <v>1</v>
      </c>
      <c r="Y189" s="47">
        <f>'Detailed Results'!M189</f>
        <v>17</v>
      </c>
      <c r="Z189" s="47">
        <f>'Detailed Results'!N189</f>
        <v>17</v>
      </c>
      <c r="AA189" s="48">
        <f t="shared" si="30"/>
        <v>1</v>
      </c>
      <c r="AB189" s="48">
        <f t="shared" si="35"/>
        <v>0.44736842105263158</v>
      </c>
      <c r="AC189" s="48">
        <f t="shared" si="31"/>
        <v>0.61818181818181817</v>
      </c>
    </row>
    <row r="190" spans="1:29" ht="15" customHeight="1" thickBot="1" x14ac:dyDescent="0.4">
      <c r="A190" s="185"/>
      <c r="B190" s="12" t="s">
        <v>21</v>
      </c>
      <c r="C190" s="13" t="s">
        <v>16</v>
      </c>
      <c r="D190" s="13">
        <v>3</v>
      </c>
      <c r="E190" s="12" t="s">
        <v>17</v>
      </c>
      <c r="F190" s="40">
        <f>'GT Input'!C7</f>
        <v>7</v>
      </c>
      <c r="G190" s="40">
        <f>'GT Input'!D7</f>
        <v>38</v>
      </c>
      <c r="H190" s="40">
        <f>'GT Input'!E7</f>
        <v>7</v>
      </c>
      <c r="I190" s="40">
        <f>'GT Input'!F7</f>
        <v>38</v>
      </c>
      <c r="J190" s="41">
        <f>'Detailed Results'!G190</f>
        <v>7</v>
      </c>
      <c r="K190" s="41">
        <f>'Detailed Results'!H190</f>
        <v>7</v>
      </c>
      <c r="L190" s="42">
        <f t="shared" si="24"/>
        <v>1</v>
      </c>
      <c r="M190" s="42">
        <f t="shared" si="32"/>
        <v>1</v>
      </c>
      <c r="N190" s="42">
        <f t="shared" si="25"/>
        <v>1</v>
      </c>
      <c r="O190" s="43">
        <f>'Detailed Results'!I190</f>
        <v>18</v>
      </c>
      <c r="P190" s="43">
        <f>'Detailed Results'!J190</f>
        <v>18</v>
      </c>
      <c r="Q190" s="44">
        <f t="shared" si="26"/>
        <v>1</v>
      </c>
      <c r="R190" s="44">
        <f t="shared" si="33"/>
        <v>0.47368421052631576</v>
      </c>
      <c r="S190" s="44">
        <f t="shared" si="27"/>
        <v>0.6428571428571429</v>
      </c>
      <c r="T190" s="45">
        <f>'Detailed Results'!K190</f>
        <v>7</v>
      </c>
      <c r="U190" s="45">
        <f>'Detailed Results'!L190</f>
        <v>7</v>
      </c>
      <c r="V190" s="46">
        <f t="shared" si="28"/>
        <v>1</v>
      </c>
      <c r="W190" s="46">
        <f t="shared" si="34"/>
        <v>1</v>
      </c>
      <c r="X190" s="46">
        <f t="shared" si="29"/>
        <v>1</v>
      </c>
      <c r="Y190" s="47">
        <f>'Detailed Results'!M190</f>
        <v>18</v>
      </c>
      <c r="Z190" s="47">
        <f>'Detailed Results'!N190</f>
        <v>18</v>
      </c>
      <c r="AA190" s="48">
        <f t="shared" si="30"/>
        <v>1</v>
      </c>
      <c r="AB190" s="48">
        <f t="shared" si="35"/>
        <v>0.47368421052631576</v>
      </c>
      <c r="AC190" s="48">
        <f t="shared" si="31"/>
        <v>0.6428571428571429</v>
      </c>
    </row>
    <row r="191" spans="1:29" ht="15" customHeight="1" thickBot="1" x14ac:dyDescent="0.4">
      <c r="A191" s="185"/>
      <c r="B191" s="12" t="s">
        <v>21</v>
      </c>
      <c r="C191" s="13" t="s">
        <v>16</v>
      </c>
      <c r="D191" s="13">
        <v>3</v>
      </c>
      <c r="E191" s="12" t="s">
        <v>109</v>
      </c>
      <c r="F191" s="40">
        <f>'GT Input'!C7</f>
        <v>7</v>
      </c>
      <c r="G191" s="40">
        <f>'GT Input'!D7</f>
        <v>38</v>
      </c>
      <c r="H191" s="40">
        <f>'GT Input'!E7</f>
        <v>7</v>
      </c>
      <c r="I191" s="40">
        <f>'GT Input'!F7</f>
        <v>38</v>
      </c>
      <c r="J191" s="41">
        <f>'Detailed Results'!G191</f>
        <v>7</v>
      </c>
      <c r="K191" s="41">
        <f>'Detailed Results'!H191</f>
        <v>7</v>
      </c>
      <c r="L191" s="42">
        <f t="shared" si="24"/>
        <v>1</v>
      </c>
      <c r="M191" s="42">
        <f t="shared" si="32"/>
        <v>1</v>
      </c>
      <c r="N191" s="42">
        <f t="shared" si="25"/>
        <v>1</v>
      </c>
      <c r="O191" s="43">
        <f>'Detailed Results'!I191</f>
        <v>17</v>
      </c>
      <c r="P191" s="43">
        <f>'Detailed Results'!J191</f>
        <v>17</v>
      </c>
      <c r="Q191" s="44">
        <f t="shared" si="26"/>
        <v>1</v>
      </c>
      <c r="R191" s="44">
        <f t="shared" si="33"/>
        <v>0.44736842105263158</v>
      </c>
      <c r="S191" s="44">
        <f t="shared" si="27"/>
        <v>0.61818181818181817</v>
      </c>
      <c r="T191" s="45">
        <f>'Detailed Results'!K191</f>
        <v>7</v>
      </c>
      <c r="U191" s="45">
        <f>'Detailed Results'!L191</f>
        <v>7</v>
      </c>
      <c r="V191" s="46">
        <f t="shared" si="28"/>
        <v>1</v>
      </c>
      <c r="W191" s="46">
        <f t="shared" si="34"/>
        <v>1</v>
      </c>
      <c r="X191" s="46">
        <f t="shared" si="29"/>
        <v>1</v>
      </c>
      <c r="Y191" s="47">
        <f>'Detailed Results'!M191</f>
        <v>17</v>
      </c>
      <c r="Z191" s="47">
        <f>'Detailed Results'!N191</f>
        <v>17</v>
      </c>
      <c r="AA191" s="48">
        <f t="shared" si="30"/>
        <v>1</v>
      </c>
      <c r="AB191" s="48">
        <f t="shared" si="35"/>
        <v>0.44736842105263158</v>
      </c>
      <c r="AC191" s="48">
        <f t="shared" si="31"/>
        <v>0.61818181818181817</v>
      </c>
    </row>
    <row r="192" spans="1:29" ht="15" customHeight="1" thickBot="1" x14ac:dyDescent="0.4">
      <c r="A192" s="185"/>
      <c r="B192" s="14" t="s">
        <v>21</v>
      </c>
      <c r="C192" s="15" t="s">
        <v>19</v>
      </c>
      <c r="D192" s="15">
        <v>1</v>
      </c>
      <c r="E192" s="14" t="s">
        <v>17</v>
      </c>
      <c r="F192" s="40">
        <f>'GT Input'!C7</f>
        <v>7</v>
      </c>
      <c r="G192" s="40">
        <f>'GT Input'!D7</f>
        <v>38</v>
      </c>
      <c r="H192" s="40">
        <f>'GT Input'!E7</f>
        <v>7</v>
      </c>
      <c r="I192" s="40">
        <f>'GT Input'!F7</f>
        <v>38</v>
      </c>
      <c r="J192" s="41">
        <f>'Detailed Results'!G192</f>
        <v>7</v>
      </c>
      <c r="K192" s="41">
        <f>'Detailed Results'!H192</f>
        <v>7</v>
      </c>
      <c r="L192" s="42">
        <f t="shared" si="24"/>
        <v>1</v>
      </c>
      <c r="M192" s="42">
        <f t="shared" si="32"/>
        <v>1</v>
      </c>
      <c r="N192" s="42">
        <f t="shared" si="25"/>
        <v>1</v>
      </c>
      <c r="O192" s="43">
        <f>'Detailed Results'!I192</f>
        <v>18</v>
      </c>
      <c r="P192" s="43">
        <f>'Detailed Results'!J192</f>
        <v>18</v>
      </c>
      <c r="Q192" s="44">
        <f t="shared" si="26"/>
        <v>1</v>
      </c>
      <c r="R192" s="44">
        <f t="shared" si="33"/>
        <v>0.47368421052631576</v>
      </c>
      <c r="S192" s="44">
        <f t="shared" si="27"/>
        <v>0.6428571428571429</v>
      </c>
      <c r="T192" s="45">
        <f>'Detailed Results'!K192</f>
        <v>7</v>
      </c>
      <c r="U192" s="45">
        <f>'Detailed Results'!L192</f>
        <v>7</v>
      </c>
      <c r="V192" s="46">
        <f t="shared" si="28"/>
        <v>1</v>
      </c>
      <c r="W192" s="46">
        <f t="shared" si="34"/>
        <v>1</v>
      </c>
      <c r="X192" s="46">
        <f t="shared" si="29"/>
        <v>1</v>
      </c>
      <c r="Y192" s="47">
        <f>'Detailed Results'!M192</f>
        <v>18</v>
      </c>
      <c r="Z192" s="47">
        <f>'Detailed Results'!N192</f>
        <v>18</v>
      </c>
      <c r="AA192" s="48">
        <f t="shared" si="30"/>
        <v>1</v>
      </c>
      <c r="AB192" s="48">
        <f t="shared" si="35"/>
        <v>0.47368421052631576</v>
      </c>
      <c r="AC192" s="48">
        <f t="shared" si="31"/>
        <v>0.6428571428571429</v>
      </c>
    </row>
    <row r="193" spans="1:29" ht="15" customHeight="1" thickBot="1" x14ac:dyDescent="0.4">
      <c r="A193" s="185"/>
      <c r="B193" s="14" t="s">
        <v>21</v>
      </c>
      <c r="C193" s="15" t="s">
        <v>19</v>
      </c>
      <c r="D193" s="15">
        <v>1</v>
      </c>
      <c r="E193" s="14" t="s">
        <v>109</v>
      </c>
      <c r="F193" s="40">
        <f>'GT Input'!C7</f>
        <v>7</v>
      </c>
      <c r="G193" s="40">
        <f>'GT Input'!D7</f>
        <v>38</v>
      </c>
      <c r="H193" s="40">
        <f>'GT Input'!E7</f>
        <v>7</v>
      </c>
      <c r="I193" s="40">
        <f>'GT Input'!F7</f>
        <v>38</v>
      </c>
      <c r="J193" s="41">
        <f>'Detailed Results'!G193</f>
        <v>7</v>
      </c>
      <c r="K193" s="41">
        <f>'Detailed Results'!H193</f>
        <v>7</v>
      </c>
      <c r="L193" s="42">
        <f t="shared" si="24"/>
        <v>1</v>
      </c>
      <c r="M193" s="42">
        <f t="shared" si="32"/>
        <v>1</v>
      </c>
      <c r="N193" s="42">
        <f t="shared" si="25"/>
        <v>1</v>
      </c>
      <c r="O193" s="43">
        <f>'Detailed Results'!I193</f>
        <v>9</v>
      </c>
      <c r="P193" s="43">
        <f>'Detailed Results'!J193</f>
        <v>9</v>
      </c>
      <c r="Q193" s="44">
        <f t="shared" si="26"/>
        <v>1</v>
      </c>
      <c r="R193" s="44">
        <f t="shared" si="33"/>
        <v>0.23684210526315788</v>
      </c>
      <c r="S193" s="44">
        <f t="shared" si="27"/>
        <v>0.38297872340425526</v>
      </c>
      <c r="T193" s="45">
        <f>'Detailed Results'!K193</f>
        <v>7</v>
      </c>
      <c r="U193" s="45">
        <f>'Detailed Results'!L193</f>
        <v>7</v>
      </c>
      <c r="V193" s="46">
        <f t="shared" si="28"/>
        <v>1</v>
      </c>
      <c r="W193" s="46">
        <f t="shared" si="34"/>
        <v>1</v>
      </c>
      <c r="X193" s="46">
        <f t="shared" si="29"/>
        <v>1</v>
      </c>
      <c r="Y193" s="47">
        <f>'Detailed Results'!M193</f>
        <v>9</v>
      </c>
      <c r="Z193" s="47">
        <f>'Detailed Results'!N193</f>
        <v>9</v>
      </c>
      <c r="AA193" s="48">
        <f t="shared" si="30"/>
        <v>1</v>
      </c>
      <c r="AB193" s="48">
        <f t="shared" si="35"/>
        <v>0.23684210526315788</v>
      </c>
      <c r="AC193" s="48">
        <f t="shared" si="31"/>
        <v>0.38297872340425526</v>
      </c>
    </row>
    <row r="194" spans="1:29" ht="15" customHeight="1" thickBot="1" x14ac:dyDescent="0.4">
      <c r="A194" s="185"/>
      <c r="B194" s="12" t="s">
        <v>21</v>
      </c>
      <c r="C194" s="13" t="s">
        <v>19</v>
      </c>
      <c r="D194" s="13">
        <v>2</v>
      </c>
      <c r="E194" s="12" t="s">
        <v>17</v>
      </c>
      <c r="F194" s="40">
        <f>'GT Input'!C7</f>
        <v>7</v>
      </c>
      <c r="G194" s="40">
        <f>'GT Input'!D7</f>
        <v>38</v>
      </c>
      <c r="H194" s="40">
        <f>'GT Input'!E7</f>
        <v>7</v>
      </c>
      <c r="I194" s="40">
        <f>'GT Input'!F7</f>
        <v>38</v>
      </c>
      <c r="J194" s="41">
        <f>'Detailed Results'!G194</f>
        <v>7</v>
      </c>
      <c r="K194" s="41">
        <f>'Detailed Results'!H194</f>
        <v>7</v>
      </c>
      <c r="L194" s="42">
        <f t="shared" si="24"/>
        <v>1</v>
      </c>
      <c r="M194" s="42">
        <f t="shared" si="32"/>
        <v>1</v>
      </c>
      <c r="N194" s="42">
        <f t="shared" si="25"/>
        <v>1</v>
      </c>
      <c r="O194" s="43">
        <f>'Detailed Results'!I194</f>
        <v>18</v>
      </c>
      <c r="P194" s="43">
        <f>'Detailed Results'!J194</f>
        <v>18</v>
      </c>
      <c r="Q194" s="44">
        <f t="shared" si="26"/>
        <v>1</v>
      </c>
      <c r="R194" s="44">
        <f t="shared" si="33"/>
        <v>0.47368421052631576</v>
      </c>
      <c r="S194" s="44">
        <f t="shared" si="27"/>
        <v>0.6428571428571429</v>
      </c>
      <c r="T194" s="45">
        <f>'Detailed Results'!K194</f>
        <v>7</v>
      </c>
      <c r="U194" s="45">
        <f>'Detailed Results'!L194</f>
        <v>7</v>
      </c>
      <c r="V194" s="46">
        <f t="shared" si="28"/>
        <v>1</v>
      </c>
      <c r="W194" s="46">
        <f t="shared" si="34"/>
        <v>1</v>
      </c>
      <c r="X194" s="46">
        <f t="shared" si="29"/>
        <v>1</v>
      </c>
      <c r="Y194" s="47">
        <f>'Detailed Results'!M194</f>
        <v>18</v>
      </c>
      <c r="Z194" s="47">
        <f>'Detailed Results'!N194</f>
        <v>18</v>
      </c>
      <c r="AA194" s="48">
        <f t="shared" si="30"/>
        <v>1</v>
      </c>
      <c r="AB194" s="48">
        <f t="shared" si="35"/>
        <v>0.47368421052631576</v>
      </c>
      <c r="AC194" s="48">
        <f t="shared" si="31"/>
        <v>0.6428571428571429</v>
      </c>
    </row>
    <row r="195" spans="1:29" ht="15" customHeight="1" thickBot="1" x14ac:dyDescent="0.4">
      <c r="A195" s="185"/>
      <c r="B195" s="12" t="s">
        <v>21</v>
      </c>
      <c r="C195" s="13" t="s">
        <v>19</v>
      </c>
      <c r="D195" s="13">
        <v>2</v>
      </c>
      <c r="E195" s="12" t="s">
        <v>109</v>
      </c>
      <c r="F195" s="40">
        <f>'GT Input'!C7</f>
        <v>7</v>
      </c>
      <c r="G195" s="40">
        <f>'GT Input'!D7</f>
        <v>38</v>
      </c>
      <c r="H195" s="40">
        <f>'GT Input'!E7</f>
        <v>7</v>
      </c>
      <c r="I195" s="40">
        <f>'GT Input'!F7</f>
        <v>38</v>
      </c>
      <c r="J195" s="41">
        <f>'Detailed Results'!G195</f>
        <v>7</v>
      </c>
      <c r="K195" s="41">
        <f>'Detailed Results'!H195</f>
        <v>7</v>
      </c>
      <c r="L195" s="42">
        <f t="shared" si="24"/>
        <v>1</v>
      </c>
      <c r="M195" s="42">
        <f t="shared" si="32"/>
        <v>1</v>
      </c>
      <c r="N195" s="42">
        <f t="shared" si="25"/>
        <v>1</v>
      </c>
      <c r="O195" s="43">
        <f>'Detailed Results'!I195</f>
        <v>22</v>
      </c>
      <c r="P195" s="43">
        <f>'Detailed Results'!J195</f>
        <v>22</v>
      </c>
      <c r="Q195" s="44">
        <f t="shared" si="26"/>
        <v>1</v>
      </c>
      <c r="R195" s="44">
        <f t="shared" si="33"/>
        <v>0.57894736842105265</v>
      </c>
      <c r="S195" s="44">
        <f t="shared" si="27"/>
        <v>0.73333333333333339</v>
      </c>
      <c r="T195" s="45">
        <f>'Detailed Results'!K195</f>
        <v>7</v>
      </c>
      <c r="U195" s="45">
        <f>'Detailed Results'!L195</f>
        <v>7</v>
      </c>
      <c r="V195" s="46">
        <f t="shared" si="28"/>
        <v>1</v>
      </c>
      <c r="W195" s="46">
        <f t="shared" si="34"/>
        <v>1</v>
      </c>
      <c r="X195" s="46">
        <f t="shared" si="29"/>
        <v>1</v>
      </c>
      <c r="Y195" s="47">
        <f>'Detailed Results'!M195</f>
        <v>22</v>
      </c>
      <c r="Z195" s="47">
        <f>'Detailed Results'!N195</f>
        <v>22</v>
      </c>
      <c r="AA195" s="48">
        <f t="shared" si="30"/>
        <v>1</v>
      </c>
      <c r="AB195" s="48">
        <f t="shared" si="35"/>
        <v>0.57894736842105265</v>
      </c>
      <c r="AC195" s="48">
        <f t="shared" si="31"/>
        <v>0.73333333333333339</v>
      </c>
    </row>
    <row r="196" spans="1:29" ht="15" customHeight="1" thickBot="1" x14ac:dyDescent="0.4">
      <c r="A196" s="185"/>
      <c r="B196" s="14" t="s">
        <v>21</v>
      </c>
      <c r="C196" s="15" t="s">
        <v>19</v>
      </c>
      <c r="D196" s="15">
        <v>3</v>
      </c>
      <c r="E196" s="14" t="s">
        <v>17</v>
      </c>
      <c r="F196" s="40">
        <f>'GT Input'!C7</f>
        <v>7</v>
      </c>
      <c r="G196" s="40">
        <f>'GT Input'!D7</f>
        <v>38</v>
      </c>
      <c r="H196" s="40">
        <f>'GT Input'!E7</f>
        <v>7</v>
      </c>
      <c r="I196" s="40">
        <f>'GT Input'!F7</f>
        <v>38</v>
      </c>
      <c r="J196" s="41">
        <f>'Detailed Results'!G196</f>
        <v>7</v>
      </c>
      <c r="K196" s="41">
        <f>'Detailed Results'!H196</f>
        <v>7</v>
      </c>
      <c r="L196" s="42">
        <f t="shared" si="24"/>
        <v>1</v>
      </c>
      <c r="M196" s="42">
        <f t="shared" si="32"/>
        <v>1</v>
      </c>
      <c r="N196" s="42">
        <f t="shared" si="25"/>
        <v>1</v>
      </c>
      <c r="O196" s="43">
        <f>'Detailed Results'!I196</f>
        <v>18</v>
      </c>
      <c r="P196" s="43">
        <f>'Detailed Results'!J196</f>
        <v>18</v>
      </c>
      <c r="Q196" s="44">
        <f t="shared" si="26"/>
        <v>1</v>
      </c>
      <c r="R196" s="44">
        <f t="shared" si="33"/>
        <v>0.47368421052631576</v>
      </c>
      <c r="S196" s="44">
        <f t="shared" si="27"/>
        <v>0.6428571428571429</v>
      </c>
      <c r="T196" s="45">
        <f>'Detailed Results'!K196</f>
        <v>7</v>
      </c>
      <c r="U196" s="45">
        <f>'Detailed Results'!L196</f>
        <v>7</v>
      </c>
      <c r="V196" s="46">
        <f t="shared" si="28"/>
        <v>1</v>
      </c>
      <c r="W196" s="46">
        <f t="shared" si="34"/>
        <v>1</v>
      </c>
      <c r="X196" s="46">
        <f t="shared" si="29"/>
        <v>1</v>
      </c>
      <c r="Y196" s="47">
        <f>'Detailed Results'!M196</f>
        <v>18</v>
      </c>
      <c r="Z196" s="47">
        <f>'Detailed Results'!N196</f>
        <v>18</v>
      </c>
      <c r="AA196" s="48">
        <f t="shared" si="30"/>
        <v>1</v>
      </c>
      <c r="AB196" s="48">
        <f t="shared" si="35"/>
        <v>0.47368421052631576</v>
      </c>
      <c r="AC196" s="48">
        <f t="shared" si="31"/>
        <v>0.6428571428571429</v>
      </c>
    </row>
    <row r="197" spans="1:29" ht="15" customHeight="1" thickBot="1" x14ac:dyDescent="0.4">
      <c r="A197" s="185"/>
      <c r="B197" s="14" t="s">
        <v>21</v>
      </c>
      <c r="C197" s="15" t="s">
        <v>19</v>
      </c>
      <c r="D197" s="15">
        <v>3</v>
      </c>
      <c r="E197" s="14" t="s">
        <v>109</v>
      </c>
      <c r="F197" s="40">
        <f>'GT Input'!C7</f>
        <v>7</v>
      </c>
      <c r="G197" s="40">
        <f>'GT Input'!D7</f>
        <v>38</v>
      </c>
      <c r="H197" s="40">
        <f>'GT Input'!E7</f>
        <v>7</v>
      </c>
      <c r="I197" s="40">
        <f>'GT Input'!F7</f>
        <v>38</v>
      </c>
      <c r="J197" s="41">
        <f>'Detailed Results'!G197</f>
        <v>7</v>
      </c>
      <c r="K197" s="41">
        <f>'Detailed Results'!H197</f>
        <v>7</v>
      </c>
      <c r="L197" s="42">
        <f t="shared" si="24"/>
        <v>1</v>
      </c>
      <c r="M197" s="42">
        <f t="shared" si="32"/>
        <v>1</v>
      </c>
      <c r="N197" s="42">
        <f t="shared" si="25"/>
        <v>1</v>
      </c>
      <c r="O197" s="43">
        <f>'Detailed Results'!I197</f>
        <v>17</v>
      </c>
      <c r="P197" s="43">
        <f>'Detailed Results'!J197</f>
        <v>17</v>
      </c>
      <c r="Q197" s="44">
        <f t="shared" si="26"/>
        <v>1</v>
      </c>
      <c r="R197" s="44">
        <f t="shared" si="33"/>
        <v>0.44736842105263158</v>
      </c>
      <c r="S197" s="44">
        <f t="shared" si="27"/>
        <v>0.61818181818181817</v>
      </c>
      <c r="T197" s="45">
        <f>'Detailed Results'!K197</f>
        <v>7</v>
      </c>
      <c r="U197" s="45">
        <f>'Detailed Results'!L197</f>
        <v>7</v>
      </c>
      <c r="V197" s="46">
        <f t="shared" si="28"/>
        <v>1</v>
      </c>
      <c r="W197" s="46">
        <f t="shared" si="34"/>
        <v>1</v>
      </c>
      <c r="X197" s="46">
        <f t="shared" si="29"/>
        <v>1</v>
      </c>
      <c r="Y197" s="47">
        <f>'Detailed Results'!M197</f>
        <v>17</v>
      </c>
      <c r="Z197" s="47">
        <f>'Detailed Results'!N197</f>
        <v>17</v>
      </c>
      <c r="AA197" s="48">
        <f t="shared" si="30"/>
        <v>1</v>
      </c>
      <c r="AB197" s="48">
        <f t="shared" si="35"/>
        <v>0.44736842105263158</v>
      </c>
      <c r="AC197" s="48">
        <f t="shared" si="31"/>
        <v>0.61818181818181817</v>
      </c>
    </row>
    <row r="198" spans="1:29" ht="15" customHeight="1" thickBot="1" x14ac:dyDescent="0.4">
      <c r="A198" s="185"/>
      <c r="B198" s="12" t="s">
        <v>21</v>
      </c>
      <c r="C198" s="13" t="s">
        <v>20</v>
      </c>
      <c r="D198" s="13">
        <v>1</v>
      </c>
      <c r="E198" s="12" t="s">
        <v>17</v>
      </c>
      <c r="F198" s="40">
        <f>'GT Input'!C7</f>
        <v>7</v>
      </c>
      <c r="G198" s="40">
        <f>'GT Input'!D7</f>
        <v>38</v>
      </c>
      <c r="H198" s="40">
        <f>'GT Input'!E7</f>
        <v>7</v>
      </c>
      <c r="I198" s="40">
        <f>'GT Input'!F7</f>
        <v>38</v>
      </c>
      <c r="J198" s="41">
        <f>'Detailed Results'!G198</f>
        <v>7</v>
      </c>
      <c r="K198" s="41">
        <f>'Detailed Results'!H198</f>
        <v>7</v>
      </c>
      <c r="L198" s="42">
        <f t="shared" ref="L198:L261" si="36">IFERROR(K198/J198,"")</f>
        <v>1</v>
      </c>
      <c r="M198" s="42">
        <f t="shared" si="32"/>
        <v>1</v>
      </c>
      <c r="N198" s="42">
        <f t="shared" ref="N198:N261" si="37">IFERROR(2*L198*M198/(L198+M198),"")</f>
        <v>1</v>
      </c>
      <c r="O198" s="43">
        <f>'Detailed Results'!I198</f>
        <v>17</v>
      </c>
      <c r="P198" s="43">
        <f>'Detailed Results'!J198</f>
        <v>17</v>
      </c>
      <c r="Q198" s="44">
        <f t="shared" ref="Q198:Q261" si="38">IFERROR(P198/O198,"")</f>
        <v>1</v>
      </c>
      <c r="R198" s="44">
        <f t="shared" si="33"/>
        <v>0.44736842105263158</v>
      </c>
      <c r="S198" s="44">
        <f t="shared" ref="S198:S261" si="39">IFERROR(2*Q198*R198/(Q198+R198),"")</f>
        <v>0.61818181818181817</v>
      </c>
      <c r="T198" s="45">
        <f>'Detailed Results'!K198</f>
        <v>7</v>
      </c>
      <c r="U198" s="45">
        <f>'Detailed Results'!L198</f>
        <v>7</v>
      </c>
      <c r="V198" s="46">
        <f t="shared" ref="V198:V261" si="40">IFERROR(U198/T198,"")</f>
        <v>1</v>
      </c>
      <c r="W198" s="46">
        <f t="shared" si="34"/>
        <v>1</v>
      </c>
      <c r="X198" s="46">
        <f t="shared" ref="X198:X261" si="41">IFERROR(2*V198*W198/(V198+W198),"")</f>
        <v>1</v>
      </c>
      <c r="Y198" s="47">
        <f>'Detailed Results'!M198</f>
        <v>17</v>
      </c>
      <c r="Z198" s="47">
        <f>'Detailed Results'!N198</f>
        <v>17</v>
      </c>
      <c r="AA198" s="48">
        <f t="shared" ref="AA198:AA261" si="42">IFERROR(Z198/Y198,"")</f>
        <v>1</v>
      </c>
      <c r="AB198" s="48">
        <f t="shared" si="35"/>
        <v>0.44736842105263158</v>
      </c>
      <c r="AC198" s="48">
        <f t="shared" ref="AC198:AC261" si="43">IFERROR(2*AA198*AB198/(AA198+AB198),"")</f>
        <v>0.61818181818181817</v>
      </c>
    </row>
    <row r="199" spans="1:29" ht="15" customHeight="1" thickBot="1" x14ac:dyDescent="0.4">
      <c r="A199" s="185"/>
      <c r="B199" s="12" t="s">
        <v>21</v>
      </c>
      <c r="C199" s="13" t="s">
        <v>20</v>
      </c>
      <c r="D199" s="13">
        <v>1</v>
      </c>
      <c r="E199" s="12" t="s">
        <v>109</v>
      </c>
      <c r="F199" s="40">
        <f>'GT Input'!C7</f>
        <v>7</v>
      </c>
      <c r="G199" s="40">
        <f>'GT Input'!D7</f>
        <v>38</v>
      </c>
      <c r="H199" s="40">
        <f>'GT Input'!E7</f>
        <v>7</v>
      </c>
      <c r="I199" s="40">
        <f>'GT Input'!F7</f>
        <v>38</v>
      </c>
      <c r="J199" s="41">
        <f>'Detailed Results'!G199</f>
        <v>7</v>
      </c>
      <c r="K199" s="41">
        <f>'Detailed Results'!H199</f>
        <v>7</v>
      </c>
      <c r="L199" s="42">
        <f t="shared" si="36"/>
        <v>1</v>
      </c>
      <c r="M199" s="42">
        <f t="shared" ref="M199:M262" si="44">IFERROR(K199/F199,"")</f>
        <v>1</v>
      </c>
      <c r="N199" s="42">
        <f t="shared" si="37"/>
        <v>1</v>
      </c>
      <c r="O199" s="43">
        <f>'Detailed Results'!I199</f>
        <v>18</v>
      </c>
      <c r="P199" s="43">
        <f>'Detailed Results'!J199</f>
        <v>18</v>
      </c>
      <c r="Q199" s="44">
        <f t="shared" si="38"/>
        <v>1</v>
      </c>
      <c r="R199" s="44">
        <f t="shared" ref="R199:R262" si="45">IFERROR(P199/G199,"")</f>
        <v>0.47368421052631576</v>
      </c>
      <c r="S199" s="44">
        <f t="shared" si="39"/>
        <v>0.6428571428571429</v>
      </c>
      <c r="T199" s="45">
        <f>'Detailed Results'!K199</f>
        <v>7</v>
      </c>
      <c r="U199" s="45">
        <f>'Detailed Results'!L199</f>
        <v>7</v>
      </c>
      <c r="V199" s="46">
        <f t="shared" si="40"/>
        <v>1</v>
      </c>
      <c r="W199" s="46">
        <f t="shared" ref="W199:W262" si="46">IFERROR(U199/H199,"")</f>
        <v>1</v>
      </c>
      <c r="X199" s="46">
        <f t="shared" si="41"/>
        <v>1</v>
      </c>
      <c r="Y199" s="47">
        <f>'Detailed Results'!M199</f>
        <v>18</v>
      </c>
      <c r="Z199" s="47">
        <f>'Detailed Results'!N199</f>
        <v>18</v>
      </c>
      <c r="AA199" s="48">
        <f t="shared" si="42"/>
        <v>1</v>
      </c>
      <c r="AB199" s="48">
        <f t="shared" ref="AB199:AB262" si="47">IFERROR(Z199/I199,"")</f>
        <v>0.47368421052631576</v>
      </c>
      <c r="AC199" s="48">
        <f t="shared" si="43"/>
        <v>0.6428571428571429</v>
      </c>
    </row>
    <row r="200" spans="1:29" ht="15" customHeight="1" thickBot="1" x14ac:dyDescent="0.4">
      <c r="A200" s="185"/>
      <c r="B200" s="14" t="s">
        <v>21</v>
      </c>
      <c r="C200" s="15" t="s">
        <v>20</v>
      </c>
      <c r="D200" s="15">
        <v>2</v>
      </c>
      <c r="E200" s="14" t="s">
        <v>17</v>
      </c>
      <c r="F200" s="40">
        <f>'GT Input'!C7</f>
        <v>7</v>
      </c>
      <c r="G200" s="40">
        <f>'GT Input'!D7</f>
        <v>38</v>
      </c>
      <c r="H200" s="40">
        <f>'GT Input'!E7</f>
        <v>7</v>
      </c>
      <c r="I200" s="40">
        <f>'GT Input'!F7</f>
        <v>38</v>
      </c>
      <c r="J200" s="41">
        <f>'Detailed Results'!G200</f>
        <v>7</v>
      </c>
      <c r="K200" s="41">
        <f>'Detailed Results'!H200</f>
        <v>7</v>
      </c>
      <c r="L200" s="42">
        <f t="shared" si="36"/>
        <v>1</v>
      </c>
      <c r="M200" s="42">
        <f t="shared" si="44"/>
        <v>1</v>
      </c>
      <c r="N200" s="42">
        <f t="shared" si="37"/>
        <v>1</v>
      </c>
      <c r="O200" s="43">
        <f>'Detailed Results'!I200</f>
        <v>19</v>
      </c>
      <c r="P200" s="43">
        <f>'Detailed Results'!J200</f>
        <v>19</v>
      </c>
      <c r="Q200" s="44">
        <f t="shared" si="38"/>
        <v>1</v>
      </c>
      <c r="R200" s="44">
        <f t="shared" si="45"/>
        <v>0.5</v>
      </c>
      <c r="S200" s="44">
        <f t="shared" si="39"/>
        <v>0.66666666666666663</v>
      </c>
      <c r="T200" s="45">
        <f>'Detailed Results'!K200</f>
        <v>7</v>
      </c>
      <c r="U200" s="45">
        <f>'Detailed Results'!L200</f>
        <v>7</v>
      </c>
      <c r="V200" s="46">
        <f t="shared" si="40"/>
        <v>1</v>
      </c>
      <c r="W200" s="46">
        <f t="shared" si="46"/>
        <v>1</v>
      </c>
      <c r="X200" s="46">
        <f t="shared" si="41"/>
        <v>1</v>
      </c>
      <c r="Y200" s="47">
        <f>'Detailed Results'!M200</f>
        <v>19</v>
      </c>
      <c r="Z200" s="47">
        <f>'Detailed Results'!N200</f>
        <v>19</v>
      </c>
      <c r="AA200" s="48">
        <f t="shared" si="42"/>
        <v>1</v>
      </c>
      <c r="AB200" s="48">
        <f t="shared" si="47"/>
        <v>0.5</v>
      </c>
      <c r="AC200" s="48">
        <f t="shared" si="43"/>
        <v>0.66666666666666663</v>
      </c>
    </row>
    <row r="201" spans="1:29" ht="15" customHeight="1" thickBot="1" x14ac:dyDescent="0.4">
      <c r="A201" s="185"/>
      <c r="B201" s="14" t="s">
        <v>21</v>
      </c>
      <c r="C201" s="15" t="s">
        <v>20</v>
      </c>
      <c r="D201" s="15">
        <v>2</v>
      </c>
      <c r="E201" s="14" t="s">
        <v>109</v>
      </c>
      <c r="F201" s="40">
        <f>'GT Input'!C7</f>
        <v>7</v>
      </c>
      <c r="G201" s="40">
        <f>'GT Input'!D7</f>
        <v>38</v>
      </c>
      <c r="H201" s="40">
        <f>'GT Input'!E7</f>
        <v>7</v>
      </c>
      <c r="I201" s="40">
        <f>'GT Input'!F7</f>
        <v>38</v>
      </c>
      <c r="J201" s="41">
        <f>'Detailed Results'!G201</f>
        <v>7</v>
      </c>
      <c r="K201" s="41">
        <f>'Detailed Results'!H201</f>
        <v>7</v>
      </c>
      <c r="L201" s="42">
        <f t="shared" si="36"/>
        <v>1</v>
      </c>
      <c r="M201" s="42">
        <f t="shared" si="44"/>
        <v>1</v>
      </c>
      <c r="N201" s="42">
        <f t="shared" si="37"/>
        <v>1</v>
      </c>
      <c r="O201" s="43">
        <f>'Detailed Results'!I201</f>
        <v>21</v>
      </c>
      <c r="P201" s="43">
        <f>'Detailed Results'!J201</f>
        <v>21</v>
      </c>
      <c r="Q201" s="44">
        <f t="shared" si="38"/>
        <v>1</v>
      </c>
      <c r="R201" s="44">
        <f t="shared" si="45"/>
        <v>0.55263157894736847</v>
      </c>
      <c r="S201" s="44">
        <f t="shared" si="39"/>
        <v>0.71186440677966101</v>
      </c>
      <c r="T201" s="45">
        <f>'Detailed Results'!K201</f>
        <v>7</v>
      </c>
      <c r="U201" s="45">
        <f>'Detailed Results'!L201</f>
        <v>7</v>
      </c>
      <c r="V201" s="46">
        <f t="shared" si="40"/>
        <v>1</v>
      </c>
      <c r="W201" s="46">
        <f t="shared" si="46"/>
        <v>1</v>
      </c>
      <c r="X201" s="46">
        <f t="shared" si="41"/>
        <v>1</v>
      </c>
      <c r="Y201" s="47">
        <f>'Detailed Results'!M201</f>
        <v>21</v>
      </c>
      <c r="Z201" s="47">
        <f>'Detailed Results'!N201</f>
        <v>6</v>
      </c>
      <c r="AA201" s="48">
        <f t="shared" si="42"/>
        <v>0.2857142857142857</v>
      </c>
      <c r="AB201" s="48">
        <f t="shared" si="47"/>
        <v>0.15789473684210525</v>
      </c>
      <c r="AC201" s="48">
        <f t="shared" si="43"/>
        <v>0.20338983050847459</v>
      </c>
    </row>
    <row r="202" spans="1:29" ht="15" customHeight="1" thickBot="1" x14ac:dyDescent="0.4">
      <c r="A202" s="185"/>
      <c r="B202" s="12" t="s">
        <v>21</v>
      </c>
      <c r="C202" s="13" t="s">
        <v>20</v>
      </c>
      <c r="D202" s="13">
        <v>3</v>
      </c>
      <c r="E202" s="12" t="s">
        <v>17</v>
      </c>
      <c r="F202" s="40">
        <f>'GT Input'!C7</f>
        <v>7</v>
      </c>
      <c r="G202" s="40">
        <f>'GT Input'!D7</f>
        <v>38</v>
      </c>
      <c r="H202" s="40">
        <f>'GT Input'!E7</f>
        <v>7</v>
      </c>
      <c r="I202" s="40">
        <f>'GT Input'!F7</f>
        <v>38</v>
      </c>
      <c r="J202" s="41">
        <f>'Detailed Results'!G202</f>
        <v>7</v>
      </c>
      <c r="K202" s="41">
        <f>'Detailed Results'!H202</f>
        <v>7</v>
      </c>
      <c r="L202" s="42">
        <f t="shared" si="36"/>
        <v>1</v>
      </c>
      <c r="M202" s="42">
        <f t="shared" si="44"/>
        <v>1</v>
      </c>
      <c r="N202" s="42">
        <f t="shared" si="37"/>
        <v>1</v>
      </c>
      <c r="O202" s="43">
        <f>'Detailed Results'!I202</f>
        <v>18</v>
      </c>
      <c r="P202" s="43">
        <f>'Detailed Results'!J202</f>
        <v>18</v>
      </c>
      <c r="Q202" s="44">
        <f t="shared" si="38"/>
        <v>1</v>
      </c>
      <c r="R202" s="44">
        <f t="shared" si="45"/>
        <v>0.47368421052631576</v>
      </c>
      <c r="S202" s="44">
        <f t="shared" si="39"/>
        <v>0.6428571428571429</v>
      </c>
      <c r="T202" s="45">
        <f>'Detailed Results'!K202</f>
        <v>7</v>
      </c>
      <c r="U202" s="45">
        <f>'Detailed Results'!L202</f>
        <v>7</v>
      </c>
      <c r="V202" s="46">
        <f t="shared" si="40"/>
        <v>1</v>
      </c>
      <c r="W202" s="46">
        <f t="shared" si="46"/>
        <v>1</v>
      </c>
      <c r="X202" s="46">
        <f t="shared" si="41"/>
        <v>1</v>
      </c>
      <c r="Y202" s="47">
        <f>'Detailed Results'!M202</f>
        <v>18</v>
      </c>
      <c r="Z202" s="47">
        <f>'Detailed Results'!N202</f>
        <v>18</v>
      </c>
      <c r="AA202" s="48">
        <f t="shared" si="42"/>
        <v>1</v>
      </c>
      <c r="AB202" s="48">
        <f t="shared" si="47"/>
        <v>0.47368421052631576</v>
      </c>
      <c r="AC202" s="48">
        <f t="shared" si="43"/>
        <v>0.6428571428571429</v>
      </c>
    </row>
    <row r="203" spans="1:29" ht="15" customHeight="1" thickBot="1" x14ac:dyDescent="0.4">
      <c r="A203" s="185"/>
      <c r="B203" s="12" t="s">
        <v>21</v>
      </c>
      <c r="C203" s="13" t="s">
        <v>20</v>
      </c>
      <c r="D203" s="13">
        <v>3</v>
      </c>
      <c r="E203" s="12" t="s">
        <v>109</v>
      </c>
      <c r="F203" s="40">
        <f>'GT Input'!C7</f>
        <v>7</v>
      </c>
      <c r="G203" s="40">
        <f>'GT Input'!D7</f>
        <v>38</v>
      </c>
      <c r="H203" s="40">
        <f>'GT Input'!E7</f>
        <v>7</v>
      </c>
      <c r="I203" s="40">
        <f>'GT Input'!F7</f>
        <v>38</v>
      </c>
      <c r="J203" s="41">
        <f>'Detailed Results'!G203</f>
        <v>7</v>
      </c>
      <c r="K203" s="41">
        <f>'Detailed Results'!H203</f>
        <v>7</v>
      </c>
      <c r="L203" s="42">
        <f t="shared" si="36"/>
        <v>1</v>
      </c>
      <c r="M203" s="42">
        <f t="shared" si="44"/>
        <v>1</v>
      </c>
      <c r="N203" s="42">
        <f t="shared" si="37"/>
        <v>1</v>
      </c>
      <c r="O203" s="43">
        <f>'Detailed Results'!I203</f>
        <v>18</v>
      </c>
      <c r="P203" s="43">
        <f>'Detailed Results'!J203</f>
        <v>18</v>
      </c>
      <c r="Q203" s="44">
        <f t="shared" si="38"/>
        <v>1</v>
      </c>
      <c r="R203" s="44">
        <f t="shared" si="45"/>
        <v>0.47368421052631576</v>
      </c>
      <c r="S203" s="44">
        <f t="shared" si="39"/>
        <v>0.6428571428571429</v>
      </c>
      <c r="T203" s="45">
        <f>'Detailed Results'!K203</f>
        <v>7</v>
      </c>
      <c r="U203" s="45">
        <f>'Detailed Results'!L203</f>
        <v>7</v>
      </c>
      <c r="V203" s="46">
        <f t="shared" si="40"/>
        <v>1</v>
      </c>
      <c r="W203" s="46">
        <f t="shared" si="46"/>
        <v>1</v>
      </c>
      <c r="X203" s="46">
        <f t="shared" si="41"/>
        <v>1</v>
      </c>
      <c r="Y203" s="47">
        <f>'Detailed Results'!M203</f>
        <v>18</v>
      </c>
      <c r="Z203" s="47">
        <f>'Detailed Results'!N203</f>
        <v>18</v>
      </c>
      <c r="AA203" s="48">
        <f t="shared" si="42"/>
        <v>1</v>
      </c>
      <c r="AB203" s="48">
        <f t="shared" si="47"/>
        <v>0.47368421052631576</v>
      </c>
      <c r="AC203" s="48">
        <f t="shared" si="43"/>
        <v>0.6428571428571429</v>
      </c>
    </row>
    <row r="204" spans="1:29" ht="15" customHeight="1" thickBot="1" x14ac:dyDescent="0.4">
      <c r="A204" s="185"/>
      <c r="B204" s="16" t="s">
        <v>22</v>
      </c>
      <c r="C204" s="17" t="s">
        <v>16</v>
      </c>
      <c r="D204" s="17">
        <v>1</v>
      </c>
      <c r="E204" s="16" t="s">
        <v>17</v>
      </c>
      <c r="F204" s="40">
        <f>'GT Input'!C7</f>
        <v>7</v>
      </c>
      <c r="G204" s="40">
        <f>'GT Input'!D7</f>
        <v>38</v>
      </c>
      <c r="H204" s="40">
        <f>'GT Input'!E7</f>
        <v>7</v>
      </c>
      <c r="I204" s="40">
        <f>'GT Input'!F7</f>
        <v>38</v>
      </c>
      <c r="J204" s="41">
        <f>'Detailed Results'!G204</f>
        <v>7</v>
      </c>
      <c r="K204" s="41">
        <f>'Detailed Results'!H204</f>
        <v>7</v>
      </c>
      <c r="L204" s="42">
        <f t="shared" si="36"/>
        <v>1</v>
      </c>
      <c r="M204" s="42">
        <f t="shared" si="44"/>
        <v>1</v>
      </c>
      <c r="N204" s="42">
        <f t="shared" si="37"/>
        <v>1</v>
      </c>
      <c r="O204" s="43">
        <f>'Detailed Results'!I204</f>
        <v>18</v>
      </c>
      <c r="P204" s="43">
        <f>'Detailed Results'!J204</f>
        <v>18</v>
      </c>
      <c r="Q204" s="44">
        <f t="shared" si="38"/>
        <v>1</v>
      </c>
      <c r="R204" s="44">
        <f t="shared" si="45"/>
        <v>0.47368421052631576</v>
      </c>
      <c r="S204" s="44">
        <f t="shared" si="39"/>
        <v>0.6428571428571429</v>
      </c>
      <c r="T204" s="45">
        <f>'Detailed Results'!K204</f>
        <v>7</v>
      </c>
      <c r="U204" s="45">
        <f>'Detailed Results'!L204</f>
        <v>7</v>
      </c>
      <c r="V204" s="46">
        <f t="shared" si="40"/>
        <v>1</v>
      </c>
      <c r="W204" s="46">
        <f t="shared" si="46"/>
        <v>1</v>
      </c>
      <c r="X204" s="46">
        <f t="shared" si="41"/>
        <v>1</v>
      </c>
      <c r="Y204" s="47">
        <f>'Detailed Results'!M204</f>
        <v>18</v>
      </c>
      <c r="Z204" s="47">
        <f>'Detailed Results'!N204</f>
        <v>18</v>
      </c>
      <c r="AA204" s="48">
        <f t="shared" si="42"/>
        <v>1</v>
      </c>
      <c r="AB204" s="48">
        <f t="shared" si="47"/>
        <v>0.47368421052631576</v>
      </c>
      <c r="AC204" s="48">
        <f t="shared" si="43"/>
        <v>0.6428571428571429</v>
      </c>
    </row>
    <row r="205" spans="1:29" ht="15" customHeight="1" thickBot="1" x14ac:dyDescent="0.4">
      <c r="A205" s="185"/>
      <c r="B205" s="16" t="s">
        <v>22</v>
      </c>
      <c r="C205" s="17" t="s">
        <v>16</v>
      </c>
      <c r="D205" s="17">
        <v>1</v>
      </c>
      <c r="E205" s="16" t="s">
        <v>109</v>
      </c>
      <c r="F205" s="40">
        <f>'GT Input'!C7</f>
        <v>7</v>
      </c>
      <c r="G205" s="40">
        <f>'GT Input'!D7</f>
        <v>38</v>
      </c>
      <c r="H205" s="40">
        <f>'GT Input'!E7</f>
        <v>7</v>
      </c>
      <c r="I205" s="40">
        <f>'GT Input'!F7</f>
        <v>38</v>
      </c>
      <c r="J205" s="41">
        <f>'Detailed Results'!G205</f>
        <v>7</v>
      </c>
      <c r="K205" s="41">
        <f>'Detailed Results'!H205</f>
        <v>7</v>
      </c>
      <c r="L205" s="42">
        <f t="shared" si="36"/>
        <v>1</v>
      </c>
      <c r="M205" s="42">
        <f t="shared" si="44"/>
        <v>1</v>
      </c>
      <c r="N205" s="42">
        <f t="shared" si="37"/>
        <v>1</v>
      </c>
      <c r="O205" s="43">
        <f>'Detailed Results'!I205</f>
        <v>18</v>
      </c>
      <c r="P205" s="43">
        <f>'Detailed Results'!J205</f>
        <v>18</v>
      </c>
      <c r="Q205" s="44">
        <f t="shared" si="38"/>
        <v>1</v>
      </c>
      <c r="R205" s="44">
        <f t="shared" si="45"/>
        <v>0.47368421052631576</v>
      </c>
      <c r="S205" s="44">
        <f t="shared" si="39"/>
        <v>0.6428571428571429</v>
      </c>
      <c r="T205" s="45">
        <f>'Detailed Results'!K205</f>
        <v>7</v>
      </c>
      <c r="U205" s="45">
        <f>'Detailed Results'!L205</f>
        <v>7</v>
      </c>
      <c r="V205" s="46">
        <f t="shared" si="40"/>
        <v>1</v>
      </c>
      <c r="W205" s="46">
        <f t="shared" si="46"/>
        <v>1</v>
      </c>
      <c r="X205" s="46">
        <f t="shared" si="41"/>
        <v>1</v>
      </c>
      <c r="Y205" s="47">
        <f>'Detailed Results'!M205</f>
        <v>18</v>
      </c>
      <c r="Z205" s="47">
        <f>'Detailed Results'!N205</f>
        <v>18</v>
      </c>
      <c r="AA205" s="48">
        <f t="shared" si="42"/>
        <v>1</v>
      </c>
      <c r="AB205" s="48">
        <f t="shared" si="47"/>
        <v>0.47368421052631576</v>
      </c>
      <c r="AC205" s="48">
        <f t="shared" si="43"/>
        <v>0.6428571428571429</v>
      </c>
    </row>
    <row r="206" spans="1:29" ht="15" customHeight="1" thickBot="1" x14ac:dyDescent="0.4">
      <c r="A206" s="185"/>
      <c r="B206" s="18" t="s">
        <v>22</v>
      </c>
      <c r="C206" s="19" t="s">
        <v>16</v>
      </c>
      <c r="D206" s="19">
        <v>2</v>
      </c>
      <c r="E206" s="18" t="s">
        <v>17</v>
      </c>
      <c r="F206" s="40">
        <f>'GT Input'!C7</f>
        <v>7</v>
      </c>
      <c r="G206" s="40">
        <f>'GT Input'!D7</f>
        <v>38</v>
      </c>
      <c r="H206" s="40">
        <f>'GT Input'!E7</f>
        <v>7</v>
      </c>
      <c r="I206" s="40">
        <f>'GT Input'!F7</f>
        <v>38</v>
      </c>
      <c r="J206" s="41">
        <f>'Detailed Results'!G206</f>
        <v>7</v>
      </c>
      <c r="K206" s="41">
        <f>'Detailed Results'!H206</f>
        <v>7</v>
      </c>
      <c r="L206" s="42">
        <f t="shared" si="36"/>
        <v>1</v>
      </c>
      <c r="M206" s="42">
        <f t="shared" si="44"/>
        <v>1</v>
      </c>
      <c r="N206" s="42">
        <f t="shared" si="37"/>
        <v>1</v>
      </c>
      <c r="O206" s="43">
        <f>'Detailed Results'!I206</f>
        <v>18</v>
      </c>
      <c r="P206" s="43">
        <f>'Detailed Results'!J206</f>
        <v>18</v>
      </c>
      <c r="Q206" s="44">
        <f t="shared" si="38"/>
        <v>1</v>
      </c>
      <c r="R206" s="44">
        <f t="shared" si="45"/>
        <v>0.47368421052631576</v>
      </c>
      <c r="S206" s="44">
        <f t="shared" si="39"/>
        <v>0.6428571428571429</v>
      </c>
      <c r="T206" s="45">
        <f>'Detailed Results'!K206</f>
        <v>7</v>
      </c>
      <c r="U206" s="45">
        <f>'Detailed Results'!L206</f>
        <v>7</v>
      </c>
      <c r="V206" s="46">
        <f t="shared" si="40"/>
        <v>1</v>
      </c>
      <c r="W206" s="46">
        <f t="shared" si="46"/>
        <v>1</v>
      </c>
      <c r="X206" s="46">
        <f t="shared" si="41"/>
        <v>1</v>
      </c>
      <c r="Y206" s="47">
        <f>'Detailed Results'!M206</f>
        <v>18</v>
      </c>
      <c r="Z206" s="47">
        <f>'Detailed Results'!N206</f>
        <v>18</v>
      </c>
      <c r="AA206" s="48">
        <f t="shared" si="42"/>
        <v>1</v>
      </c>
      <c r="AB206" s="48">
        <f t="shared" si="47"/>
        <v>0.47368421052631576</v>
      </c>
      <c r="AC206" s="48">
        <f t="shared" si="43"/>
        <v>0.6428571428571429</v>
      </c>
    </row>
    <row r="207" spans="1:29" ht="15" customHeight="1" thickBot="1" x14ac:dyDescent="0.4">
      <c r="A207" s="185"/>
      <c r="B207" s="18" t="s">
        <v>22</v>
      </c>
      <c r="C207" s="19" t="s">
        <v>16</v>
      </c>
      <c r="D207" s="19">
        <v>2</v>
      </c>
      <c r="E207" s="18" t="s">
        <v>109</v>
      </c>
      <c r="F207" s="40">
        <f>'GT Input'!C7</f>
        <v>7</v>
      </c>
      <c r="G207" s="40">
        <f>'GT Input'!D7</f>
        <v>38</v>
      </c>
      <c r="H207" s="40">
        <f>'GT Input'!E7</f>
        <v>7</v>
      </c>
      <c r="I207" s="40">
        <f>'GT Input'!F7</f>
        <v>38</v>
      </c>
      <c r="J207" s="41">
        <f>'Detailed Results'!G207</f>
        <v>7</v>
      </c>
      <c r="K207" s="41">
        <f>'Detailed Results'!H207</f>
        <v>7</v>
      </c>
      <c r="L207" s="42">
        <f t="shared" si="36"/>
        <v>1</v>
      </c>
      <c r="M207" s="42">
        <f t="shared" si="44"/>
        <v>1</v>
      </c>
      <c r="N207" s="42">
        <f t="shared" si="37"/>
        <v>1</v>
      </c>
      <c r="O207" s="43">
        <f>'Detailed Results'!I207</f>
        <v>10</v>
      </c>
      <c r="P207" s="43">
        <f>'Detailed Results'!J207</f>
        <v>10</v>
      </c>
      <c r="Q207" s="44">
        <f t="shared" si="38"/>
        <v>1</v>
      </c>
      <c r="R207" s="44">
        <f t="shared" si="45"/>
        <v>0.26315789473684209</v>
      </c>
      <c r="S207" s="44">
        <f t="shared" si="39"/>
        <v>0.41666666666666669</v>
      </c>
      <c r="T207" s="45">
        <f>'Detailed Results'!K207</f>
        <v>7</v>
      </c>
      <c r="U207" s="45">
        <f>'Detailed Results'!L207</f>
        <v>7</v>
      </c>
      <c r="V207" s="46">
        <f t="shared" si="40"/>
        <v>1</v>
      </c>
      <c r="W207" s="46">
        <f t="shared" si="46"/>
        <v>1</v>
      </c>
      <c r="X207" s="46">
        <f t="shared" si="41"/>
        <v>1</v>
      </c>
      <c r="Y207" s="47">
        <f>'Detailed Results'!M207</f>
        <v>10</v>
      </c>
      <c r="Z207" s="47">
        <f>'Detailed Results'!N207</f>
        <v>10</v>
      </c>
      <c r="AA207" s="48">
        <f t="shared" si="42"/>
        <v>1</v>
      </c>
      <c r="AB207" s="48">
        <f t="shared" si="47"/>
        <v>0.26315789473684209</v>
      </c>
      <c r="AC207" s="48">
        <f t="shared" si="43"/>
        <v>0.41666666666666669</v>
      </c>
    </row>
    <row r="208" spans="1:29" ht="15" customHeight="1" thickBot="1" x14ac:dyDescent="0.4">
      <c r="A208" s="185"/>
      <c r="B208" s="16" t="s">
        <v>22</v>
      </c>
      <c r="C208" s="17" t="s">
        <v>16</v>
      </c>
      <c r="D208" s="17">
        <v>3</v>
      </c>
      <c r="E208" s="16" t="s">
        <v>17</v>
      </c>
      <c r="F208" s="40">
        <f>'GT Input'!C7</f>
        <v>7</v>
      </c>
      <c r="G208" s="40">
        <f>'GT Input'!D7</f>
        <v>38</v>
      </c>
      <c r="H208" s="40">
        <f>'GT Input'!E7</f>
        <v>7</v>
      </c>
      <c r="I208" s="40">
        <f>'GT Input'!F7</f>
        <v>38</v>
      </c>
      <c r="J208" s="41">
        <f>'Detailed Results'!G208</f>
        <v>7</v>
      </c>
      <c r="K208" s="41">
        <f>'Detailed Results'!H208</f>
        <v>7</v>
      </c>
      <c r="L208" s="42">
        <f t="shared" si="36"/>
        <v>1</v>
      </c>
      <c r="M208" s="42">
        <f t="shared" si="44"/>
        <v>1</v>
      </c>
      <c r="N208" s="42">
        <f t="shared" si="37"/>
        <v>1</v>
      </c>
      <c r="O208" s="43">
        <f>'Detailed Results'!I208</f>
        <v>18</v>
      </c>
      <c r="P208" s="43">
        <f>'Detailed Results'!J208</f>
        <v>18</v>
      </c>
      <c r="Q208" s="44">
        <f t="shared" si="38"/>
        <v>1</v>
      </c>
      <c r="R208" s="44">
        <f t="shared" si="45"/>
        <v>0.47368421052631576</v>
      </c>
      <c r="S208" s="44">
        <f t="shared" si="39"/>
        <v>0.6428571428571429</v>
      </c>
      <c r="T208" s="45">
        <f>'Detailed Results'!K208</f>
        <v>7</v>
      </c>
      <c r="U208" s="45">
        <f>'Detailed Results'!L208</f>
        <v>7</v>
      </c>
      <c r="V208" s="46">
        <f t="shared" si="40"/>
        <v>1</v>
      </c>
      <c r="W208" s="46">
        <f t="shared" si="46"/>
        <v>1</v>
      </c>
      <c r="X208" s="46">
        <f t="shared" si="41"/>
        <v>1</v>
      </c>
      <c r="Y208" s="47">
        <f>'Detailed Results'!M208</f>
        <v>18</v>
      </c>
      <c r="Z208" s="47">
        <f>'Detailed Results'!N208</f>
        <v>18</v>
      </c>
      <c r="AA208" s="48">
        <f t="shared" si="42"/>
        <v>1</v>
      </c>
      <c r="AB208" s="48">
        <f t="shared" si="47"/>
        <v>0.47368421052631576</v>
      </c>
      <c r="AC208" s="48">
        <f t="shared" si="43"/>
        <v>0.6428571428571429</v>
      </c>
    </row>
    <row r="209" spans="1:29" ht="15" customHeight="1" thickBot="1" x14ac:dyDescent="0.4">
      <c r="A209" s="185"/>
      <c r="B209" s="16" t="s">
        <v>22</v>
      </c>
      <c r="C209" s="17" t="s">
        <v>16</v>
      </c>
      <c r="D209" s="17">
        <v>3</v>
      </c>
      <c r="E209" s="16" t="s">
        <v>109</v>
      </c>
      <c r="F209" s="40">
        <f>'GT Input'!C7</f>
        <v>7</v>
      </c>
      <c r="G209" s="40">
        <f>'GT Input'!D7</f>
        <v>38</v>
      </c>
      <c r="H209" s="40">
        <f>'GT Input'!E7</f>
        <v>7</v>
      </c>
      <c r="I209" s="40">
        <f>'GT Input'!F7</f>
        <v>38</v>
      </c>
      <c r="J209" s="41">
        <f>'Detailed Results'!G209</f>
        <v>7</v>
      </c>
      <c r="K209" s="41">
        <f>'Detailed Results'!H209</f>
        <v>7</v>
      </c>
      <c r="L209" s="42">
        <f t="shared" si="36"/>
        <v>1</v>
      </c>
      <c r="M209" s="42">
        <f t="shared" si="44"/>
        <v>1</v>
      </c>
      <c r="N209" s="42">
        <f t="shared" si="37"/>
        <v>1</v>
      </c>
      <c r="O209" s="43">
        <f>'Detailed Results'!I209</f>
        <v>10</v>
      </c>
      <c r="P209" s="43">
        <f>'Detailed Results'!J209</f>
        <v>10</v>
      </c>
      <c r="Q209" s="44">
        <f t="shared" si="38"/>
        <v>1</v>
      </c>
      <c r="R209" s="44">
        <f t="shared" si="45"/>
        <v>0.26315789473684209</v>
      </c>
      <c r="S209" s="44">
        <f t="shared" si="39"/>
        <v>0.41666666666666669</v>
      </c>
      <c r="T209" s="45">
        <f>'Detailed Results'!K209</f>
        <v>7</v>
      </c>
      <c r="U209" s="45">
        <f>'Detailed Results'!L209</f>
        <v>7</v>
      </c>
      <c r="V209" s="46">
        <f t="shared" si="40"/>
        <v>1</v>
      </c>
      <c r="W209" s="46">
        <f t="shared" si="46"/>
        <v>1</v>
      </c>
      <c r="X209" s="46">
        <f t="shared" si="41"/>
        <v>1</v>
      </c>
      <c r="Y209" s="47">
        <f>'Detailed Results'!M209</f>
        <v>10</v>
      </c>
      <c r="Z209" s="47">
        <f>'Detailed Results'!N209</f>
        <v>10</v>
      </c>
      <c r="AA209" s="48">
        <f t="shared" si="42"/>
        <v>1</v>
      </c>
      <c r="AB209" s="48">
        <f t="shared" si="47"/>
        <v>0.26315789473684209</v>
      </c>
      <c r="AC209" s="48">
        <f t="shared" si="43"/>
        <v>0.41666666666666669</v>
      </c>
    </row>
    <row r="210" spans="1:29" ht="15" customHeight="1" thickBot="1" x14ac:dyDescent="0.4">
      <c r="A210" s="185"/>
      <c r="B210" s="18" t="s">
        <v>22</v>
      </c>
      <c r="C210" s="19" t="s">
        <v>19</v>
      </c>
      <c r="D210" s="19">
        <v>1</v>
      </c>
      <c r="E210" s="18" t="s">
        <v>17</v>
      </c>
      <c r="F210" s="40">
        <f>'GT Input'!C7</f>
        <v>7</v>
      </c>
      <c r="G210" s="40">
        <f>'GT Input'!D7</f>
        <v>38</v>
      </c>
      <c r="H210" s="40">
        <f>'GT Input'!E7</f>
        <v>7</v>
      </c>
      <c r="I210" s="40">
        <f>'GT Input'!F7</f>
        <v>38</v>
      </c>
      <c r="J210" s="41">
        <f>'Detailed Results'!G210</f>
        <v>7</v>
      </c>
      <c r="K210" s="41">
        <f>'Detailed Results'!H210</f>
        <v>7</v>
      </c>
      <c r="L210" s="42">
        <f t="shared" si="36"/>
        <v>1</v>
      </c>
      <c r="M210" s="42">
        <f t="shared" si="44"/>
        <v>1</v>
      </c>
      <c r="N210" s="42">
        <f t="shared" si="37"/>
        <v>1</v>
      </c>
      <c r="O210" s="43">
        <f>'Detailed Results'!I210</f>
        <v>18</v>
      </c>
      <c r="P210" s="43">
        <f>'Detailed Results'!J210</f>
        <v>18</v>
      </c>
      <c r="Q210" s="44">
        <f t="shared" si="38"/>
        <v>1</v>
      </c>
      <c r="R210" s="44">
        <f t="shared" si="45"/>
        <v>0.47368421052631576</v>
      </c>
      <c r="S210" s="44">
        <f t="shared" si="39"/>
        <v>0.6428571428571429</v>
      </c>
      <c r="T210" s="45">
        <f>'Detailed Results'!K210</f>
        <v>7</v>
      </c>
      <c r="U210" s="45">
        <f>'Detailed Results'!L210</f>
        <v>7</v>
      </c>
      <c r="V210" s="46">
        <f t="shared" si="40"/>
        <v>1</v>
      </c>
      <c r="W210" s="46">
        <f t="shared" si="46"/>
        <v>1</v>
      </c>
      <c r="X210" s="46">
        <f t="shared" si="41"/>
        <v>1</v>
      </c>
      <c r="Y210" s="47">
        <f>'Detailed Results'!M210</f>
        <v>18</v>
      </c>
      <c r="Z210" s="47">
        <f>'Detailed Results'!N210</f>
        <v>18</v>
      </c>
      <c r="AA210" s="48">
        <f t="shared" si="42"/>
        <v>1</v>
      </c>
      <c r="AB210" s="48">
        <f t="shared" si="47"/>
        <v>0.47368421052631576</v>
      </c>
      <c r="AC210" s="48">
        <f t="shared" si="43"/>
        <v>0.6428571428571429</v>
      </c>
    </row>
    <row r="211" spans="1:29" ht="15" customHeight="1" thickBot="1" x14ac:dyDescent="0.4">
      <c r="A211" s="185"/>
      <c r="B211" s="18" t="s">
        <v>22</v>
      </c>
      <c r="C211" s="19" t="s">
        <v>19</v>
      </c>
      <c r="D211" s="19">
        <v>1</v>
      </c>
      <c r="E211" s="18" t="s">
        <v>109</v>
      </c>
      <c r="F211" s="40">
        <f>'GT Input'!C7</f>
        <v>7</v>
      </c>
      <c r="G211" s="40">
        <f>'GT Input'!D7</f>
        <v>38</v>
      </c>
      <c r="H211" s="40">
        <f>'GT Input'!E7</f>
        <v>7</v>
      </c>
      <c r="I211" s="40">
        <f>'GT Input'!F7</f>
        <v>38</v>
      </c>
      <c r="J211" s="41">
        <f>'Detailed Results'!G211</f>
        <v>7</v>
      </c>
      <c r="K211" s="41">
        <f>'Detailed Results'!H211</f>
        <v>7</v>
      </c>
      <c r="L211" s="42">
        <f t="shared" si="36"/>
        <v>1</v>
      </c>
      <c r="M211" s="42">
        <f t="shared" si="44"/>
        <v>1</v>
      </c>
      <c r="N211" s="42">
        <f t="shared" si="37"/>
        <v>1</v>
      </c>
      <c r="O211" s="43">
        <f>'Detailed Results'!I211</f>
        <v>15</v>
      </c>
      <c r="P211" s="43">
        <f>'Detailed Results'!J211</f>
        <v>15</v>
      </c>
      <c r="Q211" s="44">
        <f t="shared" si="38"/>
        <v>1</v>
      </c>
      <c r="R211" s="44">
        <f t="shared" si="45"/>
        <v>0.39473684210526316</v>
      </c>
      <c r="S211" s="44">
        <f t="shared" si="39"/>
        <v>0.56603773584905659</v>
      </c>
      <c r="T211" s="45">
        <f>'Detailed Results'!K211</f>
        <v>7</v>
      </c>
      <c r="U211" s="45">
        <f>'Detailed Results'!L211</f>
        <v>7</v>
      </c>
      <c r="V211" s="46">
        <f t="shared" si="40"/>
        <v>1</v>
      </c>
      <c r="W211" s="46">
        <f t="shared" si="46"/>
        <v>1</v>
      </c>
      <c r="X211" s="46">
        <f t="shared" si="41"/>
        <v>1</v>
      </c>
      <c r="Y211" s="47">
        <f>'Detailed Results'!M211</f>
        <v>15</v>
      </c>
      <c r="Z211" s="47">
        <f>'Detailed Results'!N211</f>
        <v>15</v>
      </c>
      <c r="AA211" s="48">
        <f t="shared" si="42"/>
        <v>1</v>
      </c>
      <c r="AB211" s="48">
        <f t="shared" si="47"/>
        <v>0.39473684210526316</v>
      </c>
      <c r="AC211" s="48">
        <f t="shared" si="43"/>
        <v>0.56603773584905659</v>
      </c>
    </row>
    <row r="212" spans="1:29" ht="15" customHeight="1" thickBot="1" x14ac:dyDescent="0.4">
      <c r="A212" s="185"/>
      <c r="B212" s="16" t="s">
        <v>22</v>
      </c>
      <c r="C212" s="17" t="s">
        <v>19</v>
      </c>
      <c r="D212" s="17">
        <v>2</v>
      </c>
      <c r="E212" s="16" t="s">
        <v>17</v>
      </c>
      <c r="F212" s="40">
        <f>'GT Input'!C7</f>
        <v>7</v>
      </c>
      <c r="G212" s="40">
        <f>'GT Input'!D7</f>
        <v>38</v>
      </c>
      <c r="H212" s="40">
        <f>'GT Input'!E7</f>
        <v>7</v>
      </c>
      <c r="I212" s="40">
        <f>'GT Input'!F7</f>
        <v>38</v>
      </c>
      <c r="J212" s="41">
        <f>'Detailed Results'!G212</f>
        <v>7</v>
      </c>
      <c r="K212" s="41">
        <f>'Detailed Results'!H212</f>
        <v>7</v>
      </c>
      <c r="L212" s="42">
        <f t="shared" si="36"/>
        <v>1</v>
      </c>
      <c r="M212" s="42">
        <f t="shared" si="44"/>
        <v>1</v>
      </c>
      <c r="N212" s="42">
        <f t="shared" si="37"/>
        <v>1</v>
      </c>
      <c r="O212" s="43">
        <f>'Detailed Results'!I212</f>
        <v>18</v>
      </c>
      <c r="P212" s="43">
        <f>'Detailed Results'!J212</f>
        <v>18</v>
      </c>
      <c r="Q212" s="44">
        <f t="shared" si="38"/>
        <v>1</v>
      </c>
      <c r="R212" s="44">
        <f t="shared" si="45"/>
        <v>0.47368421052631576</v>
      </c>
      <c r="S212" s="44">
        <f t="shared" si="39"/>
        <v>0.6428571428571429</v>
      </c>
      <c r="T212" s="45">
        <f>'Detailed Results'!K212</f>
        <v>7</v>
      </c>
      <c r="U212" s="45">
        <f>'Detailed Results'!L212</f>
        <v>7</v>
      </c>
      <c r="V212" s="46">
        <f t="shared" si="40"/>
        <v>1</v>
      </c>
      <c r="W212" s="46">
        <f t="shared" si="46"/>
        <v>1</v>
      </c>
      <c r="X212" s="46">
        <f t="shared" si="41"/>
        <v>1</v>
      </c>
      <c r="Y212" s="47">
        <f>'Detailed Results'!M212</f>
        <v>18</v>
      </c>
      <c r="Z212" s="47">
        <f>'Detailed Results'!N212</f>
        <v>18</v>
      </c>
      <c r="AA212" s="48">
        <f t="shared" si="42"/>
        <v>1</v>
      </c>
      <c r="AB212" s="48">
        <f t="shared" si="47"/>
        <v>0.47368421052631576</v>
      </c>
      <c r="AC212" s="48">
        <f t="shared" si="43"/>
        <v>0.6428571428571429</v>
      </c>
    </row>
    <row r="213" spans="1:29" ht="15" customHeight="1" thickBot="1" x14ac:dyDescent="0.4">
      <c r="A213" s="185"/>
      <c r="B213" s="16" t="s">
        <v>22</v>
      </c>
      <c r="C213" s="17" t="s">
        <v>19</v>
      </c>
      <c r="D213" s="17">
        <v>2</v>
      </c>
      <c r="E213" s="16" t="s">
        <v>109</v>
      </c>
      <c r="F213" s="40">
        <f>'GT Input'!C7</f>
        <v>7</v>
      </c>
      <c r="G213" s="40">
        <f>'GT Input'!D7</f>
        <v>38</v>
      </c>
      <c r="H213" s="40">
        <f>'GT Input'!E7</f>
        <v>7</v>
      </c>
      <c r="I213" s="40">
        <f>'GT Input'!F7</f>
        <v>38</v>
      </c>
      <c r="J213" s="41">
        <f>'Detailed Results'!G213</f>
        <v>7</v>
      </c>
      <c r="K213" s="41">
        <f>'Detailed Results'!H213</f>
        <v>7</v>
      </c>
      <c r="L213" s="42">
        <f t="shared" si="36"/>
        <v>1</v>
      </c>
      <c r="M213" s="42">
        <f t="shared" si="44"/>
        <v>1</v>
      </c>
      <c r="N213" s="42">
        <f t="shared" si="37"/>
        <v>1</v>
      </c>
      <c r="O213" s="43">
        <f>'Detailed Results'!I213</f>
        <v>18</v>
      </c>
      <c r="P213" s="43">
        <f>'Detailed Results'!J213</f>
        <v>18</v>
      </c>
      <c r="Q213" s="44">
        <f t="shared" si="38"/>
        <v>1</v>
      </c>
      <c r="R213" s="44">
        <f t="shared" si="45"/>
        <v>0.47368421052631576</v>
      </c>
      <c r="S213" s="44">
        <f t="shared" si="39"/>
        <v>0.6428571428571429</v>
      </c>
      <c r="T213" s="45">
        <f>'Detailed Results'!K213</f>
        <v>7</v>
      </c>
      <c r="U213" s="45">
        <f>'Detailed Results'!L213</f>
        <v>7</v>
      </c>
      <c r="V213" s="46">
        <f t="shared" si="40"/>
        <v>1</v>
      </c>
      <c r="W213" s="46">
        <f t="shared" si="46"/>
        <v>1</v>
      </c>
      <c r="X213" s="46">
        <f t="shared" si="41"/>
        <v>1</v>
      </c>
      <c r="Y213" s="47">
        <f>'Detailed Results'!M213</f>
        <v>18</v>
      </c>
      <c r="Z213" s="47">
        <f>'Detailed Results'!N213</f>
        <v>18</v>
      </c>
      <c r="AA213" s="48">
        <f t="shared" si="42"/>
        <v>1</v>
      </c>
      <c r="AB213" s="48">
        <f t="shared" si="47"/>
        <v>0.47368421052631576</v>
      </c>
      <c r="AC213" s="48">
        <f t="shared" si="43"/>
        <v>0.6428571428571429</v>
      </c>
    </row>
    <row r="214" spans="1:29" ht="15" customHeight="1" thickBot="1" x14ac:dyDescent="0.4">
      <c r="A214" s="185"/>
      <c r="B214" s="18" t="s">
        <v>22</v>
      </c>
      <c r="C214" s="19" t="s">
        <v>19</v>
      </c>
      <c r="D214" s="19">
        <v>3</v>
      </c>
      <c r="E214" s="18" t="s">
        <v>17</v>
      </c>
      <c r="F214" s="40">
        <f>'GT Input'!C7</f>
        <v>7</v>
      </c>
      <c r="G214" s="40">
        <f>'GT Input'!D7</f>
        <v>38</v>
      </c>
      <c r="H214" s="40">
        <f>'GT Input'!E7</f>
        <v>7</v>
      </c>
      <c r="I214" s="40">
        <f>'GT Input'!F7</f>
        <v>38</v>
      </c>
      <c r="J214" s="41">
        <f>'Detailed Results'!G214</f>
        <v>7</v>
      </c>
      <c r="K214" s="41">
        <f>'Detailed Results'!H214</f>
        <v>7</v>
      </c>
      <c r="L214" s="42">
        <f t="shared" si="36"/>
        <v>1</v>
      </c>
      <c r="M214" s="42">
        <f t="shared" si="44"/>
        <v>1</v>
      </c>
      <c r="N214" s="42">
        <f t="shared" si="37"/>
        <v>1</v>
      </c>
      <c r="O214" s="43">
        <f>'Detailed Results'!I214</f>
        <v>18</v>
      </c>
      <c r="P214" s="43">
        <f>'Detailed Results'!J214</f>
        <v>18</v>
      </c>
      <c r="Q214" s="44">
        <f t="shared" si="38"/>
        <v>1</v>
      </c>
      <c r="R214" s="44">
        <f t="shared" si="45"/>
        <v>0.47368421052631576</v>
      </c>
      <c r="S214" s="44">
        <f t="shared" si="39"/>
        <v>0.6428571428571429</v>
      </c>
      <c r="T214" s="45">
        <f>'Detailed Results'!K214</f>
        <v>7</v>
      </c>
      <c r="U214" s="45">
        <f>'Detailed Results'!L214</f>
        <v>7</v>
      </c>
      <c r="V214" s="46">
        <f t="shared" si="40"/>
        <v>1</v>
      </c>
      <c r="W214" s="46">
        <f t="shared" si="46"/>
        <v>1</v>
      </c>
      <c r="X214" s="46">
        <f t="shared" si="41"/>
        <v>1</v>
      </c>
      <c r="Y214" s="47">
        <f>'Detailed Results'!M214</f>
        <v>18</v>
      </c>
      <c r="Z214" s="47">
        <f>'Detailed Results'!N214</f>
        <v>18</v>
      </c>
      <c r="AA214" s="48">
        <f t="shared" si="42"/>
        <v>1</v>
      </c>
      <c r="AB214" s="48">
        <f t="shared" si="47"/>
        <v>0.47368421052631576</v>
      </c>
      <c r="AC214" s="48">
        <f t="shared" si="43"/>
        <v>0.6428571428571429</v>
      </c>
    </row>
    <row r="215" spans="1:29" ht="15" customHeight="1" thickBot="1" x14ac:dyDescent="0.4">
      <c r="A215" s="185"/>
      <c r="B215" s="18" t="s">
        <v>22</v>
      </c>
      <c r="C215" s="19" t="s">
        <v>19</v>
      </c>
      <c r="D215" s="19">
        <v>3</v>
      </c>
      <c r="E215" s="18" t="s">
        <v>109</v>
      </c>
      <c r="F215" s="40">
        <f>'GT Input'!C7</f>
        <v>7</v>
      </c>
      <c r="G215" s="40">
        <f>'GT Input'!D7</f>
        <v>38</v>
      </c>
      <c r="H215" s="40">
        <f>'GT Input'!E7</f>
        <v>7</v>
      </c>
      <c r="I215" s="40">
        <f>'GT Input'!F7</f>
        <v>38</v>
      </c>
      <c r="J215" s="41">
        <f>'Detailed Results'!G215</f>
        <v>7</v>
      </c>
      <c r="K215" s="41">
        <f>'Detailed Results'!H215</f>
        <v>7</v>
      </c>
      <c r="L215" s="42">
        <f t="shared" si="36"/>
        <v>1</v>
      </c>
      <c r="M215" s="42">
        <f t="shared" si="44"/>
        <v>1</v>
      </c>
      <c r="N215" s="42">
        <f t="shared" si="37"/>
        <v>1</v>
      </c>
      <c r="O215" s="43">
        <f>'Detailed Results'!I215</f>
        <v>18</v>
      </c>
      <c r="P215" s="43">
        <f>'Detailed Results'!J215</f>
        <v>18</v>
      </c>
      <c r="Q215" s="44">
        <f t="shared" si="38"/>
        <v>1</v>
      </c>
      <c r="R215" s="44">
        <f t="shared" si="45"/>
        <v>0.47368421052631576</v>
      </c>
      <c r="S215" s="44">
        <f t="shared" si="39"/>
        <v>0.6428571428571429</v>
      </c>
      <c r="T215" s="45">
        <f>'Detailed Results'!K215</f>
        <v>7</v>
      </c>
      <c r="U215" s="45">
        <f>'Detailed Results'!L215</f>
        <v>7</v>
      </c>
      <c r="V215" s="46">
        <f t="shared" si="40"/>
        <v>1</v>
      </c>
      <c r="W215" s="46">
        <f t="shared" si="46"/>
        <v>1</v>
      </c>
      <c r="X215" s="46">
        <f t="shared" si="41"/>
        <v>1</v>
      </c>
      <c r="Y215" s="47">
        <f>'Detailed Results'!M215</f>
        <v>18</v>
      </c>
      <c r="Z215" s="47">
        <f>'Detailed Results'!N215</f>
        <v>18</v>
      </c>
      <c r="AA215" s="48">
        <f t="shared" si="42"/>
        <v>1</v>
      </c>
      <c r="AB215" s="48">
        <f t="shared" si="47"/>
        <v>0.47368421052631576</v>
      </c>
      <c r="AC215" s="48">
        <f t="shared" si="43"/>
        <v>0.6428571428571429</v>
      </c>
    </row>
    <row r="216" spans="1:29" ht="15" customHeight="1" thickBot="1" x14ac:dyDescent="0.4">
      <c r="A216" s="185"/>
      <c r="B216" s="16" t="s">
        <v>22</v>
      </c>
      <c r="C216" s="17" t="s">
        <v>20</v>
      </c>
      <c r="D216" s="17">
        <v>1</v>
      </c>
      <c r="E216" s="16" t="s">
        <v>17</v>
      </c>
      <c r="F216" s="40">
        <f>'GT Input'!C7</f>
        <v>7</v>
      </c>
      <c r="G216" s="40">
        <f>'GT Input'!D7</f>
        <v>38</v>
      </c>
      <c r="H216" s="40">
        <f>'GT Input'!E7</f>
        <v>7</v>
      </c>
      <c r="I216" s="40">
        <f>'GT Input'!F7</f>
        <v>38</v>
      </c>
      <c r="J216" s="41">
        <f>'Detailed Results'!G216</f>
        <v>7</v>
      </c>
      <c r="K216" s="41">
        <f>'Detailed Results'!H216</f>
        <v>7</v>
      </c>
      <c r="L216" s="42">
        <f t="shared" si="36"/>
        <v>1</v>
      </c>
      <c r="M216" s="42">
        <f t="shared" si="44"/>
        <v>1</v>
      </c>
      <c r="N216" s="42">
        <f t="shared" si="37"/>
        <v>1</v>
      </c>
      <c r="O216" s="43">
        <f>'Detailed Results'!I216</f>
        <v>18</v>
      </c>
      <c r="P216" s="43">
        <f>'Detailed Results'!J216</f>
        <v>18</v>
      </c>
      <c r="Q216" s="44">
        <f t="shared" si="38"/>
        <v>1</v>
      </c>
      <c r="R216" s="44">
        <f t="shared" si="45"/>
        <v>0.47368421052631576</v>
      </c>
      <c r="S216" s="44">
        <f t="shared" si="39"/>
        <v>0.6428571428571429</v>
      </c>
      <c r="T216" s="45">
        <f>'Detailed Results'!K216</f>
        <v>7</v>
      </c>
      <c r="U216" s="45">
        <f>'Detailed Results'!L216</f>
        <v>7</v>
      </c>
      <c r="V216" s="46">
        <f t="shared" si="40"/>
        <v>1</v>
      </c>
      <c r="W216" s="46">
        <f t="shared" si="46"/>
        <v>1</v>
      </c>
      <c r="X216" s="46">
        <f t="shared" si="41"/>
        <v>1</v>
      </c>
      <c r="Y216" s="47">
        <f>'Detailed Results'!M216</f>
        <v>18</v>
      </c>
      <c r="Z216" s="47">
        <f>'Detailed Results'!N216</f>
        <v>18</v>
      </c>
      <c r="AA216" s="48">
        <f t="shared" si="42"/>
        <v>1</v>
      </c>
      <c r="AB216" s="48">
        <f t="shared" si="47"/>
        <v>0.47368421052631576</v>
      </c>
      <c r="AC216" s="48">
        <f t="shared" si="43"/>
        <v>0.6428571428571429</v>
      </c>
    </row>
    <row r="217" spans="1:29" ht="15" customHeight="1" thickBot="1" x14ac:dyDescent="0.4">
      <c r="A217" s="185"/>
      <c r="B217" s="16" t="s">
        <v>22</v>
      </c>
      <c r="C217" s="17" t="s">
        <v>20</v>
      </c>
      <c r="D217" s="17">
        <v>1</v>
      </c>
      <c r="E217" s="16" t="s">
        <v>109</v>
      </c>
      <c r="F217" s="40">
        <f>'GT Input'!C7</f>
        <v>7</v>
      </c>
      <c r="G217" s="40">
        <f>'GT Input'!D7</f>
        <v>38</v>
      </c>
      <c r="H217" s="40">
        <f>'GT Input'!E7</f>
        <v>7</v>
      </c>
      <c r="I217" s="40">
        <f>'GT Input'!F7</f>
        <v>38</v>
      </c>
      <c r="J217" s="41">
        <f>'Detailed Results'!G217</f>
        <v>7</v>
      </c>
      <c r="K217" s="41">
        <f>'Detailed Results'!H217</f>
        <v>7</v>
      </c>
      <c r="L217" s="42">
        <f t="shared" si="36"/>
        <v>1</v>
      </c>
      <c r="M217" s="42">
        <f t="shared" si="44"/>
        <v>1</v>
      </c>
      <c r="N217" s="42">
        <f t="shared" si="37"/>
        <v>1</v>
      </c>
      <c r="O217" s="43">
        <f>'Detailed Results'!I217</f>
        <v>18</v>
      </c>
      <c r="P217" s="43">
        <f>'Detailed Results'!J217</f>
        <v>18</v>
      </c>
      <c r="Q217" s="44">
        <f t="shared" si="38"/>
        <v>1</v>
      </c>
      <c r="R217" s="44">
        <f t="shared" si="45"/>
        <v>0.47368421052631576</v>
      </c>
      <c r="S217" s="44">
        <f t="shared" si="39"/>
        <v>0.6428571428571429</v>
      </c>
      <c r="T217" s="45">
        <f>'Detailed Results'!K217</f>
        <v>7</v>
      </c>
      <c r="U217" s="45">
        <f>'Detailed Results'!L217</f>
        <v>7</v>
      </c>
      <c r="V217" s="46">
        <f t="shared" si="40"/>
        <v>1</v>
      </c>
      <c r="W217" s="46">
        <f t="shared" si="46"/>
        <v>1</v>
      </c>
      <c r="X217" s="46">
        <f t="shared" si="41"/>
        <v>1</v>
      </c>
      <c r="Y217" s="47">
        <f>'Detailed Results'!M217</f>
        <v>18</v>
      </c>
      <c r="Z217" s="47">
        <f>'Detailed Results'!N217</f>
        <v>18</v>
      </c>
      <c r="AA217" s="48">
        <f t="shared" si="42"/>
        <v>1</v>
      </c>
      <c r="AB217" s="48">
        <f t="shared" si="47"/>
        <v>0.47368421052631576</v>
      </c>
      <c r="AC217" s="48">
        <f t="shared" si="43"/>
        <v>0.6428571428571429</v>
      </c>
    </row>
    <row r="218" spans="1:29" ht="15" customHeight="1" thickBot="1" x14ac:dyDescent="0.4">
      <c r="A218" s="185"/>
      <c r="B218" s="18" t="s">
        <v>22</v>
      </c>
      <c r="C218" s="19" t="s">
        <v>20</v>
      </c>
      <c r="D218" s="19">
        <v>2</v>
      </c>
      <c r="E218" s="18" t="s">
        <v>17</v>
      </c>
      <c r="F218" s="40">
        <f>'GT Input'!C7</f>
        <v>7</v>
      </c>
      <c r="G218" s="40">
        <f>'GT Input'!D7</f>
        <v>38</v>
      </c>
      <c r="H218" s="40">
        <f>'GT Input'!E7</f>
        <v>7</v>
      </c>
      <c r="I218" s="40">
        <f>'GT Input'!F7</f>
        <v>38</v>
      </c>
      <c r="J218" s="41">
        <f>'Detailed Results'!G218</f>
        <v>7</v>
      </c>
      <c r="K218" s="41">
        <f>'Detailed Results'!H218</f>
        <v>7</v>
      </c>
      <c r="L218" s="42">
        <f t="shared" si="36"/>
        <v>1</v>
      </c>
      <c r="M218" s="42">
        <f t="shared" si="44"/>
        <v>1</v>
      </c>
      <c r="N218" s="42">
        <f t="shared" si="37"/>
        <v>1</v>
      </c>
      <c r="O218" s="43">
        <f>'Detailed Results'!I218</f>
        <v>18</v>
      </c>
      <c r="P218" s="43">
        <f>'Detailed Results'!J218</f>
        <v>18</v>
      </c>
      <c r="Q218" s="44">
        <f t="shared" si="38"/>
        <v>1</v>
      </c>
      <c r="R218" s="44">
        <f t="shared" si="45"/>
        <v>0.47368421052631576</v>
      </c>
      <c r="S218" s="44">
        <f t="shared" si="39"/>
        <v>0.6428571428571429</v>
      </c>
      <c r="T218" s="45">
        <f>'Detailed Results'!K218</f>
        <v>7</v>
      </c>
      <c r="U218" s="45">
        <f>'Detailed Results'!L218</f>
        <v>7</v>
      </c>
      <c r="V218" s="46">
        <f t="shared" si="40"/>
        <v>1</v>
      </c>
      <c r="W218" s="46">
        <f t="shared" si="46"/>
        <v>1</v>
      </c>
      <c r="X218" s="46">
        <f t="shared" si="41"/>
        <v>1</v>
      </c>
      <c r="Y218" s="47">
        <f>'Detailed Results'!M218</f>
        <v>18</v>
      </c>
      <c r="Z218" s="47">
        <f>'Detailed Results'!N218</f>
        <v>18</v>
      </c>
      <c r="AA218" s="48">
        <f t="shared" si="42"/>
        <v>1</v>
      </c>
      <c r="AB218" s="48">
        <f t="shared" si="47"/>
        <v>0.47368421052631576</v>
      </c>
      <c r="AC218" s="48">
        <f t="shared" si="43"/>
        <v>0.6428571428571429</v>
      </c>
    </row>
    <row r="219" spans="1:29" ht="15" customHeight="1" thickBot="1" x14ac:dyDescent="0.4">
      <c r="A219" s="185"/>
      <c r="B219" s="18" t="s">
        <v>22</v>
      </c>
      <c r="C219" s="19" t="s">
        <v>20</v>
      </c>
      <c r="D219" s="19">
        <v>2</v>
      </c>
      <c r="E219" s="18" t="s">
        <v>109</v>
      </c>
      <c r="F219" s="40">
        <f>'GT Input'!C7</f>
        <v>7</v>
      </c>
      <c r="G219" s="40">
        <f>'GT Input'!D7</f>
        <v>38</v>
      </c>
      <c r="H219" s="40">
        <f>'GT Input'!E7</f>
        <v>7</v>
      </c>
      <c r="I219" s="40">
        <f>'GT Input'!F7</f>
        <v>38</v>
      </c>
      <c r="J219" s="41">
        <f>'Detailed Results'!G219</f>
        <v>7</v>
      </c>
      <c r="K219" s="41">
        <f>'Detailed Results'!H219</f>
        <v>7</v>
      </c>
      <c r="L219" s="42">
        <f t="shared" si="36"/>
        <v>1</v>
      </c>
      <c r="M219" s="42">
        <f t="shared" si="44"/>
        <v>1</v>
      </c>
      <c r="N219" s="42">
        <f t="shared" si="37"/>
        <v>1</v>
      </c>
      <c r="O219" s="43">
        <f>'Detailed Results'!I219</f>
        <v>19</v>
      </c>
      <c r="P219" s="43">
        <f>'Detailed Results'!J219</f>
        <v>19</v>
      </c>
      <c r="Q219" s="44">
        <f t="shared" si="38"/>
        <v>1</v>
      </c>
      <c r="R219" s="44">
        <f t="shared" si="45"/>
        <v>0.5</v>
      </c>
      <c r="S219" s="44">
        <f t="shared" si="39"/>
        <v>0.66666666666666663</v>
      </c>
      <c r="T219" s="45">
        <f>'Detailed Results'!K219</f>
        <v>7</v>
      </c>
      <c r="U219" s="45">
        <f>'Detailed Results'!L219</f>
        <v>7</v>
      </c>
      <c r="V219" s="46">
        <f t="shared" si="40"/>
        <v>1</v>
      </c>
      <c r="W219" s="46">
        <f t="shared" si="46"/>
        <v>1</v>
      </c>
      <c r="X219" s="46">
        <f t="shared" si="41"/>
        <v>1</v>
      </c>
      <c r="Y219" s="47">
        <f>'Detailed Results'!M219</f>
        <v>19</v>
      </c>
      <c r="Z219" s="47">
        <f>'Detailed Results'!N219</f>
        <v>19</v>
      </c>
      <c r="AA219" s="48">
        <f t="shared" si="42"/>
        <v>1</v>
      </c>
      <c r="AB219" s="48">
        <f t="shared" si="47"/>
        <v>0.5</v>
      </c>
      <c r="AC219" s="48">
        <f t="shared" si="43"/>
        <v>0.66666666666666663</v>
      </c>
    </row>
    <row r="220" spans="1:29" ht="15" customHeight="1" thickBot="1" x14ac:dyDescent="0.4">
      <c r="A220" s="185"/>
      <c r="B220" s="16" t="s">
        <v>22</v>
      </c>
      <c r="C220" s="17" t="s">
        <v>20</v>
      </c>
      <c r="D220" s="17">
        <v>3</v>
      </c>
      <c r="E220" s="16" t="s">
        <v>17</v>
      </c>
      <c r="F220" s="40">
        <f>'GT Input'!C7</f>
        <v>7</v>
      </c>
      <c r="G220" s="40">
        <f>'GT Input'!D7</f>
        <v>38</v>
      </c>
      <c r="H220" s="40">
        <f>'GT Input'!E7</f>
        <v>7</v>
      </c>
      <c r="I220" s="40">
        <f>'GT Input'!F7</f>
        <v>38</v>
      </c>
      <c r="J220" s="41">
        <f>'Detailed Results'!G220</f>
        <v>7</v>
      </c>
      <c r="K220" s="41">
        <f>'Detailed Results'!H220</f>
        <v>7</v>
      </c>
      <c r="L220" s="42">
        <f t="shared" si="36"/>
        <v>1</v>
      </c>
      <c r="M220" s="42">
        <f t="shared" si="44"/>
        <v>1</v>
      </c>
      <c r="N220" s="42">
        <f t="shared" si="37"/>
        <v>1</v>
      </c>
      <c r="O220" s="43">
        <f>'Detailed Results'!I220</f>
        <v>18</v>
      </c>
      <c r="P220" s="43">
        <f>'Detailed Results'!J220</f>
        <v>18</v>
      </c>
      <c r="Q220" s="44">
        <f t="shared" si="38"/>
        <v>1</v>
      </c>
      <c r="R220" s="44">
        <f t="shared" si="45"/>
        <v>0.47368421052631576</v>
      </c>
      <c r="S220" s="44">
        <f t="shared" si="39"/>
        <v>0.6428571428571429</v>
      </c>
      <c r="T220" s="45">
        <f>'Detailed Results'!K220</f>
        <v>7</v>
      </c>
      <c r="U220" s="45">
        <f>'Detailed Results'!L220</f>
        <v>7</v>
      </c>
      <c r="V220" s="46">
        <f t="shared" si="40"/>
        <v>1</v>
      </c>
      <c r="W220" s="46">
        <f t="shared" si="46"/>
        <v>1</v>
      </c>
      <c r="X220" s="46">
        <f t="shared" si="41"/>
        <v>1</v>
      </c>
      <c r="Y220" s="47">
        <f>'Detailed Results'!M220</f>
        <v>18</v>
      </c>
      <c r="Z220" s="47">
        <f>'Detailed Results'!N220</f>
        <v>18</v>
      </c>
      <c r="AA220" s="48">
        <f t="shared" si="42"/>
        <v>1</v>
      </c>
      <c r="AB220" s="48">
        <f t="shared" si="47"/>
        <v>0.47368421052631576</v>
      </c>
      <c r="AC220" s="48">
        <f t="shared" si="43"/>
        <v>0.6428571428571429</v>
      </c>
    </row>
    <row r="221" spans="1:29" s="64" customFormat="1" ht="15" customHeight="1" thickBot="1" x14ac:dyDescent="0.4">
      <c r="A221" s="185"/>
      <c r="B221" s="53" t="s">
        <v>22</v>
      </c>
      <c r="C221" s="54" t="s">
        <v>20</v>
      </c>
      <c r="D221" s="54">
        <v>3</v>
      </c>
      <c r="E221" s="53" t="s">
        <v>109</v>
      </c>
      <c r="F221" s="55">
        <f>'GT Input'!C7</f>
        <v>7</v>
      </c>
      <c r="G221" s="55">
        <f>'GT Input'!D7</f>
        <v>38</v>
      </c>
      <c r="H221" s="55">
        <f>'GT Input'!E7</f>
        <v>7</v>
      </c>
      <c r="I221" s="55">
        <f>'GT Input'!F7</f>
        <v>38</v>
      </c>
      <c r="J221" s="56">
        <f>'Detailed Results'!G221</f>
        <v>7</v>
      </c>
      <c r="K221" s="56">
        <f>'Detailed Results'!H221</f>
        <v>7</v>
      </c>
      <c r="L221" s="57">
        <f t="shared" si="36"/>
        <v>1</v>
      </c>
      <c r="M221" s="57">
        <f t="shared" si="44"/>
        <v>1</v>
      </c>
      <c r="N221" s="57">
        <f t="shared" si="37"/>
        <v>1</v>
      </c>
      <c r="O221" s="58">
        <f>'Detailed Results'!I221</f>
        <v>16</v>
      </c>
      <c r="P221" s="58">
        <f>'Detailed Results'!J221</f>
        <v>16</v>
      </c>
      <c r="Q221" s="59">
        <f t="shared" si="38"/>
        <v>1</v>
      </c>
      <c r="R221" s="59">
        <f t="shared" si="45"/>
        <v>0.42105263157894735</v>
      </c>
      <c r="S221" s="59">
        <f t="shared" si="39"/>
        <v>0.59259259259259256</v>
      </c>
      <c r="T221" s="60">
        <f>'Detailed Results'!K221</f>
        <v>7</v>
      </c>
      <c r="U221" s="60">
        <f>'Detailed Results'!L221</f>
        <v>7</v>
      </c>
      <c r="V221" s="61">
        <f t="shared" si="40"/>
        <v>1</v>
      </c>
      <c r="W221" s="61">
        <f t="shared" si="46"/>
        <v>1</v>
      </c>
      <c r="X221" s="61">
        <f t="shared" si="41"/>
        <v>1</v>
      </c>
      <c r="Y221" s="62">
        <f>'Detailed Results'!M221</f>
        <v>16</v>
      </c>
      <c r="Z221" s="62">
        <f>'Detailed Results'!N221</f>
        <v>16</v>
      </c>
      <c r="AA221" s="63">
        <f t="shared" si="42"/>
        <v>1</v>
      </c>
      <c r="AB221" s="63">
        <f t="shared" si="47"/>
        <v>0.42105263157894735</v>
      </c>
      <c r="AC221" s="63">
        <f t="shared" si="43"/>
        <v>0.59259259259259256</v>
      </c>
    </row>
    <row r="222" spans="1:29" ht="15" customHeight="1" thickBot="1" x14ac:dyDescent="0.4">
      <c r="A222" s="185" t="s">
        <v>26</v>
      </c>
      <c r="B222" s="65" t="s">
        <v>15</v>
      </c>
      <c r="C222" s="66" t="s">
        <v>16</v>
      </c>
      <c r="D222" s="66">
        <v>1</v>
      </c>
      <c r="E222" s="65" t="s">
        <v>17</v>
      </c>
      <c r="F222" s="67">
        <f>'GT Input'!C8</f>
        <v>3</v>
      </c>
      <c r="G222" s="67">
        <f>'GT Input'!D8</f>
        <v>9</v>
      </c>
      <c r="H222" s="67">
        <f>'GT Input'!E8</f>
        <v>3</v>
      </c>
      <c r="I222" s="67">
        <f>'GT Input'!F8</f>
        <v>9</v>
      </c>
      <c r="J222" s="68">
        <f>'Detailed Results'!G222</f>
        <v>3</v>
      </c>
      <c r="K222" s="68">
        <f>'Detailed Results'!H222</f>
        <v>3</v>
      </c>
      <c r="L222" s="69">
        <f t="shared" si="36"/>
        <v>1</v>
      </c>
      <c r="M222" s="69">
        <f t="shared" si="44"/>
        <v>1</v>
      </c>
      <c r="N222" s="69">
        <f t="shared" si="37"/>
        <v>1</v>
      </c>
      <c r="O222" s="70">
        <f>'Detailed Results'!I222</f>
        <v>7</v>
      </c>
      <c r="P222" s="70">
        <f>'Detailed Results'!J222</f>
        <v>7</v>
      </c>
      <c r="Q222" s="71">
        <f t="shared" si="38"/>
        <v>1</v>
      </c>
      <c r="R222" s="71">
        <f t="shared" si="45"/>
        <v>0.77777777777777779</v>
      </c>
      <c r="S222" s="71">
        <f t="shared" si="39"/>
        <v>0.87500000000000011</v>
      </c>
      <c r="T222" s="72">
        <f>'Detailed Results'!K222</f>
        <v>3</v>
      </c>
      <c r="U222" s="72">
        <f>'Detailed Results'!L222</f>
        <v>3</v>
      </c>
      <c r="V222" s="73">
        <f t="shared" si="40"/>
        <v>1</v>
      </c>
      <c r="W222" s="73">
        <f t="shared" si="46"/>
        <v>1</v>
      </c>
      <c r="X222" s="73">
        <f t="shared" si="41"/>
        <v>1</v>
      </c>
      <c r="Y222" s="74">
        <f>'Detailed Results'!M222</f>
        <v>7</v>
      </c>
      <c r="Z222" s="74">
        <f>'Detailed Results'!N222</f>
        <v>4</v>
      </c>
      <c r="AA222" s="75">
        <f t="shared" si="42"/>
        <v>0.5714285714285714</v>
      </c>
      <c r="AB222" s="75">
        <f t="shared" si="47"/>
        <v>0.44444444444444442</v>
      </c>
      <c r="AC222" s="75">
        <f t="shared" si="43"/>
        <v>0.5</v>
      </c>
    </row>
    <row r="223" spans="1:29" ht="15" customHeight="1" thickBot="1" x14ac:dyDescent="0.4">
      <c r="A223" s="185"/>
      <c r="B223" s="7" t="s">
        <v>15</v>
      </c>
      <c r="C223" s="8" t="s">
        <v>16</v>
      </c>
      <c r="D223" s="8">
        <v>1</v>
      </c>
      <c r="E223" s="7" t="s">
        <v>109</v>
      </c>
      <c r="F223" s="40">
        <f>'GT Input'!C8</f>
        <v>3</v>
      </c>
      <c r="G223" s="40">
        <f>'GT Input'!D8</f>
        <v>9</v>
      </c>
      <c r="H223" s="40">
        <f>'GT Input'!E8</f>
        <v>3</v>
      </c>
      <c r="I223" s="40">
        <f>'GT Input'!F8</f>
        <v>9</v>
      </c>
      <c r="J223" s="41">
        <f>'Detailed Results'!G223</f>
        <v>3</v>
      </c>
      <c r="K223" s="41">
        <f>'Detailed Results'!H223</f>
        <v>3</v>
      </c>
      <c r="L223" s="42">
        <f t="shared" si="36"/>
        <v>1</v>
      </c>
      <c r="M223" s="42">
        <f t="shared" si="44"/>
        <v>1</v>
      </c>
      <c r="N223" s="42">
        <f t="shared" si="37"/>
        <v>1</v>
      </c>
      <c r="O223" s="43">
        <f>'Detailed Results'!I223</f>
        <v>7</v>
      </c>
      <c r="P223" s="43">
        <f>'Detailed Results'!J223</f>
        <v>7</v>
      </c>
      <c r="Q223" s="44">
        <f t="shared" si="38"/>
        <v>1</v>
      </c>
      <c r="R223" s="44">
        <f t="shared" si="45"/>
        <v>0.77777777777777779</v>
      </c>
      <c r="S223" s="44">
        <f t="shared" si="39"/>
        <v>0.87500000000000011</v>
      </c>
      <c r="T223" s="45">
        <f>'Detailed Results'!K223</f>
        <v>3</v>
      </c>
      <c r="U223" s="45">
        <f>'Detailed Results'!L223</f>
        <v>3</v>
      </c>
      <c r="V223" s="46">
        <f t="shared" si="40"/>
        <v>1</v>
      </c>
      <c r="W223" s="46">
        <f t="shared" si="46"/>
        <v>1</v>
      </c>
      <c r="X223" s="46">
        <f t="shared" si="41"/>
        <v>1</v>
      </c>
      <c r="Y223" s="47">
        <f>'Detailed Results'!M223</f>
        <v>7</v>
      </c>
      <c r="Z223" s="47">
        <f>'Detailed Results'!N223</f>
        <v>4</v>
      </c>
      <c r="AA223" s="48">
        <f t="shared" si="42"/>
        <v>0.5714285714285714</v>
      </c>
      <c r="AB223" s="48">
        <f t="shared" si="47"/>
        <v>0.44444444444444442</v>
      </c>
      <c r="AC223" s="48">
        <f t="shared" si="43"/>
        <v>0.5</v>
      </c>
    </row>
    <row r="224" spans="1:29" ht="15" customHeight="1" thickBot="1" x14ac:dyDescent="0.4">
      <c r="A224" s="185"/>
      <c r="B224" s="10" t="s">
        <v>15</v>
      </c>
      <c r="C224" s="11" t="s">
        <v>16</v>
      </c>
      <c r="D224" s="11">
        <v>2</v>
      </c>
      <c r="E224" s="10" t="s">
        <v>17</v>
      </c>
      <c r="F224" s="40">
        <f>'GT Input'!C8</f>
        <v>3</v>
      </c>
      <c r="G224" s="40">
        <f>'GT Input'!D8</f>
        <v>9</v>
      </c>
      <c r="H224" s="40">
        <f>'GT Input'!E8</f>
        <v>3</v>
      </c>
      <c r="I224" s="40">
        <f>'GT Input'!F8</f>
        <v>9</v>
      </c>
      <c r="J224" s="41">
        <f>'Detailed Results'!G224</f>
        <v>3</v>
      </c>
      <c r="K224" s="41">
        <f>'Detailed Results'!H224</f>
        <v>3</v>
      </c>
      <c r="L224" s="42">
        <f t="shared" si="36"/>
        <v>1</v>
      </c>
      <c r="M224" s="42">
        <f t="shared" si="44"/>
        <v>1</v>
      </c>
      <c r="N224" s="42">
        <f t="shared" si="37"/>
        <v>1</v>
      </c>
      <c r="O224" s="43">
        <f>'Detailed Results'!I224</f>
        <v>7</v>
      </c>
      <c r="P224" s="43">
        <f>'Detailed Results'!J224</f>
        <v>7</v>
      </c>
      <c r="Q224" s="44">
        <f t="shared" si="38"/>
        <v>1</v>
      </c>
      <c r="R224" s="44">
        <f t="shared" si="45"/>
        <v>0.77777777777777779</v>
      </c>
      <c r="S224" s="44">
        <f t="shared" si="39"/>
        <v>0.87500000000000011</v>
      </c>
      <c r="T224" s="45">
        <f>'Detailed Results'!K224</f>
        <v>3</v>
      </c>
      <c r="U224" s="45">
        <f>'Detailed Results'!L224</f>
        <v>3</v>
      </c>
      <c r="V224" s="46">
        <f t="shared" si="40"/>
        <v>1</v>
      </c>
      <c r="W224" s="46">
        <f t="shared" si="46"/>
        <v>1</v>
      </c>
      <c r="X224" s="46">
        <f t="shared" si="41"/>
        <v>1</v>
      </c>
      <c r="Y224" s="47">
        <f>'Detailed Results'!M224</f>
        <v>7</v>
      </c>
      <c r="Z224" s="47">
        <f>'Detailed Results'!N224</f>
        <v>4</v>
      </c>
      <c r="AA224" s="48">
        <f t="shared" si="42"/>
        <v>0.5714285714285714</v>
      </c>
      <c r="AB224" s="48">
        <f t="shared" si="47"/>
        <v>0.44444444444444442</v>
      </c>
      <c r="AC224" s="48">
        <f t="shared" si="43"/>
        <v>0.5</v>
      </c>
    </row>
    <row r="225" spans="1:29" ht="15" customHeight="1" thickBot="1" x14ac:dyDescent="0.4">
      <c r="A225" s="185"/>
      <c r="B225" s="10" t="s">
        <v>15</v>
      </c>
      <c r="C225" s="11" t="s">
        <v>16</v>
      </c>
      <c r="D225" s="11">
        <v>2</v>
      </c>
      <c r="E225" s="10" t="s">
        <v>109</v>
      </c>
      <c r="F225" s="40">
        <f>'GT Input'!C8</f>
        <v>3</v>
      </c>
      <c r="G225" s="40">
        <f>'GT Input'!D8</f>
        <v>9</v>
      </c>
      <c r="H225" s="40">
        <f>'GT Input'!E8</f>
        <v>3</v>
      </c>
      <c r="I225" s="40">
        <f>'GT Input'!F8</f>
        <v>9</v>
      </c>
      <c r="J225" s="41">
        <f>'Detailed Results'!G225</f>
        <v>3</v>
      </c>
      <c r="K225" s="41">
        <f>'Detailed Results'!H225</f>
        <v>3</v>
      </c>
      <c r="L225" s="42">
        <f t="shared" si="36"/>
        <v>1</v>
      </c>
      <c r="M225" s="42">
        <f t="shared" si="44"/>
        <v>1</v>
      </c>
      <c r="N225" s="42">
        <f t="shared" si="37"/>
        <v>1</v>
      </c>
      <c r="O225" s="43">
        <f>'Detailed Results'!I225</f>
        <v>7</v>
      </c>
      <c r="P225" s="43">
        <f>'Detailed Results'!J225</f>
        <v>7</v>
      </c>
      <c r="Q225" s="44">
        <f t="shared" si="38"/>
        <v>1</v>
      </c>
      <c r="R225" s="44">
        <f t="shared" si="45"/>
        <v>0.77777777777777779</v>
      </c>
      <c r="S225" s="44">
        <f t="shared" si="39"/>
        <v>0.87500000000000011</v>
      </c>
      <c r="T225" s="45">
        <f>'Detailed Results'!K225</f>
        <v>3</v>
      </c>
      <c r="U225" s="45">
        <f>'Detailed Results'!L225</f>
        <v>3</v>
      </c>
      <c r="V225" s="46">
        <f t="shared" si="40"/>
        <v>1</v>
      </c>
      <c r="W225" s="46">
        <f t="shared" si="46"/>
        <v>1</v>
      </c>
      <c r="X225" s="46">
        <f t="shared" si="41"/>
        <v>1</v>
      </c>
      <c r="Y225" s="47">
        <f>'Detailed Results'!M225</f>
        <v>7</v>
      </c>
      <c r="Z225" s="47">
        <f>'Detailed Results'!N225</f>
        <v>4</v>
      </c>
      <c r="AA225" s="48">
        <f t="shared" si="42"/>
        <v>0.5714285714285714</v>
      </c>
      <c r="AB225" s="48">
        <f t="shared" si="47"/>
        <v>0.44444444444444442</v>
      </c>
      <c r="AC225" s="48">
        <f t="shared" si="43"/>
        <v>0.5</v>
      </c>
    </row>
    <row r="226" spans="1:29" ht="15" customHeight="1" thickBot="1" x14ac:dyDescent="0.4">
      <c r="A226" s="185"/>
      <c r="B226" s="7" t="s">
        <v>15</v>
      </c>
      <c r="C226" s="8" t="s">
        <v>16</v>
      </c>
      <c r="D226" s="8">
        <v>3</v>
      </c>
      <c r="E226" s="7" t="s">
        <v>17</v>
      </c>
      <c r="F226" s="40">
        <f>'GT Input'!C8</f>
        <v>3</v>
      </c>
      <c r="G226" s="40">
        <f>'GT Input'!D8</f>
        <v>9</v>
      </c>
      <c r="H226" s="40">
        <f>'GT Input'!E8</f>
        <v>3</v>
      </c>
      <c r="I226" s="40">
        <f>'GT Input'!F8</f>
        <v>9</v>
      </c>
      <c r="J226" s="41">
        <f>'Detailed Results'!G226</f>
        <v>3</v>
      </c>
      <c r="K226" s="41">
        <f>'Detailed Results'!H226</f>
        <v>3</v>
      </c>
      <c r="L226" s="42">
        <f t="shared" si="36"/>
        <v>1</v>
      </c>
      <c r="M226" s="42">
        <f t="shared" si="44"/>
        <v>1</v>
      </c>
      <c r="N226" s="42">
        <f t="shared" si="37"/>
        <v>1</v>
      </c>
      <c r="O226" s="43">
        <f>'Detailed Results'!I226</f>
        <v>7</v>
      </c>
      <c r="P226" s="43">
        <f>'Detailed Results'!J226</f>
        <v>7</v>
      </c>
      <c r="Q226" s="44">
        <f t="shared" si="38"/>
        <v>1</v>
      </c>
      <c r="R226" s="44">
        <f t="shared" si="45"/>
        <v>0.77777777777777779</v>
      </c>
      <c r="S226" s="44">
        <f t="shared" si="39"/>
        <v>0.87500000000000011</v>
      </c>
      <c r="T226" s="45">
        <f>'Detailed Results'!K226</f>
        <v>3</v>
      </c>
      <c r="U226" s="45">
        <f>'Detailed Results'!L226</f>
        <v>3</v>
      </c>
      <c r="V226" s="46">
        <f t="shared" si="40"/>
        <v>1</v>
      </c>
      <c r="W226" s="46">
        <f t="shared" si="46"/>
        <v>1</v>
      </c>
      <c r="X226" s="46">
        <f t="shared" si="41"/>
        <v>1</v>
      </c>
      <c r="Y226" s="47">
        <f>'Detailed Results'!M226</f>
        <v>7</v>
      </c>
      <c r="Z226" s="47">
        <f>'Detailed Results'!N226</f>
        <v>4</v>
      </c>
      <c r="AA226" s="48">
        <f t="shared" si="42"/>
        <v>0.5714285714285714</v>
      </c>
      <c r="AB226" s="48">
        <f t="shared" si="47"/>
        <v>0.44444444444444442</v>
      </c>
      <c r="AC226" s="48">
        <f t="shared" si="43"/>
        <v>0.5</v>
      </c>
    </row>
    <row r="227" spans="1:29" ht="15" customHeight="1" thickBot="1" x14ac:dyDescent="0.4">
      <c r="A227" s="185"/>
      <c r="B227" s="7" t="s">
        <v>15</v>
      </c>
      <c r="C227" s="8" t="s">
        <v>16</v>
      </c>
      <c r="D227" s="8">
        <v>3</v>
      </c>
      <c r="E227" s="7" t="s">
        <v>109</v>
      </c>
      <c r="F227" s="40">
        <f>'GT Input'!C8</f>
        <v>3</v>
      </c>
      <c r="G227" s="40">
        <f>'GT Input'!D8</f>
        <v>9</v>
      </c>
      <c r="H227" s="40">
        <f>'GT Input'!E8</f>
        <v>3</v>
      </c>
      <c r="I227" s="40">
        <f>'GT Input'!F8</f>
        <v>9</v>
      </c>
      <c r="J227" s="41">
        <f>'Detailed Results'!G227</f>
        <v>3</v>
      </c>
      <c r="K227" s="41">
        <f>'Detailed Results'!H227</f>
        <v>3</v>
      </c>
      <c r="L227" s="42">
        <f t="shared" si="36"/>
        <v>1</v>
      </c>
      <c r="M227" s="42">
        <f t="shared" si="44"/>
        <v>1</v>
      </c>
      <c r="N227" s="42">
        <f t="shared" si="37"/>
        <v>1</v>
      </c>
      <c r="O227" s="43">
        <f>'Detailed Results'!I227</f>
        <v>7</v>
      </c>
      <c r="P227" s="43">
        <f>'Detailed Results'!J227</f>
        <v>7</v>
      </c>
      <c r="Q227" s="44">
        <f t="shared" si="38"/>
        <v>1</v>
      </c>
      <c r="R227" s="44">
        <f t="shared" si="45"/>
        <v>0.77777777777777779</v>
      </c>
      <c r="S227" s="44">
        <f t="shared" si="39"/>
        <v>0.87500000000000011</v>
      </c>
      <c r="T227" s="45">
        <f>'Detailed Results'!K227</f>
        <v>3</v>
      </c>
      <c r="U227" s="45">
        <f>'Detailed Results'!L227</f>
        <v>3</v>
      </c>
      <c r="V227" s="46">
        <f t="shared" si="40"/>
        <v>1</v>
      </c>
      <c r="W227" s="46">
        <f t="shared" si="46"/>
        <v>1</v>
      </c>
      <c r="X227" s="46">
        <f t="shared" si="41"/>
        <v>1</v>
      </c>
      <c r="Y227" s="47">
        <f>'Detailed Results'!M227</f>
        <v>7</v>
      </c>
      <c r="Z227" s="47">
        <f>'Detailed Results'!N227</f>
        <v>4</v>
      </c>
      <c r="AA227" s="48">
        <f t="shared" si="42"/>
        <v>0.5714285714285714</v>
      </c>
      <c r="AB227" s="48">
        <f t="shared" si="47"/>
        <v>0.44444444444444442</v>
      </c>
      <c r="AC227" s="48">
        <f t="shared" si="43"/>
        <v>0.5</v>
      </c>
    </row>
    <row r="228" spans="1:29" ht="15" customHeight="1" thickBot="1" x14ac:dyDescent="0.4">
      <c r="A228" s="185"/>
      <c r="B228" s="10" t="s">
        <v>15</v>
      </c>
      <c r="C228" s="11" t="s">
        <v>19</v>
      </c>
      <c r="D228" s="11">
        <v>1</v>
      </c>
      <c r="E228" s="10" t="s">
        <v>17</v>
      </c>
      <c r="F228" s="40">
        <f>'GT Input'!C8</f>
        <v>3</v>
      </c>
      <c r="G228" s="40">
        <f>'GT Input'!D8</f>
        <v>9</v>
      </c>
      <c r="H228" s="40">
        <f>'GT Input'!E8</f>
        <v>3</v>
      </c>
      <c r="I228" s="40">
        <f>'GT Input'!F8</f>
        <v>9</v>
      </c>
      <c r="J228" s="41">
        <f>'Detailed Results'!G228</f>
        <v>3</v>
      </c>
      <c r="K228" s="41">
        <f>'Detailed Results'!H228</f>
        <v>3</v>
      </c>
      <c r="L228" s="42">
        <f t="shared" si="36"/>
        <v>1</v>
      </c>
      <c r="M228" s="42">
        <f t="shared" si="44"/>
        <v>1</v>
      </c>
      <c r="N228" s="42">
        <f t="shared" si="37"/>
        <v>1</v>
      </c>
      <c r="O228" s="43">
        <f>'Detailed Results'!I228</f>
        <v>7</v>
      </c>
      <c r="P228" s="43">
        <f>'Detailed Results'!J228</f>
        <v>7</v>
      </c>
      <c r="Q228" s="44">
        <f t="shared" si="38"/>
        <v>1</v>
      </c>
      <c r="R228" s="44">
        <f t="shared" si="45"/>
        <v>0.77777777777777779</v>
      </c>
      <c r="S228" s="44">
        <f t="shared" si="39"/>
        <v>0.87500000000000011</v>
      </c>
      <c r="T228" s="45">
        <f>'Detailed Results'!K228</f>
        <v>3</v>
      </c>
      <c r="U228" s="45">
        <f>'Detailed Results'!L228</f>
        <v>3</v>
      </c>
      <c r="V228" s="46">
        <f t="shared" si="40"/>
        <v>1</v>
      </c>
      <c r="W228" s="46">
        <f t="shared" si="46"/>
        <v>1</v>
      </c>
      <c r="X228" s="46">
        <f t="shared" si="41"/>
        <v>1</v>
      </c>
      <c r="Y228" s="47">
        <f>'Detailed Results'!M228</f>
        <v>7</v>
      </c>
      <c r="Z228" s="47">
        <f>'Detailed Results'!N228</f>
        <v>4</v>
      </c>
      <c r="AA228" s="48">
        <f t="shared" si="42"/>
        <v>0.5714285714285714</v>
      </c>
      <c r="AB228" s="48">
        <f t="shared" si="47"/>
        <v>0.44444444444444442</v>
      </c>
      <c r="AC228" s="48">
        <f t="shared" si="43"/>
        <v>0.5</v>
      </c>
    </row>
    <row r="229" spans="1:29" ht="15" customHeight="1" thickBot="1" x14ac:dyDescent="0.4">
      <c r="A229" s="185"/>
      <c r="B229" s="10" t="s">
        <v>15</v>
      </c>
      <c r="C229" s="11" t="s">
        <v>19</v>
      </c>
      <c r="D229" s="11">
        <v>1</v>
      </c>
      <c r="E229" s="10" t="s">
        <v>109</v>
      </c>
      <c r="F229" s="40">
        <f>'GT Input'!C8</f>
        <v>3</v>
      </c>
      <c r="G229" s="40">
        <f>'GT Input'!D8</f>
        <v>9</v>
      </c>
      <c r="H229" s="40">
        <f>'GT Input'!E8</f>
        <v>3</v>
      </c>
      <c r="I229" s="40">
        <f>'GT Input'!F8</f>
        <v>9</v>
      </c>
      <c r="J229" s="41">
        <f>'Detailed Results'!G229</f>
        <v>3</v>
      </c>
      <c r="K229" s="41">
        <f>'Detailed Results'!H229</f>
        <v>3</v>
      </c>
      <c r="L229" s="42">
        <f t="shared" si="36"/>
        <v>1</v>
      </c>
      <c r="M229" s="42">
        <f t="shared" si="44"/>
        <v>1</v>
      </c>
      <c r="N229" s="42">
        <f t="shared" si="37"/>
        <v>1</v>
      </c>
      <c r="O229" s="43">
        <f>'Detailed Results'!I229</f>
        <v>7</v>
      </c>
      <c r="P229" s="43">
        <f>'Detailed Results'!J229</f>
        <v>7</v>
      </c>
      <c r="Q229" s="44">
        <f t="shared" si="38"/>
        <v>1</v>
      </c>
      <c r="R229" s="44">
        <f t="shared" si="45"/>
        <v>0.77777777777777779</v>
      </c>
      <c r="S229" s="44">
        <f t="shared" si="39"/>
        <v>0.87500000000000011</v>
      </c>
      <c r="T229" s="45">
        <f>'Detailed Results'!K229</f>
        <v>3</v>
      </c>
      <c r="U229" s="45">
        <f>'Detailed Results'!L229</f>
        <v>3</v>
      </c>
      <c r="V229" s="46">
        <f t="shared" si="40"/>
        <v>1</v>
      </c>
      <c r="W229" s="46">
        <f t="shared" si="46"/>
        <v>1</v>
      </c>
      <c r="X229" s="46">
        <f t="shared" si="41"/>
        <v>1</v>
      </c>
      <c r="Y229" s="47">
        <f>'Detailed Results'!M229</f>
        <v>7</v>
      </c>
      <c r="Z229" s="47">
        <f>'Detailed Results'!N229</f>
        <v>4</v>
      </c>
      <c r="AA229" s="48">
        <f t="shared" si="42"/>
        <v>0.5714285714285714</v>
      </c>
      <c r="AB229" s="48">
        <f t="shared" si="47"/>
        <v>0.44444444444444442</v>
      </c>
      <c r="AC229" s="48">
        <f t="shared" si="43"/>
        <v>0.5</v>
      </c>
    </row>
    <row r="230" spans="1:29" ht="15" customHeight="1" thickBot="1" x14ac:dyDescent="0.4">
      <c r="A230" s="185"/>
      <c r="B230" s="7" t="s">
        <v>15</v>
      </c>
      <c r="C230" s="8" t="s">
        <v>19</v>
      </c>
      <c r="D230" s="8">
        <v>2</v>
      </c>
      <c r="E230" s="7" t="s">
        <v>17</v>
      </c>
      <c r="F230" s="40">
        <f>'GT Input'!C8</f>
        <v>3</v>
      </c>
      <c r="G230" s="40">
        <f>'GT Input'!D8</f>
        <v>9</v>
      </c>
      <c r="H230" s="40">
        <f>'GT Input'!E8</f>
        <v>3</v>
      </c>
      <c r="I230" s="40">
        <f>'GT Input'!F8</f>
        <v>9</v>
      </c>
      <c r="J230" s="41">
        <f>'Detailed Results'!G230</f>
        <v>3</v>
      </c>
      <c r="K230" s="41">
        <f>'Detailed Results'!H230</f>
        <v>3</v>
      </c>
      <c r="L230" s="42">
        <f t="shared" si="36"/>
        <v>1</v>
      </c>
      <c r="M230" s="42">
        <f t="shared" si="44"/>
        <v>1</v>
      </c>
      <c r="N230" s="42">
        <f t="shared" si="37"/>
        <v>1</v>
      </c>
      <c r="O230" s="43">
        <f>'Detailed Results'!I230</f>
        <v>7</v>
      </c>
      <c r="P230" s="43">
        <f>'Detailed Results'!J230</f>
        <v>7</v>
      </c>
      <c r="Q230" s="44">
        <f t="shared" si="38"/>
        <v>1</v>
      </c>
      <c r="R230" s="44">
        <f t="shared" si="45"/>
        <v>0.77777777777777779</v>
      </c>
      <c r="S230" s="44">
        <f t="shared" si="39"/>
        <v>0.87500000000000011</v>
      </c>
      <c r="T230" s="45">
        <f>'Detailed Results'!K230</f>
        <v>3</v>
      </c>
      <c r="U230" s="45">
        <f>'Detailed Results'!L230</f>
        <v>3</v>
      </c>
      <c r="V230" s="46">
        <f t="shared" si="40"/>
        <v>1</v>
      </c>
      <c r="W230" s="46">
        <f t="shared" si="46"/>
        <v>1</v>
      </c>
      <c r="X230" s="46">
        <f t="shared" si="41"/>
        <v>1</v>
      </c>
      <c r="Y230" s="47">
        <f>'Detailed Results'!M230</f>
        <v>7</v>
      </c>
      <c r="Z230" s="47">
        <f>'Detailed Results'!N230</f>
        <v>4</v>
      </c>
      <c r="AA230" s="48">
        <f t="shared" si="42"/>
        <v>0.5714285714285714</v>
      </c>
      <c r="AB230" s="48">
        <f t="shared" si="47"/>
        <v>0.44444444444444442</v>
      </c>
      <c r="AC230" s="48">
        <f t="shared" si="43"/>
        <v>0.5</v>
      </c>
    </row>
    <row r="231" spans="1:29" ht="15" customHeight="1" thickBot="1" x14ac:dyDescent="0.4">
      <c r="A231" s="185"/>
      <c r="B231" s="7" t="s">
        <v>15</v>
      </c>
      <c r="C231" s="8" t="s">
        <v>19</v>
      </c>
      <c r="D231" s="8">
        <v>2</v>
      </c>
      <c r="E231" s="7" t="s">
        <v>109</v>
      </c>
      <c r="F231" s="40">
        <f>'GT Input'!C8</f>
        <v>3</v>
      </c>
      <c r="G231" s="40">
        <f>'GT Input'!D8</f>
        <v>9</v>
      </c>
      <c r="H231" s="40">
        <f>'GT Input'!E8</f>
        <v>3</v>
      </c>
      <c r="I231" s="40">
        <f>'GT Input'!F8</f>
        <v>9</v>
      </c>
      <c r="J231" s="41">
        <f>'Detailed Results'!G231</f>
        <v>3</v>
      </c>
      <c r="K231" s="41">
        <f>'Detailed Results'!H231</f>
        <v>3</v>
      </c>
      <c r="L231" s="42">
        <f t="shared" si="36"/>
        <v>1</v>
      </c>
      <c r="M231" s="42">
        <f t="shared" si="44"/>
        <v>1</v>
      </c>
      <c r="N231" s="42">
        <f t="shared" si="37"/>
        <v>1</v>
      </c>
      <c r="O231" s="43">
        <f>'Detailed Results'!I231</f>
        <v>7</v>
      </c>
      <c r="P231" s="43">
        <f>'Detailed Results'!J231</f>
        <v>7</v>
      </c>
      <c r="Q231" s="44">
        <f t="shared" si="38"/>
        <v>1</v>
      </c>
      <c r="R231" s="44">
        <f t="shared" si="45"/>
        <v>0.77777777777777779</v>
      </c>
      <c r="S231" s="44">
        <f t="shared" si="39"/>
        <v>0.87500000000000011</v>
      </c>
      <c r="T231" s="45">
        <f>'Detailed Results'!K231</f>
        <v>3</v>
      </c>
      <c r="U231" s="45">
        <f>'Detailed Results'!L231</f>
        <v>3</v>
      </c>
      <c r="V231" s="46">
        <f t="shared" si="40"/>
        <v>1</v>
      </c>
      <c r="W231" s="46">
        <f t="shared" si="46"/>
        <v>1</v>
      </c>
      <c r="X231" s="46">
        <f t="shared" si="41"/>
        <v>1</v>
      </c>
      <c r="Y231" s="47">
        <f>'Detailed Results'!M231</f>
        <v>7</v>
      </c>
      <c r="Z231" s="47">
        <f>'Detailed Results'!N231</f>
        <v>4</v>
      </c>
      <c r="AA231" s="48">
        <f t="shared" si="42"/>
        <v>0.5714285714285714</v>
      </c>
      <c r="AB231" s="48">
        <f t="shared" si="47"/>
        <v>0.44444444444444442</v>
      </c>
      <c r="AC231" s="48">
        <f t="shared" si="43"/>
        <v>0.5</v>
      </c>
    </row>
    <row r="232" spans="1:29" ht="15" customHeight="1" thickBot="1" x14ac:dyDescent="0.4">
      <c r="A232" s="185"/>
      <c r="B232" s="10" t="s">
        <v>15</v>
      </c>
      <c r="C232" s="11" t="s">
        <v>19</v>
      </c>
      <c r="D232" s="11">
        <v>3</v>
      </c>
      <c r="E232" s="10" t="s">
        <v>17</v>
      </c>
      <c r="F232" s="40">
        <f>'GT Input'!C8</f>
        <v>3</v>
      </c>
      <c r="G232" s="40">
        <f>'GT Input'!D8</f>
        <v>9</v>
      </c>
      <c r="H232" s="40">
        <f>'GT Input'!E8</f>
        <v>3</v>
      </c>
      <c r="I232" s="40">
        <f>'GT Input'!F8</f>
        <v>9</v>
      </c>
      <c r="J232" s="41">
        <f>'Detailed Results'!G232</f>
        <v>3</v>
      </c>
      <c r="K232" s="41">
        <f>'Detailed Results'!H232</f>
        <v>3</v>
      </c>
      <c r="L232" s="42">
        <f t="shared" si="36"/>
        <v>1</v>
      </c>
      <c r="M232" s="42">
        <f t="shared" si="44"/>
        <v>1</v>
      </c>
      <c r="N232" s="42">
        <f t="shared" si="37"/>
        <v>1</v>
      </c>
      <c r="O232" s="43">
        <f>'Detailed Results'!I232</f>
        <v>7</v>
      </c>
      <c r="P232" s="43">
        <f>'Detailed Results'!J232</f>
        <v>7</v>
      </c>
      <c r="Q232" s="44">
        <f t="shared" si="38"/>
        <v>1</v>
      </c>
      <c r="R232" s="44">
        <f t="shared" si="45"/>
        <v>0.77777777777777779</v>
      </c>
      <c r="S232" s="44">
        <f t="shared" si="39"/>
        <v>0.87500000000000011</v>
      </c>
      <c r="T232" s="45">
        <f>'Detailed Results'!K232</f>
        <v>3</v>
      </c>
      <c r="U232" s="45">
        <f>'Detailed Results'!L232</f>
        <v>3</v>
      </c>
      <c r="V232" s="46">
        <f t="shared" si="40"/>
        <v>1</v>
      </c>
      <c r="W232" s="46">
        <f t="shared" si="46"/>
        <v>1</v>
      </c>
      <c r="X232" s="46">
        <f t="shared" si="41"/>
        <v>1</v>
      </c>
      <c r="Y232" s="47">
        <f>'Detailed Results'!M232</f>
        <v>7</v>
      </c>
      <c r="Z232" s="47">
        <f>'Detailed Results'!N232</f>
        <v>4</v>
      </c>
      <c r="AA232" s="48">
        <f t="shared" si="42"/>
        <v>0.5714285714285714</v>
      </c>
      <c r="AB232" s="48">
        <f t="shared" si="47"/>
        <v>0.44444444444444442</v>
      </c>
      <c r="AC232" s="48">
        <f t="shared" si="43"/>
        <v>0.5</v>
      </c>
    </row>
    <row r="233" spans="1:29" ht="15" customHeight="1" thickBot="1" x14ac:dyDescent="0.4">
      <c r="A233" s="185"/>
      <c r="B233" s="10" t="s">
        <v>15</v>
      </c>
      <c r="C233" s="11" t="s">
        <v>19</v>
      </c>
      <c r="D233" s="11">
        <v>3</v>
      </c>
      <c r="E233" s="10" t="s">
        <v>109</v>
      </c>
      <c r="F233" s="40">
        <f>'GT Input'!C8</f>
        <v>3</v>
      </c>
      <c r="G233" s="40">
        <f>'GT Input'!D8</f>
        <v>9</v>
      </c>
      <c r="H233" s="40">
        <f>'GT Input'!E8</f>
        <v>3</v>
      </c>
      <c r="I233" s="40">
        <f>'GT Input'!F8</f>
        <v>9</v>
      </c>
      <c r="J233" s="41">
        <f>'Detailed Results'!G233</f>
        <v>3</v>
      </c>
      <c r="K233" s="41">
        <f>'Detailed Results'!H233</f>
        <v>3</v>
      </c>
      <c r="L233" s="42">
        <f t="shared" si="36"/>
        <v>1</v>
      </c>
      <c r="M233" s="42">
        <f t="shared" si="44"/>
        <v>1</v>
      </c>
      <c r="N233" s="42">
        <f t="shared" si="37"/>
        <v>1</v>
      </c>
      <c r="O233" s="43">
        <f>'Detailed Results'!I233</f>
        <v>6</v>
      </c>
      <c r="P233" s="43">
        <f>'Detailed Results'!J233</f>
        <v>6</v>
      </c>
      <c r="Q233" s="44">
        <f t="shared" si="38"/>
        <v>1</v>
      </c>
      <c r="R233" s="44">
        <f t="shared" si="45"/>
        <v>0.66666666666666663</v>
      </c>
      <c r="S233" s="44">
        <f t="shared" si="39"/>
        <v>0.8</v>
      </c>
      <c r="T233" s="45">
        <f>'Detailed Results'!K233</f>
        <v>3</v>
      </c>
      <c r="U233" s="45">
        <f>'Detailed Results'!L233</f>
        <v>3</v>
      </c>
      <c r="V233" s="46">
        <f t="shared" si="40"/>
        <v>1</v>
      </c>
      <c r="W233" s="46">
        <f t="shared" si="46"/>
        <v>1</v>
      </c>
      <c r="X233" s="46">
        <f t="shared" si="41"/>
        <v>1</v>
      </c>
      <c r="Y233" s="47">
        <f>'Detailed Results'!M233</f>
        <v>6</v>
      </c>
      <c r="Z233" s="47">
        <f>'Detailed Results'!N233</f>
        <v>4</v>
      </c>
      <c r="AA233" s="48">
        <f t="shared" si="42"/>
        <v>0.66666666666666663</v>
      </c>
      <c r="AB233" s="48">
        <f t="shared" si="47"/>
        <v>0.44444444444444442</v>
      </c>
      <c r="AC233" s="48">
        <f t="shared" si="43"/>
        <v>0.53333333333333333</v>
      </c>
    </row>
    <row r="234" spans="1:29" ht="15" customHeight="1" thickBot="1" x14ac:dyDescent="0.4">
      <c r="A234" s="185"/>
      <c r="B234" s="7" t="s">
        <v>15</v>
      </c>
      <c r="C234" s="8" t="s">
        <v>20</v>
      </c>
      <c r="D234" s="8">
        <v>1</v>
      </c>
      <c r="E234" s="7" t="s">
        <v>17</v>
      </c>
      <c r="F234" s="40">
        <f>'GT Input'!C8</f>
        <v>3</v>
      </c>
      <c r="G234" s="40">
        <f>'GT Input'!D8</f>
        <v>9</v>
      </c>
      <c r="H234" s="40">
        <f>'GT Input'!E8</f>
        <v>3</v>
      </c>
      <c r="I234" s="40">
        <f>'GT Input'!F8</f>
        <v>9</v>
      </c>
      <c r="J234" s="41">
        <f>'Detailed Results'!G234</f>
        <v>3</v>
      </c>
      <c r="K234" s="41">
        <f>'Detailed Results'!H234</f>
        <v>3</v>
      </c>
      <c r="L234" s="42">
        <f t="shared" si="36"/>
        <v>1</v>
      </c>
      <c r="M234" s="42">
        <f t="shared" si="44"/>
        <v>1</v>
      </c>
      <c r="N234" s="42">
        <f t="shared" si="37"/>
        <v>1</v>
      </c>
      <c r="O234" s="43">
        <f>'Detailed Results'!I234</f>
        <v>7</v>
      </c>
      <c r="P234" s="43">
        <f>'Detailed Results'!J234</f>
        <v>7</v>
      </c>
      <c r="Q234" s="44">
        <f t="shared" si="38"/>
        <v>1</v>
      </c>
      <c r="R234" s="44">
        <f t="shared" si="45"/>
        <v>0.77777777777777779</v>
      </c>
      <c r="S234" s="44">
        <f t="shared" si="39"/>
        <v>0.87500000000000011</v>
      </c>
      <c r="T234" s="45">
        <f>'Detailed Results'!K234</f>
        <v>3</v>
      </c>
      <c r="U234" s="45">
        <f>'Detailed Results'!L234</f>
        <v>3</v>
      </c>
      <c r="V234" s="46">
        <f t="shared" si="40"/>
        <v>1</v>
      </c>
      <c r="W234" s="46">
        <f t="shared" si="46"/>
        <v>1</v>
      </c>
      <c r="X234" s="46">
        <f t="shared" si="41"/>
        <v>1</v>
      </c>
      <c r="Y234" s="47">
        <f>'Detailed Results'!M234</f>
        <v>7</v>
      </c>
      <c r="Z234" s="47">
        <f>'Detailed Results'!N234</f>
        <v>4</v>
      </c>
      <c r="AA234" s="48">
        <f t="shared" si="42"/>
        <v>0.5714285714285714</v>
      </c>
      <c r="AB234" s="48">
        <f t="shared" si="47"/>
        <v>0.44444444444444442</v>
      </c>
      <c r="AC234" s="48">
        <f t="shared" si="43"/>
        <v>0.5</v>
      </c>
    </row>
    <row r="235" spans="1:29" ht="15" customHeight="1" thickBot="1" x14ac:dyDescent="0.4">
      <c r="A235" s="185"/>
      <c r="B235" s="7" t="s">
        <v>15</v>
      </c>
      <c r="C235" s="8" t="s">
        <v>20</v>
      </c>
      <c r="D235" s="8">
        <v>1</v>
      </c>
      <c r="E235" s="7" t="s">
        <v>109</v>
      </c>
      <c r="F235" s="40">
        <f>'GT Input'!C8</f>
        <v>3</v>
      </c>
      <c r="G235" s="40">
        <f>'GT Input'!D8</f>
        <v>9</v>
      </c>
      <c r="H235" s="40">
        <f>'GT Input'!E8</f>
        <v>3</v>
      </c>
      <c r="I235" s="40">
        <f>'GT Input'!F8</f>
        <v>9</v>
      </c>
      <c r="J235" s="41">
        <f>'Detailed Results'!G235</f>
        <v>3</v>
      </c>
      <c r="K235" s="41">
        <f>'Detailed Results'!H235</f>
        <v>3</v>
      </c>
      <c r="L235" s="42">
        <f t="shared" si="36"/>
        <v>1</v>
      </c>
      <c r="M235" s="42">
        <f t="shared" si="44"/>
        <v>1</v>
      </c>
      <c r="N235" s="42">
        <f t="shared" si="37"/>
        <v>1</v>
      </c>
      <c r="O235" s="43">
        <f>'Detailed Results'!I235</f>
        <v>7</v>
      </c>
      <c r="P235" s="43">
        <f>'Detailed Results'!J235</f>
        <v>7</v>
      </c>
      <c r="Q235" s="44">
        <f t="shared" si="38"/>
        <v>1</v>
      </c>
      <c r="R235" s="44">
        <f t="shared" si="45"/>
        <v>0.77777777777777779</v>
      </c>
      <c r="S235" s="44">
        <f t="shared" si="39"/>
        <v>0.87500000000000011</v>
      </c>
      <c r="T235" s="45">
        <f>'Detailed Results'!K235</f>
        <v>3</v>
      </c>
      <c r="U235" s="45">
        <f>'Detailed Results'!L235</f>
        <v>3</v>
      </c>
      <c r="V235" s="46">
        <f t="shared" si="40"/>
        <v>1</v>
      </c>
      <c r="W235" s="46">
        <f t="shared" si="46"/>
        <v>1</v>
      </c>
      <c r="X235" s="46">
        <f t="shared" si="41"/>
        <v>1</v>
      </c>
      <c r="Y235" s="47">
        <f>'Detailed Results'!M235</f>
        <v>7</v>
      </c>
      <c r="Z235" s="47">
        <f>'Detailed Results'!N235</f>
        <v>4</v>
      </c>
      <c r="AA235" s="48">
        <f t="shared" si="42"/>
        <v>0.5714285714285714</v>
      </c>
      <c r="AB235" s="48">
        <f t="shared" si="47"/>
        <v>0.44444444444444442</v>
      </c>
      <c r="AC235" s="48">
        <f t="shared" si="43"/>
        <v>0.5</v>
      </c>
    </row>
    <row r="236" spans="1:29" ht="15" customHeight="1" thickBot="1" x14ac:dyDescent="0.4">
      <c r="A236" s="185"/>
      <c r="B236" s="10" t="s">
        <v>15</v>
      </c>
      <c r="C236" s="11" t="s">
        <v>20</v>
      </c>
      <c r="D236" s="11">
        <v>2</v>
      </c>
      <c r="E236" s="10" t="s">
        <v>17</v>
      </c>
      <c r="F236" s="40">
        <f>'GT Input'!C8</f>
        <v>3</v>
      </c>
      <c r="G236" s="40">
        <f>'GT Input'!D8</f>
        <v>9</v>
      </c>
      <c r="H236" s="40">
        <f>'GT Input'!E8</f>
        <v>3</v>
      </c>
      <c r="I236" s="40">
        <f>'GT Input'!F8</f>
        <v>9</v>
      </c>
      <c r="J236" s="41">
        <f>'Detailed Results'!G236</f>
        <v>3</v>
      </c>
      <c r="K236" s="41">
        <f>'Detailed Results'!H236</f>
        <v>3</v>
      </c>
      <c r="L236" s="42">
        <f t="shared" si="36"/>
        <v>1</v>
      </c>
      <c r="M236" s="42">
        <f t="shared" si="44"/>
        <v>1</v>
      </c>
      <c r="N236" s="42">
        <f t="shared" si="37"/>
        <v>1</v>
      </c>
      <c r="O236" s="43">
        <f>'Detailed Results'!I236</f>
        <v>7</v>
      </c>
      <c r="P236" s="43">
        <f>'Detailed Results'!J236</f>
        <v>7</v>
      </c>
      <c r="Q236" s="44">
        <f t="shared" si="38"/>
        <v>1</v>
      </c>
      <c r="R236" s="44">
        <f t="shared" si="45"/>
        <v>0.77777777777777779</v>
      </c>
      <c r="S236" s="44">
        <f t="shared" si="39"/>
        <v>0.87500000000000011</v>
      </c>
      <c r="T236" s="45">
        <f>'Detailed Results'!K236</f>
        <v>3</v>
      </c>
      <c r="U236" s="45">
        <f>'Detailed Results'!L236</f>
        <v>3</v>
      </c>
      <c r="V236" s="46">
        <f t="shared" si="40"/>
        <v>1</v>
      </c>
      <c r="W236" s="46">
        <f t="shared" si="46"/>
        <v>1</v>
      </c>
      <c r="X236" s="46">
        <f t="shared" si="41"/>
        <v>1</v>
      </c>
      <c r="Y236" s="47">
        <f>'Detailed Results'!M236</f>
        <v>7</v>
      </c>
      <c r="Z236" s="47">
        <f>'Detailed Results'!N236</f>
        <v>4</v>
      </c>
      <c r="AA236" s="48">
        <f t="shared" si="42"/>
        <v>0.5714285714285714</v>
      </c>
      <c r="AB236" s="48">
        <f t="shared" si="47"/>
        <v>0.44444444444444442</v>
      </c>
      <c r="AC236" s="48">
        <f t="shared" si="43"/>
        <v>0.5</v>
      </c>
    </row>
    <row r="237" spans="1:29" ht="15" customHeight="1" thickBot="1" x14ac:dyDescent="0.4">
      <c r="A237" s="185"/>
      <c r="B237" s="10" t="s">
        <v>15</v>
      </c>
      <c r="C237" s="11" t="s">
        <v>20</v>
      </c>
      <c r="D237" s="11">
        <v>2</v>
      </c>
      <c r="E237" s="10" t="s">
        <v>109</v>
      </c>
      <c r="F237" s="40">
        <f>'GT Input'!C8</f>
        <v>3</v>
      </c>
      <c r="G237" s="40">
        <f>'GT Input'!D8</f>
        <v>9</v>
      </c>
      <c r="H237" s="40">
        <f>'GT Input'!E8</f>
        <v>3</v>
      </c>
      <c r="I237" s="40">
        <f>'GT Input'!F8</f>
        <v>9</v>
      </c>
      <c r="J237" s="41">
        <f>'Detailed Results'!G237</f>
        <v>3</v>
      </c>
      <c r="K237" s="41">
        <f>'Detailed Results'!H237</f>
        <v>3</v>
      </c>
      <c r="L237" s="42">
        <f t="shared" si="36"/>
        <v>1</v>
      </c>
      <c r="M237" s="42">
        <f t="shared" si="44"/>
        <v>1</v>
      </c>
      <c r="N237" s="42">
        <f t="shared" si="37"/>
        <v>1</v>
      </c>
      <c r="O237" s="43">
        <f>'Detailed Results'!I237</f>
        <v>7</v>
      </c>
      <c r="P237" s="43">
        <f>'Detailed Results'!J237</f>
        <v>7</v>
      </c>
      <c r="Q237" s="44">
        <f t="shared" si="38"/>
        <v>1</v>
      </c>
      <c r="R237" s="44">
        <f t="shared" si="45"/>
        <v>0.77777777777777779</v>
      </c>
      <c r="S237" s="44">
        <f t="shared" si="39"/>
        <v>0.87500000000000011</v>
      </c>
      <c r="T237" s="45">
        <f>'Detailed Results'!K237</f>
        <v>3</v>
      </c>
      <c r="U237" s="45">
        <f>'Detailed Results'!L237</f>
        <v>3</v>
      </c>
      <c r="V237" s="46">
        <f t="shared" si="40"/>
        <v>1</v>
      </c>
      <c r="W237" s="46">
        <f t="shared" si="46"/>
        <v>1</v>
      </c>
      <c r="X237" s="46">
        <f t="shared" si="41"/>
        <v>1</v>
      </c>
      <c r="Y237" s="47">
        <f>'Detailed Results'!M237</f>
        <v>7</v>
      </c>
      <c r="Z237" s="47">
        <f>'Detailed Results'!N237</f>
        <v>4</v>
      </c>
      <c r="AA237" s="48">
        <f t="shared" si="42"/>
        <v>0.5714285714285714</v>
      </c>
      <c r="AB237" s="48">
        <f t="shared" si="47"/>
        <v>0.44444444444444442</v>
      </c>
      <c r="AC237" s="48">
        <f t="shared" si="43"/>
        <v>0.5</v>
      </c>
    </row>
    <row r="238" spans="1:29" ht="15" customHeight="1" thickBot="1" x14ac:dyDescent="0.4">
      <c r="A238" s="185"/>
      <c r="B238" s="7" t="s">
        <v>15</v>
      </c>
      <c r="C238" s="8" t="s">
        <v>20</v>
      </c>
      <c r="D238" s="8">
        <v>3</v>
      </c>
      <c r="E238" s="7" t="s">
        <v>17</v>
      </c>
      <c r="F238" s="40">
        <f>'GT Input'!C8</f>
        <v>3</v>
      </c>
      <c r="G238" s="40">
        <f>'GT Input'!D8</f>
        <v>9</v>
      </c>
      <c r="H238" s="40">
        <f>'GT Input'!E8</f>
        <v>3</v>
      </c>
      <c r="I238" s="40">
        <f>'GT Input'!F8</f>
        <v>9</v>
      </c>
      <c r="J238" s="41">
        <f>'Detailed Results'!G238</f>
        <v>3</v>
      </c>
      <c r="K238" s="41">
        <f>'Detailed Results'!H238</f>
        <v>3</v>
      </c>
      <c r="L238" s="42">
        <f t="shared" si="36"/>
        <v>1</v>
      </c>
      <c r="M238" s="42">
        <f t="shared" si="44"/>
        <v>1</v>
      </c>
      <c r="N238" s="42">
        <f t="shared" si="37"/>
        <v>1</v>
      </c>
      <c r="O238" s="43">
        <f>'Detailed Results'!I238</f>
        <v>7</v>
      </c>
      <c r="P238" s="43">
        <f>'Detailed Results'!J238</f>
        <v>7</v>
      </c>
      <c r="Q238" s="44">
        <f t="shared" si="38"/>
        <v>1</v>
      </c>
      <c r="R238" s="44">
        <f t="shared" si="45"/>
        <v>0.77777777777777779</v>
      </c>
      <c r="S238" s="44">
        <f t="shared" si="39"/>
        <v>0.87500000000000011</v>
      </c>
      <c r="T238" s="45">
        <f>'Detailed Results'!K238</f>
        <v>3</v>
      </c>
      <c r="U238" s="45">
        <f>'Detailed Results'!L238</f>
        <v>3</v>
      </c>
      <c r="V238" s="46">
        <f t="shared" si="40"/>
        <v>1</v>
      </c>
      <c r="W238" s="46">
        <f t="shared" si="46"/>
        <v>1</v>
      </c>
      <c r="X238" s="46">
        <f t="shared" si="41"/>
        <v>1</v>
      </c>
      <c r="Y238" s="47">
        <f>'Detailed Results'!M238</f>
        <v>7</v>
      </c>
      <c r="Z238" s="47">
        <f>'Detailed Results'!N238</f>
        <v>4</v>
      </c>
      <c r="AA238" s="48">
        <f t="shared" si="42"/>
        <v>0.5714285714285714</v>
      </c>
      <c r="AB238" s="48">
        <f t="shared" si="47"/>
        <v>0.44444444444444442</v>
      </c>
      <c r="AC238" s="48">
        <f t="shared" si="43"/>
        <v>0.5</v>
      </c>
    </row>
    <row r="239" spans="1:29" ht="15" customHeight="1" thickBot="1" x14ac:dyDescent="0.4">
      <c r="A239" s="185"/>
      <c r="B239" s="7" t="s">
        <v>15</v>
      </c>
      <c r="C239" s="8" t="s">
        <v>20</v>
      </c>
      <c r="D239" s="8">
        <v>3</v>
      </c>
      <c r="E239" s="7" t="s">
        <v>109</v>
      </c>
      <c r="F239" s="40">
        <f>'GT Input'!C8</f>
        <v>3</v>
      </c>
      <c r="G239" s="40">
        <f>'GT Input'!D8</f>
        <v>9</v>
      </c>
      <c r="H239" s="40">
        <f>'GT Input'!E8</f>
        <v>3</v>
      </c>
      <c r="I239" s="40">
        <f>'GT Input'!F8</f>
        <v>9</v>
      </c>
      <c r="J239" s="41">
        <f>'Detailed Results'!G239</f>
        <v>3</v>
      </c>
      <c r="K239" s="41">
        <f>'Detailed Results'!H239</f>
        <v>3</v>
      </c>
      <c r="L239" s="42">
        <f t="shared" si="36"/>
        <v>1</v>
      </c>
      <c r="M239" s="42">
        <f t="shared" si="44"/>
        <v>1</v>
      </c>
      <c r="N239" s="42">
        <f t="shared" si="37"/>
        <v>1</v>
      </c>
      <c r="O239" s="43">
        <f>'Detailed Results'!I239</f>
        <v>7</v>
      </c>
      <c r="P239" s="43">
        <f>'Detailed Results'!J239</f>
        <v>7</v>
      </c>
      <c r="Q239" s="44">
        <f t="shared" si="38"/>
        <v>1</v>
      </c>
      <c r="R239" s="44">
        <f t="shared" si="45"/>
        <v>0.77777777777777779</v>
      </c>
      <c r="S239" s="44">
        <f t="shared" si="39"/>
        <v>0.87500000000000011</v>
      </c>
      <c r="T239" s="45">
        <f>'Detailed Results'!K239</f>
        <v>3</v>
      </c>
      <c r="U239" s="45">
        <f>'Detailed Results'!L239</f>
        <v>3</v>
      </c>
      <c r="V239" s="46">
        <f t="shared" si="40"/>
        <v>1</v>
      </c>
      <c r="W239" s="46">
        <f t="shared" si="46"/>
        <v>1</v>
      </c>
      <c r="X239" s="46">
        <f t="shared" si="41"/>
        <v>1</v>
      </c>
      <c r="Y239" s="47">
        <f>'Detailed Results'!M239</f>
        <v>7</v>
      </c>
      <c r="Z239" s="47">
        <f>'Detailed Results'!N239</f>
        <v>4</v>
      </c>
      <c r="AA239" s="48">
        <f t="shared" si="42"/>
        <v>0.5714285714285714</v>
      </c>
      <c r="AB239" s="48">
        <f t="shared" si="47"/>
        <v>0.44444444444444442</v>
      </c>
      <c r="AC239" s="48">
        <f t="shared" si="43"/>
        <v>0.5</v>
      </c>
    </row>
    <row r="240" spans="1:29" ht="15" customHeight="1" thickBot="1" x14ac:dyDescent="0.4">
      <c r="A240" s="185"/>
      <c r="B240" s="12" t="s">
        <v>21</v>
      </c>
      <c r="C240" s="13" t="s">
        <v>16</v>
      </c>
      <c r="D240" s="13">
        <v>1</v>
      </c>
      <c r="E240" s="12" t="s">
        <v>17</v>
      </c>
      <c r="F240" s="40">
        <f>'GT Input'!C8</f>
        <v>3</v>
      </c>
      <c r="G240" s="40">
        <f>'GT Input'!D8</f>
        <v>9</v>
      </c>
      <c r="H240" s="40">
        <f>'GT Input'!E8</f>
        <v>3</v>
      </c>
      <c r="I240" s="40">
        <f>'GT Input'!F8</f>
        <v>9</v>
      </c>
      <c r="J240" s="41">
        <f>'Detailed Results'!G240</f>
        <v>3</v>
      </c>
      <c r="K240" s="41">
        <f>'Detailed Results'!H240</f>
        <v>3</v>
      </c>
      <c r="L240" s="42">
        <f t="shared" si="36"/>
        <v>1</v>
      </c>
      <c r="M240" s="42">
        <f t="shared" si="44"/>
        <v>1</v>
      </c>
      <c r="N240" s="42">
        <f t="shared" si="37"/>
        <v>1</v>
      </c>
      <c r="O240" s="43">
        <f>'Detailed Results'!I240</f>
        <v>7</v>
      </c>
      <c r="P240" s="43">
        <f>'Detailed Results'!J240</f>
        <v>7</v>
      </c>
      <c r="Q240" s="44">
        <f t="shared" si="38"/>
        <v>1</v>
      </c>
      <c r="R240" s="44">
        <f t="shared" si="45"/>
        <v>0.77777777777777779</v>
      </c>
      <c r="S240" s="44">
        <f t="shared" si="39"/>
        <v>0.87500000000000011</v>
      </c>
      <c r="T240" s="45">
        <f>'Detailed Results'!K240</f>
        <v>3</v>
      </c>
      <c r="U240" s="45">
        <f>'Detailed Results'!L240</f>
        <v>3</v>
      </c>
      <c r="V240" s="46">
        <f t="shared" si="40"/>
        <v>1</v>
      </c>
      <c r="W240" s="46">
        <f t="shared" si="46"/>
        <v>1</v>
      </c>
      <c r="X240" s="46">
        <f t="shared" si="41"/>
        <v>1</v>
      </c>
      <c r="Y240" s="47">
        <f>'Detailed Results'!M240</f>
        <v>7</v>
      </c>
      <c r="Z240" s="47">
        <f>'Detailed Results'!N240</f>
        <v>3</v>
      </c>
      <c r="AA240" s="48">
        <f t="shared" si="42"/>
        <v>0.42857142857142855</v>
      </c>
      <c r="AB240" s="48">
        <f t="shared" si="47"/>
        <v>0.33333333333333331</v>
      </c>
      <c r="AC240" s="48">
        <f t="shared" si="43"/>
        <v>0.375</v>
      </c>
    </row>
    <row r="241" spans="1:29" ht="15" customHeight="1" thickBot="1" x14ac:dyDescent="0.4">
      <c r="A241" s="185"/>
      <c r="B241" s="12" t="s">
        <v>21</v>
      </c>
      <c r="C241" s="13" t="s">
        <v>16</v>
      </c>
      <c r="D241" s="13">
        <v>1</v>
      </c>
      <c r="E241" s="12" t="s">
        <v>109</v>
      </c>
      <c r="F241" s="40">
        <f>'GT Input'!C8</f>
        <v>3</v>
      </c>
      <c r="G241" s="40">
        <f>'GT Input'!D8</f>
        <v>9</v>
      </c>
      <c r="H241" s="40">
        <f>'GT Input'!E8</f>
        <v>3</v>
      </c>
      <c r="I241" s="40">
        <f>'GT Input'!F8</f>
        <v>9</v>
      </c>
      <c r="J241" s="41">
        <f>'Detailed Results'!G241</f>
        <v>5</v>
      </c>
      <c r="K241" s="41">
        <f>'Detailed Results'!H241</f>
        <v>5</v>
      </c>
      <c r="L241" s="42">
        <f t="shared" si="36"/>
        <v>1</v>
      </c>
      <c r="M241" s="42">
        <f t="shared" si="44"/>
        <v>1.6666666666666667</v>
      </c>
      <c r="N241" s="42">
        <f t="shared" si="37"/>
        <v>1.25</v>
      </c>
      <c r="O241" s="43">
        <f>'Detailed Results'!I241</f>
        <v>9</v>
      </c>
      <c r="P241" s="43">
        <f>'Detailed Results'!J241</f>
        <v>9</v>
      </c>
      <c r="Q241" s="44">
        <f t="shared" si="38"/>
        <v>1</v>
      </c>
      <c r="R241" s="44">
        <f t="shared" si="45"/>
        <v>1</v>
      </c>
      <c r="S241" s="44">
        <f t="shared" si="39"/>
        <v>1</v>
      </c>
      <c r="T241" s="45">
        <f>'Detailed Results'!K241</f>
        <v>5</v>
      </c>
      <c r="U241" s="45">
        <f>'Detailed Results'!L241</f>
        <v>3</v>
      </c>
      <c r="V241" s="46">
        <f t="shared" si="40"/>
        <v>0.6</v>
      </c>
      <c r="W241" s="46">
        <f t="shared" si="46"/>
        <v>1</v>
      </c>
      <c r="X241" s="46">
        <f t="shared" si="41"/>
        <v>0.74999999999999989</v>
      </c>
      <c r="Y241" s="47">
        <f>'Detailed Results'!M241</f>
        <v>9</v>
      </c>
      <c r="Z241" s="47">
        <f>'Detailed Results'!N241</f>
        <v>4</v>
      </c>
      <c r="AA241" s="48">
        <f t="shared" si="42"/>
        <v>0.44444444444444442</v>
      </c>
      <c r="AB241" s="48">
        <f t="shared" si="47"/>
        <v>0.44444444444444442</v>
      </c>
      <c r="AC241" s="48">
        <f t="shared" si="43"/>
        <v>0.44444444444444442</v>
      </c>
    </row>
    <row r="242" spans="1:29" ht="15" customHeight="1" thickBot="1" x14ac:dyDescent="0.4">
      <c r="A242" s="185"/>
      <c r="B242" s="14" t="s">
        <v>21</v>
      </c>
      <c r="C242" s="15" t="s">
        <v>16</v>
      </c>
      <c r="D242" s="15">
        <v>2</v>
      </c>
      <c r="E242" s="14" t="s">
        <v>17</v>
      </c>
      <c r="F242" s="40">
        <f>'GT Input'!C8</f>
        <v>3</v>
      </c>
      <c r="G242" s="40">
        <f>'GT Input'!D8</f>
        <v>9</v>
      </c>
      <c r="H242" s="40">
        <f>'GT Input'!E8</f>
        <v>3</v>
      </c>
      <c r="I242" s="40">
        <f>'GT Input'!F8</f>
        <v>9</v>
      </c>
      <c r="J242" s="41">
        <f>'Detailed Results'!G242</f>
        <v>3</v>
      </c>
      <c r="K242" s="41">
        <f>'Detailed Results'!H242</f>
        <v>3</v>
      </c>
      <c r="L242" s="42">
        <f t="shared" si="36"/>
        <v>1</v>
      </c>
      <c r="M242" s="42">
        <f t="shared" si="44"/>
        <v>1</v>
      </c>
      <c r="N242" s="42">
        <f t="shared" si="37"/>
        <v>1</v>
      </c>
      <c r="O242" s="43">
        <f>'Detailed Results'!I242</f>
        <v>7</v>
      </c>
      <c r="P242" s="43">
        <f>'Detailed Results'!J242</f>
        <v>7</v>
      </c>
      <c r="Q242" s="44">
        <f t="shared" si="38"/>
        <v>1</v>
      </c>
      <c r="R242" s="44">
        <f t="shared" si="45"/>
        <v>0.77777777777777779</v>
      </c>
      <c r="S242" s="44">
        <f t="shared" si="39"/>
        <v>0.87500000000000011</v>
      </c>
      <c r="T242" s="45">
        <f>'Detailed Results'!K242</f>
        <v>3</v>
      </c>
      <c r="U242" s="45">
        <f>'Detailed Results'!L242</f>
        <v>3</v>
      </c>
      <c r="V242" s="46">
        <f t="shared" si="40"/>
        <v>1</v>
      </c>
      <c r="W242" s="46">
        <f t="shared" si="46"/>
        <v>1</v>
      </c>
      <c r="X242" s="46">
        <f t="shared" si="41"/>
        <v>1</v>
      </c>
      <c r="Y242" s="47">
        <f>'Detailed Results'!M242</f>
        <v>7</v>
      </c>
      <c r="Z242" s="47">
        <f>'Detailed Results'!N242</f>
        <v>4</v>
      </c>
      <c r="AA242" s="48">
        <f t="shared" si="42"/>
        <v>0.5714285714285714</v>
      </c>
      <c r="AB242" s="48">
        <f t="shared" si="47"/>
        <v>0.44444444444444442</v>
      </c>
      <c r="AC242" s="48">
        <f t="shared" si="43"/>
        <v>0.5</v>
      </c>
    </row>
    <row r="243" spans="1:29" ht="15" customHeight="1" thickBot="1" x14ac:dyDescent="0.4">
      <c r="A243" s="185"/>
      <c r="B243" s="14" t="s">
        <v>21</v>
      </c>
      <c r="C243" s="15" t="s">
        <v>16</v>
      </c>
      <c r="D243" s="15">
        <v>2</v>
      </c>
      <c r="E243" s="14" t="s">
        <v>109</v>
      </c>
      <c r="F243" s="40">
        <f>'GT Input'!C8</f>
        <v>3</v>
      </c>
      <c r="G243" s="40">
        <f>'GT Input'!D8</f>
        <v>9</v>
      </c>
      <c r="H243" s="40">
        <f>'GT Input'!E8</f>
        <v>3</v>
      </c>
      <c r="I243" s="40">
        <f>'GT Input'!F8</f>
        <v>9</v>
      </c>
      <c r="J243" s="41">
        <f>'Detailed Results'!G243</f>
        <v>5</v>
      </c>
      <c r="K243" s="41">
        <f>'Detailed Results'!H243</f>
        <v>5</v>
      </c>
      <c r="L243" s="42">
        <f t="shared" si="36"/>
        <v>1</v>
      </c>
      <c r="M243" s="42">
        <f t="shared" si="44"/>
        <v>1.6666666666666667</v>
      </c>
      <c r="N243" s="42">
        <f t="shared" si="37"/>
        <v>1.25</v>
      </c>
      <c r="O243" s="43">
        <f>'Detailed Results'!I243</f>
        <v>8</v>
      </c>
      <c r="P243" s="43">
        <f>'Detailed Results'!J243</f>
        <v>8</v>
      </c>
      <c r="Q243" s="44">
        <f t="shared" si="38"/>
        <v>1</v>
      </c>
      <c r="R243" s="44">
        <f t="shared" si="45"/>
        <v>0.88888888888888884</v>
      </c>
      <c r="S243" s="44">
        <f t="shared" si="39"/>
        <v>0.94117647058823528</v>
      </c>
      <c r="T243" s="45">
        <f>'Detailed Results'!K243</f>
        <v>5</v>
      </c>
      <c r="U243" s="45">
        <f>'Detailed Results'!L243</f>
        <v>3</v>
      </c>
      <c r="V243" s="46">
        <f t="shared" si="40"/>
        <v>0.6</v>
      </c>
      <c r="W243" s="46">
        <f t="shared" si="46"/>
        <v>1</v>
      </c>
      <c r="X243" s="46">
        <f t="shared" si="41"/>
        <v>0.74999999999999989</v>
      </c>
      <c r="Y243" s="47">
        <f>'Detailed Results'!M243</f>
        <v>8</v>
      </c>
      <c r="Z243" s="47">
        <f>'Detailed Results'!N243</f>
        <v>4</v>
      </c>
      <c r="AA243" s="48">
        <f t="shared" si="42"/>
        <v>0.5</v>
      </c>
      <c r="AB243" s="48">
        <f t="shared" si="47"/>
        <v>0.44444444444444442</v>
      </c>
      <c r="AC243" s="48">
        <f t="shared" si="43"/>
        <v>0.47058823529411764</v>
      </c>
    </row>
    <row r="244" spans="1:29" ht="15" customHeight="1" thickBot="1" x14ac:dyDescent="0.4">
      <c r="A244" s="185"/>
      <c r="B244" s="12" t="s">
        <v>21</v>
      </c>
      <c r="C244" s="13" t="s">
        <v>16</v>
      </c>
      <c r="D244" s="13">
        <v>3</v>
      </c>
      <c r="E244" s="12" t="s">
        <v>17</v>
      </c>
      <c r="F244" s="40">
        <f>'GT Input'!C8</f>
        <v>3</v>
      </c>
      <c r="G244" s="40">
        <f>'GT Input'!D8</f>
        <v>9</v>
      </c>
      <c r="H244" s="40">
        <f>'GT Input'!E8</f>
        <v>3</v>
      </c>
      <c r="I244" s="40">
        <f>'GT Input'!F8</f>
        <v>9</v>
      </c>
      <c r="J244" s="41">
        <f>'Detailed Results'!G244</f>
        <v>3</v>
      </c>
      <c r="K244" s="41">
        <f>'Detailed Results'!H244</f>
        <v>3</v>
      </c>
      <c r="L244" s="42">
        <f t="shared" si="36"/>
        <v>1</v>
      </c>
      <c r="M244" s="42">
        <f t="shared" si="44"/>
        <v>1</v>
      </c>
      <c r="N244" s="42">
        <f t="shared" si="37"/>
        <v>1</v>
      </c>
      <c r="O244" s="43">
        <f>'Detailed Results'!I244</f>
        <v>7</v>
      </c>
      <c r="P244" s="43">
        <f>'Detailed Results'!J244</f>
        <v>7</v>
      </c>
      <c r="Q244" s="44">
        <f t="shared" si="38"/>
        <v>1</v>
      </c>
      <c r="R244" s="44">
        <f t="shared" si="45"/>
        <v>0.77777777777777779</v>
      </c>
      <c r="S244" s="44">
        <f t="shared" si="39"/>
        <v>0.87500000000000011</v>
      </c>
      <c r="T244" s="45">
        <f>'Detailed Results'!K244</f>
        <v>3</v>
      </c>
      <c r="U244" s="45">
        <f>'Detailed Results'!L244</f>
        <v>3</v>
      </c>
      <c r="V244" s="46">
        <f t="shared" si="40"/>
        <v>1</v>
      </c>
      <c r="W244" s="46">
        <f t="shared" si="46"/>
        <v>1</v>
      </c>
      <c r="X244" s="46">
        <f t="shared" si="41"/>
        <v>1</v>
      </c>
      <c r="Y244" s="47">
        <f>'Detailed Results'!M244</f>
        <v>7</v>
      </c>
      <c r="Z244" s="47">
        <f>'Detailed Results'!N244</f>
        <v>4</v>
      </c>
      <c r="AA244" s="48">
        <f t="shared" si="42"/>
        <v>0.5714285714285714</v>
      </c>
      <c r="AB244" s="48">
        <f t="shared" si="47"/>
        <v>0.44444444444444442</v>
      </c>
      <c r="AC244" s="48">
        <f t="shared" si="43"/>
        <v>0.5</v>
      </c>
    </row>
    <row r="245" spans="1:29" ht="15" customHeight="1" thickBot="1" x14ac:dyDescent="0.4">
      <c r="A245" s="185"/>
      <c r="B245" s="12" t="s">
        <v>21</v>
      </c>
      <c r="C245" s="13" t="s">
        <v>16</v>
      </c>
      <c r="D245" s="13">
        <v>3</v>
      </c>
      <c r="E245" s="12" t="s">
        <v>109</v>
      </c>
      <c r="F245" s="40">
        <f>'GT Input'!C8</f>
        <v>3</v>
      </c>
      <c r="G245" s="40">
        <f>'GT Input'!D8</f>
        <v>9</v>
      </c>
      <c r="H245" s="40">
        <f>'GT Input'!E8</f>
        <v>3</v>
      </c>
      <c r="I245" s="40">
        <f>'GT Input'!F8</f>
        <v>9</v>
      </c>
      <c r="J245" s="41">
        <f>'Detailed Results'!G245</f>
        <v>5</v>
      </c>
      <c r="K245" s="41">
        <f>'Detailed Results'!H245</f>
        <v>5</v>
      </c>
      <c r="L245" s="42">
        <f t="shared" si="36"/>
        <v>1</v>
      </c>
      <c r="M245" s="42">
        <f t="shared" si="44"/>
        <v>1.6666666666666667</v>
      </c>
      <c r="N245" s="42">
        <f t="shared" si="37"/>
        <v>1.25</v>
      </c>
      <c r="O245" s="43">
        <f>'Detailed Results'!I245</f>
        <v>10</v>
      </c>
      <c r="P245" s="43">
        <f>'Detailed Results'!J245</f>
        <v>10</v>
      </c>
      <c r="Q245" s="44">
        <f t="shared" si="38"/>
        <v>1</v>
      </c>
      <c r="R245" s="44">
        <f t="shared" si="45"/>
        <v>1.1111111111111112</v>
      </c>
      <c r="S245" s="44">
        <f t="shared" si="39"/>
        <v>1.0526315789473684</v>
      </c>
      <c r="T245" s="45">
        <f>'Detailed Results'!K245</f>
        <v>5</v>
      </c>
      <c r="U245" s="45">
        <f>'Detailed Results'!L245</f>
        <v>3</v>
      </c>
      <c r="V245" s="46">
        <f t="shared" si="40"/>
        <v>0.6</v>
      </c>
      <c r="W245" s="46">
        <f t="shared" si="46"/>
        <v>1</v>
      </c>
      <c r="X245" s="46">
        <f t="shared" si="41"/>
        <v>0.74999999999999989</v>
      </c>
      <c r="Y245" s="47">
        <f>'Detailed Results'!M245</f>
        <v>10</v>
      </c>
      <c r="Z245" s="47">
        <f>'Detailed Results'!N245</f>
        <v>4</v>
      </c>
      <c r="AA245" s="48">
        <f t="shared" si="42"/>
        <v>0.4</v>
      </c>
      <c r="AB245" s="48">
        <f t="shared" si="47"/>
        <v>0.44444444444444442</v>
      </c>
      <c r="AC245" s="48">
        <f t="shared" si="43"/>
        <v>0.4210526315789474</v>
      </c>
    </row>
    <row r="246" spans="1:29" ht="15" customHeight="1" thickBot="1" x14ac:dyDescent="0.4">
      <c r="A246" s="185"/>
      <c r="B246" s="14" t="s">
        <v>21</v>
      </c>
      <c r="C246" s="15" t="s">
        <v>19</v>
      </c>
      <c r="D246" s="15">
        <v>1</v>
      </c>
      <c r="E246" s="14" t="s">
        <v>17</v>
      </c>
      <c r="F246" s="40">
        <f>'GT Input'!C8</f>
        <v>3</v>
      </c>
      <c r="G246" s="40">
        <f>'GT Input'!D8</f>
        <v>9</v>
      </c>
      <c r="H246" s="40">
        <f>'GT Input'!E8</f>
        <v>3</v>
      </c>
      <c r="I246" s="40">
        <f>'GT Input'!F8</f>
        <v>9</v>
      </c>
      <c r="J246" s="41">
        <f>'Detailed Results'!G246</f>
        <v>3</v>
      </c>
      <c r="K246" s="41">
        <f>'Detailed Results'!H246</f>
        <v>3</v>
      </c>
      <c r="L246" s="42">
        <f t="shared" si="36"/>
        <v>1</v>
      </c>
      <c r="M246" s="42">
        <f t="shared" si="44"/>
        <v>1</v>
      </c>
      <c r="N246" s="42">
        <f t="shared" si="37"/>
        <v>1</v>
      </c>
      <c r="O246" s="43">
        <f>'Detailed Results'!I246</f>
        <v>7</v>
      </c>
      <c r="P246" s="43">
        <f>'Detailed Results'!J246</f>
        <v>7</v>
      </c>
      <c r="Q246" s="44">
        <f t="shared" si="38"/>
        <v>1</v>
      </c>
      <c r="R246" s="44">
        <f t="shared" si="45"/>
        <v>0.77777777777777779</v>
      </c>
      <c r="S246" s="44">
        <f t="shared" si="39"/>
        <v>0.87500000000000011</v>
      </c>
      <c r="T246" s="45">
        <f>'Detailed Results'!K246</f>
        <v>3</v>
      </c>
      <c r="U246" s="45">
        <f>'Detailed Results'!L246</f>
        <v>3</v>
      </c>
      <c r="V246" s="46">
        <f t="shared" si="40"/>
        <v>1</v>
      </c>
      <c r="W246" s="46">
        <f t="shared" si="46"/>
        <v>1</v>
      </c>
      <c r="X246" s="46">
        <f t="shared" si="41"/>
        <v>1</v>
      </c>
      <c r="Y246" s="47">
        <f>'Detailed Results'!M246</f>
        <v>7</v>
      </c>
      <c r="Z246" s="47">
        <f>'Detailed Results'!N246</f>
        <v>4</v>
      </c>
      <c r="AA246" s="48">
        <f t="shared" si="42"/>
        <v>0.5714285714285714</v>
      </c>
      <c r="AB246" s="48">
        <f t="shared" si="47"/>
        <v>0.44444444444444442</v>
      </c>
      <c r="AC246" s="48">
        <f t="shared" si="43"/>
        <v>0.5</v>
      </c>
    </row>
    <row r="247" spans="1:29" ht="15" customHeight="1" thickBot="1" x14ac:dyDescent="0.4">
      <c r="A247" s="185"/>
      <c r="B247" s="14" t="s">
        <v>21</v>
      </c>
      <c r="C247" s="15" t="s">
        <v>19</v>
      </c>
      <c r="D247" s="15">
        <v>1</v>
      </c>
      <c r="E247" s="14" t="s">
        <v>109</v>
      </c>
      <c r="F247" s="40">
        <f>'GT Input'!C8</f>
        <v>3</v>
      </c>
      <c r="G247" s="40">
        <f>'GT Input'!D8</f>
        <v>9</v>
      </c>
      <c r="H247" s="40">
        <f>'GT Input'!E8</f>
        <v>3</v>
      </c>
      <c r="I247" s="40">
        <f>'GT Input'!F8</f>
        <v>9</v>
      </c>
      <c r="J247" s="41">
        <f>'Detailed Results'!G247</f>
        <v>5</v>
      </c>
      <c r="K247" s="41">
        <f>'Detailed Results'!H247</f>
        <v>5</v>
      </c>
      <c r="L247" s="42">
        <f t="shared" si="36"/>
        <v>1</v>
      </c>
      <c r="M247" s="42">
        <f t="shared" si="44"/>
        <v>1.6666666666666667</v>
      </c>
      <c r="N247" s="42">
        <f t="shared" si="37"/>
        <v>1.25</v>
      </c>
      <c r="O247" s="43">
        <f>'Detailed Results'!I247</f>
        <v>9</v>
      </c>
      <c r="P247" s="43">
        <f>'Detailed Results'!J247</f>
        <v>9</v>
      </c>
      <c r="Q247" s="44">
        <f t="shared" si="38"/>
        <v>1</v>
      </c>
      <c r="R247" s="44">
        <f t="shared" si="45"/>
        <v>1</v>
      </c>
      <c r="S247" s="44">
        <f t="shared" si="39"/>
        <v>1</v>
      </c>
      <c r="T247" s="45">
        <f>'Detailed Results'!K247</f>
        <v>5</v>
      </c>
      <c r="U247" s="45">
        <f>'Detailed Results'!L247</f>
        <v>3</v>
      </c>
      <c r="V247" s="46">
        <f t="shared" si="40"/>
        <v>0.6</v>
      </c>
      <c r="W247" s="46">
        <f t="shared" si="46"/>
        <v>1</v>
      </c>
      <c r="X247" s="46">
        <f t="shared" si="41"/>
        <v>0.74999999999999989</v>
      </c>
      <c r="Y247" s="47">
        <f>'Detailed Results'!M247</f>
        <v>9</v>
      </c>
      <c r="Z247" s="47">
        <f>'Detailed Results'!N247</f>
        <v>4</v>
      </c>
      <c r="AA247" s="48">
        <f t="shared" si="42"/>
        <v>0.44444444444444442</v>
      </c>
      <c r="AB247" s="48">
        <f t="shared" si="47"/>
        <v>0.44444444444444442</v>
      </c>
      <c r="AC247" s="48">
        <f t="shared" si="43"/>
        <v>0.44444444444444442</v>
      </c>
    </row>
    <row r="248" spans="1:29" ht="15" customHeight="1" thickBot="1" x14ac:dyDescent="0.4">
      <c r="A248" s="185"/>
      <c r="B248" s="12" t="s">
        <v>21</v>
      </c>
      <c r="C248" s="13" t="s">
        <v>19</v>
      </c>
      <c r="D248" s="13">
        <v>2</v>
      </c>
      <c r="E248" s="12" t="s">
        <v>17</v>
      </c>
      <c r="F248" s="40">
        <f>'GT Input'!C8</f>
        <v>3</v>
      </c>
      <c r="G248" s="40">
        <f>'GT Input'!D8</f>
        <v>9</v>
      </c>
      <c r="H248" s="40">
        <f>'GT Input'!E8</f>
        <v>3</v>
      </c>
      <c r="I248" s="40">
        <f>'GT Input'!F8</f>
        <v>9</v>
      </c>
      <c r="J248" s="41">
        <f>'Detailed Results'!G248</f>
        <v>3</v>
      </c>
      <c r="K248" s="41">
        <f>'Detailed Results'!H248</f>
        <v>3</v>
      </c>
      <c r="L248" s="42">
        <f t="shared" si="36"/>
        <v>1</v>
      </c>
      <c r="M248" s="42">
        <f t="shared" si="44"/>
        <v>1</v>
      </c>
      <c r="N248" s="42">
        <f t="shared" si="37"/>
        <v>1</v>
      </c>
      <c r="O248" s="43">
        <f>'Detailed Results'!I248</f>
        <v>7</v>
      </c>
      <c r="P248" s="43">
        <f>'Detailed Results'!J248</f>
        <v>7</v>
      </c>
      <c r="Q248" s="44">
        <f t="shared" si="38"/>
        <v>1</v>
      </c>
      <c r="R248" s="44">
        <f t="shared" si="45"/>
        <v>0.77777777777777779</v>
      </c>
      <c r="S248" s="44">
        <f t="shared" si="39"/>
        <v>0.87500000000000011</v>
      </c>
      <c r="T248" s="45">
        <f>'Detailed Results'!K248</f>
        <v>3</v>
      </c>
      <c r="U248" s="45">
        <f>'Detailed Results'!L248</f>
        <v>3</v>
      </c>
      <c r="V248" s="46">
        <f t="shared" si="40"/>
        <v>1</v>
      </c>
      <c r="W248" s="46">
        <f t="shared" si="46"/>
        <v>1</v>
      </c>
      <c r="X248" s="46">
        <f t="shared" si="41"/>
        <v>1</v>
      </c>
      <c r="Y248" s="47">
        <f>'Detailed Results'!M248</f>
        <v>7</v>
      </c>
      <c r="Z248" s="47">
        <f>'Detailed Results'!N248</f>
        <v>3</v>
      </c>
      <c r="AA248" s="48">
        <f t="shared" si="42"/>
        <v>0.42857142857142855</v>
      </c>
      <c r="AB248" s="48">
        <f t="shared" si="47"/>
        <v>0.33333333333333331</v>
      </c>
      <c r="AC248" s="48">
        <f t="shared" si="43"/>
        <v>0.375</v>
      </c>
    </row>
    <row r="249" spans="1:29" ht="15" customHeight="1" thickBot="1" x14ac:dyDescent="0.4">
      <c r="A249" s="185"/>
      <c r="B249" s="12" t="s">
        <v>21</v>
      </c>
      <c r="C249" s="13" t="s">
        <v>19</v>
      </c>
      <c r="D249" s="13">
        <v>2</v>
      </c>
      <c r="E249" s="12" t="s">
        <v>109</v>
      </c>
      <c r="F249" s="40">
        <f>'GT Input'!C8</f>
        <v>3</v>
      </c>
      <c r="G249" s="40">
        <f>'GT Input'!D8</f>
        <v>9</v>
      </c>
      <c r="H249" s="40">
        <f>'GT Input'!E8</f>
        <v>3</v>
      </c>
      <c r="I249" s="40">
        <f>'GT Input'!F8</f>
        <v>9</v>
      </c>
      <c r="J249" s="41">
        <f>'Detailed Results'!G249</f>
        <v>3</v>
      </c>
      <c r="K249" s="41">
        <f>'Detailed Results'!H249</f>
        <v>3</v>
      </c>
      <c r="L249" s="42">
        <f t="shared" si="36"/>
        <v>1</v>
      </c>
      <c r="M249" s="42">
        <f t="shared" si="44"/>
        <v>1</v>
      </c>
      <c r="N249" s="42">
        <f t="shared" si="37"/>
        <v>1</v>
      </c>
      <c r="O249" s="43">
        <f>'Detailed Results'!I249</f>
        <v>5</v>
      </c>
      <c r="P249" s="43">
        <f>'Detailed Results'!J249</f>
        <v>5</v>
      </c>
      <c r="Q249" s="44">
        <f t="shared" si="38"/>
        <v>1</v>
      </c>
      <c r="R249" s="44">
        <f t="shared" si="45"/>
        <v>0.55555555555555558</v>
      </c>
      <c r="S249" s="44">
        <f t="shared" si="39"/>
        <v>0.7142857142857143</v>
      </c>
      <c r="T249" s="45">
        <f>'Detailed Results'!K249</f>
        <v>3</v>
      </c>
      <c r="U249" s="45">
        <f>'Detailed Results'!L249</f>
        <v>3</v>
      </c>
      <c r="V249" s="46">
        <f t="shared" si="40"/>
        <v>1</v>
      </c>
      <c r="W249" s="46">
        <f t="shared" si="46"/>
        <v>1</v>
      </c>
      <c r="X249" s="46">
        <f t="shared" si="41"/>
        <v>1</v>
      </c>
      <c r="Y249" s="47">
        <f>'Detailed Results'!M249</f>
        <v>5</v>
      </c>
      <c r="Z249" s="47">
        <f>'Detailed Results'!N249</f>
        <v>4</v>
      </c>
      <c r="AA249" s="48">
        <f t="shared" si="42"/>
        <v>0.8</v>
      </c>
      <c r="AB249" s="48">
        <f t="shared" si="47"/>
        <v>0.44444444444444442</v>
      </c>
      <c r="AC249" s="48">
        <f t="shared" si="43"/>
        <v>0.5714285714285714</v>
      </c>
    </row>
    <row r="250" spans="1:29" ht="15" customHeight="1" thickBot="1" x14ac:dyDescent="0.4">
      <c r="A250" s="185"/>
      <c r="B250" s="14" t="s">
        <v>21</v>
      </c>
      <c r="C250" s="15" t="s">
        <v>19</v>
      </c>
      <c r="D250" s="15">
        <v>3</v>
      </c>
      <c r="E250" s="14" t="s">
        <v>17</v>
      </c>
      <c r="F250" s="40">
        <f>'GT Input'!C8</f>
        <v>3</v>
      </c>
      <c r="G250" s="40">
        <f>'GT Input'!D8</f>
        <v>9</v>
      </c>
      <c r="H250" s="40">
        <f>'GT Input'!E8</f>
        <v>3</v>
      </c>
      <c r="I250" s="40">
        <f>'GT Input'!F8</f>
        <v>9</v>
      </c>
      <c r="J250" s="41">
        <f>'Detailed Results'!G250</f>
        <v>3</v>
      </c>
      <c r="K250" s="41">
        <f>'Detailed Results'!H250</f>
        <v>3</v>
      </c>
      <c r="L250" s="42">
        <f t="shared" si="36"/>
        <v>1</v>
      </c>
      <c r="M250" s="42">
        <f t="shared" si="44"/>
        <v>1</v>
      </c>
      <c r="N250" s="42">
        <f t="shared" si="37"/>
        <v>1</v>
      </c>
      <c r="O250" s="43">
        <f>'Detailed Results'!I250</f>
        <v>7</v>
      </c>
      <c r="P250" s="43">
        <f>'Detailed Results'!J250</f>
        <v>7</v>
      </c>
      <c r="Q250" s="44">
        <f t="shared" si="38"/>
        <v>1</v>
      </c>
      <c r="R250" s="44">
        <f t="shared" si="45"/>
        <v>0.77777777777777779</v>
      </c>
      <c r="S250" s="44">
        <f t="shared" si="39"/>
        <v>0.87500000000000011</v>
      </c>
      <c r="T250" s="45">
        <f>'Detailed Results'!K250</f>
        <v>3</v>
      </c>
      <c r="U250" s="45">
        <f>'Detailed Results'!L250</f>
        <v>3</v>
      </c>
      <c r="V250" s="46">
        <f t="shared" si="40"/>
        <v>1</v>
      </c>
      <c r="W250" s="46">
        <f t="shared" si="46"/>
        <v>1</v>
      </c>
      <c r="X250" s="46">
        <f t="shared" si="41"/>
        <v>1</v>
      </c>
      <c r="Y250" s="47">
        <f>'Detailed Results'!M250</f>
        <v>7</v>
      </c>
      <c r="Z250" s="47">
        <f>'Detailed Results'!N250</f>
        <v>3</v>
      </c>
      <c r="AA250" s="48">
        <f t="shared" si="42"/>
        <v>0.42857142857142855</v>
      </c>
      <c r="AB250" s="48">
        <f t="shared" si="47"/>
        <v>0.33333333333333331</v>
      </c>
      <c r="AC250" s="48">
        <f t="shared" si="43"/>
        <v>0.375</v>
      </c>
    </row>
    <row r="251" spans="1:29" ht="15" customHeight="1" thickBot="1" x14ac:dyDescent="0.4">
      <c r="A251" s="185"/>
      <c r="B251" s="14" t="s">
        <v>21</v>
      </c>
      <c r="C251" s="15" t="s">
        <v>19</v>
      </c>
      <c r="D251" s="15">
        <v>3</v>
      </c>
      <c r="E251" s="14" t="s">
        <v>109</v>
      </c>
      <c r="F251" s="40">
        <f>'GT Input'!C8</f>
        <v>3</v>
      </c>
      <c r="G251" s="40">
        <f>'GT Input'!D8</f>
        <v>9</v>
      </c>
      <c r="H251" s="40">
        <f>'GT Input'!E8</f>
        <v>3</v>
      </c>
      <c r="I251" s="40">
        <f>'GT Input'!F8</f>
        <v>9</v>
      </c>
      <c r="J251" s="41">
        <f>'Detailed Results'!G251</f>
        <v>5</v>
      </c>
      <c r="K251" s="41">
        <f>'Detailed Results'!H251</f>
        <v>5</v>
      </c>
      <c r="L251" s="42">
        <f t="shared" si="36"/>
        <v>1</v>
      </c>
      <c r="M251" s="42">
        <f t="shared" si="44"/>
        <v>1.6666666666666667</v>
      </c>
      <c r="N251" s="42">
        <f t="shared" si="37"/>
        <v>1.25</v>
      </c>
      <c r="O251" s="43">
        <f>'Detailed Results'!I251</f>
        <v>9</v>
      </c>
      <c r="P251" s="43">
        <f>'Detailed Results'!J251</f>
        <v>9</v>
      </c>
      <c r="Q251" s="44">
        <f t="shared" si="38"/>
        <v>1</v>
      </c>
      <c r="R251" s="44">
        <f t="shared" si="45"/>
        <v>1</v>
      </c>
      <c r="S251" s="44">
        <f t="shared" si="39"/>
        <v>1</v>
      </c>
      <c r="T251" s="45">
        <f>'Detailed Results'!K251</f>
        <v>5</v>
      </c>
      <c r="U251" s="45">
        <f>'Detailed Results'!L251</f>
        <v>3</v>
      </c>
      <c r="V251" s="46">
        <f t="shared" si="40"/>
        <v>0.6</v>
      </c>
      <c r="W251" s="46">
        <f t="shared" si="46"/>
        <v>1</v>
      </c>
      <c r="X251" s="46">
        <f t="shared" si="41"/>
        <v>0.74999999999999989</v>
      </c>
      <c r="Y251" s="47">
        <f>'Detailed Results'!M251</f>
        <v>9</v>
      </c>
      <c r="Z251" s="47">
        <f>'Detailed Results'!N251</f>
        <v>4</v>
      </c>
      <c r="AA251" s="48">
        <f t="shared" si="42"/>
        <v>0.44444444444444442</v>
      </c>
      <c r="AB251" s="48">
        <f t="shared" si="47"/>
        <v>0.44444444444444442</v>
      </c>
      <c r="AC251" s="48">
        <f t="shared" si="43"/>
        <v>0.44444444444444442</v>
      </c>
    </row>
    <row r="252" spans="1:29" ht="15" customHeight="1" thickBot="1" x14ac:dyDescent="0.4">
      <c r="A252" s="185"/>
      <c r="B252" s="12" t="s">
        <v>21</v>
      </c>
      <c r="C252" s="13" t="s">
        <v>20</v>
      </c>
      <c r="D252" s="13">
        <v>1</v>
      </c>
      <c r="E252" s="12" t="s">
        <v>17</v>
      </c>
      <c r="F252" s="40">
        <f>'GT Input'!C8</f>
        <v>3</v>
      </c>
      <c r="G252" s="40">
        <f>'GT Input'!D8</f>
        <v>9</v>
      </c>
      <c r="H252" s="40">
        <f>'GT Input'!E8</f>
        <v>3</v>
      </c>
      <c r="I252" s="40">
        <f>'GT Input'!F8</f>
        <v>9</v>
      </c>
      <c r="J252" s="41">
        <f>'Detailed Results'!G252</f>
        <v>3</v>
      </c>
      <c r="K252" s="41">
        <f>'Detailed Results'!H252</f>
        <v>3</v>
      </c>
      <c r="L252" s="42">
        <f t="shared" si="36"/>
        <v>1</v>
      </c>
      <c r="M252" s="42">
        <f t="shared" si="44"/>
        <v>1</v>
      </c>
      <c r="N252" s="42">
        <f t="shared" si="37"/>
        <v>1</v>
      </c>
      <c r="O252" s="43">
        <f>'Detailed Results'!I252</f>
        <v>7</v>
      </c>
      <c r="P252" s="43">
        <f>'Detailed Results'!J252</f>
        <v>7</v>
      </c>
      <c r="Q252" s="44">
        <f t="shared" si="38"/>
        <v>1</v>
      </c>
      <c r="R252" s="44">
        <f t="shared" si="45"/>
        <v>0.77777777777777779</v>
      </c>
      <c r="S252" s="44">
        <f t="shared" si="39"/>
        <v>0.87500000000000011</v>
      </c>
      <c r="T252" s="45">
        <f>'Detailed Results'!K252</f>
        <v>3</v>
      </c>
      <c r="U252" s="45">
        <f>'Detailed Results'!L252</f>
        <v>3</v>
      </c>
      <c r="V252" s="46">
        <f t="shared" si="40"/>
        <v>1</v>
      </c>
      <c r="W252" s="46">
        <f t="shared" si="46"/>
        <v>1</v>
      </c>
      <c r="X252" s="46">
        <f t="shared" si="41"/>
        <v>1</v>
      </c>
      <c r="Y252" s="47">
        <f>'Detailed Results'!M252</f>
        <v>7</v>
      </c>
      <c r="Z252" s="47">
        <f>'Detailed Results'!N252</f>
        <v>4</v>
      </c>
      <c r="AA252" s="48">
        <f t="shared" si="42"/>
        <v>0.5714285714285714</v>
      </c>
      <c r="AB252" s="48">
        <f t="shared" si="47"/>
        <v>0.44444444444444442</v>
      </c>
      <c r="AC252" s="48">
        <f t="shared" si="43"/>
        <v>0.5</v>
      </c>
    </row>
    <row r="253" spans="1:29" ht="15" customHeight="1" thickBot="1" x14ac:dyDescent="0.4">
      <c r="A253" s="185"/>
      <c r="B253" s="12" t="s">
        <v>21</v>
      </c>
      <c r="C253" s="13" t="s">
        <v>20</v>
      </c>
      <c r="D253" s="13">
        <v>1</v>
      </c>
      <c r="E253" s="12" t="s">
        <v>109</v>
      </c>
      <c r="F253" s="40">
        <f>'GT Input'!C8</f>
        <v>3</v>
      </c>
      <c r="G253" s="40">
        <f>'GT Input'!D8</f>
        <v>9</v>
      </c>
      <c r="H253" s="40">
        <f>'GT Input'!E8</f>
        <v>3</v>
      </c>
      <c r="I253" s="40">
        <f>'GT Input'!F8</f>
        <v>9</v>
      </c>
      <c r="J253" s="41">
        <f>'Detailed Results'!G253</f>
        <v>3</v>
      </c>
      <c r="K253" s="41">
        <f>'Detailed Results'!H253</f>
        <v>3</v>
      </c>
      <c r="L253" s="42">
        <f t="shared" si="36"/>
        <v>1</v>
      </c>
      <c r="M253" s="42">
        <f t="shared" si="44"/>
        <v>1</v>
      </c>
      <c r="N253" s="42">
        <f t="shared" si="37"/>
        <v>1</v>
      </c>
      <c r="O253" s="43">
        <f>'Detailed Results'!I253</f>
        <v>6</v>
      </c>
      <c r="P253" s="43">
        <f>'Detailed Results'!J253</f>
        <v>6</v>
      </c>
      <c r="Q253" s="44">
        <f t="shared" si="38"/>
        <v>1</v>
      </c>
      <c r="R253" s="44">
        <f t="shared" si="45"/>
        <v>0.66666666666666663</v>
      </c>
      <c r="S253" s="44">
        <f t="shared" si="39"/>
        <v>0.8</v>
      </c>
      <c r="T253" s="45">
        <f>'Detailed Results'!K253</f>
        <v>3</v>
      </c>
      <c r="U253" s="45">
        <f>'Detailed Results'!L253</f>
        <v>3</v>
      </c>
      <c r="V253" s="46">
        <f t="shared" si="40"/>
        <v>1</v>
      </c>
      <c r="W253" s="46">
        <f t="shared" si="46"/>
        <v>1</v>
      </c>
      <c r="X253" s="46">
        <f t="shared" si="41"/>
        <v>1</v>
      </c>
      <c r="Y253" s="47">
        <f>'Detailed Results'!M253</f>
        <v>6</v>
      </c>
      <c r="Z253" s="47">
        <f>'Detailed Results'!N253</f>
        <v>4</v>
      </c>
      <c r="AA253" s="48">
        <f t="shared" si="42"/>
        <v>0.66666666666666663</v>
      </c>
      <c r="AB253" s="48">
        <f t="shared" si="47"/>
        <v>0.44444444444444442</v>
      </c>
      <c r="AC253" s="48">
        <f t="shared" si="43"/>
        <v>0.53333333333333333</v>
      </c>
    </row>
    <row r="254" spans="1:29" ht="15" customHeight="1" thickBot="1" x14ac:dyDescent="0.4">
      <c r="A254" s="185"/>
      <c r="B254" s="14" t="s">
        <v>21</v>
      </c>
      <c r="C254" s="15" t="s">
        <v>20</v>
      </c>
      <c r="D254" s="15">
        <v>2</v>
      </c>
      <c r="E254" s="14" t="s">
        <v>17</v>
      </c>
      <c r="F254" s="40">
        <f>'GT Input'!C8</f>
        <v>3</v>
      </c>
      <c r="G254" s="40">
        <f>'GT Input'!D8</f>
        <v>9</v>
      </c>
      <c r="H254" s="40">
        <f>'GT Input'!E8</f>
        <v>3</v>
      </c>
      <c r="I254" s="40">
        <f>'GT Input'!F8</f>
        <v>9</v>
      </c>
      <c r="J254" s="41">
        <f>'Detailed Results'!G254</f>
        <v>3</v>
      </c>
      <c r="K254" s="41">
        <f>'Detailed Results'!H254</f>
        <v>3</v>
      </c>
      <c r="L254" s="42">
        <f t="shared" si="36"/>
        <v>1</v>
      </c>
      <c r="M254" s="42">
        <f t="shared" si="44"/>
        <v>1</v>
      </c>
      <c r="N254" s="42">
        <f t="shared" si="37"/>
        <v>1</v>
      </c>
      <c r="O254" s="43">
        <f>'Detailed Results'!I254</f>
        <v>7</v>
      </c>
      <c r="P254" s="43">
        <f>'Detailed Results'!J254</f>
        <v>7</v>
      </c>
      <c r="Q254" s="44">
        <f t="shared" si="38"/>
        <v>1</v>
      </c>
      <c r="R254" s="44">
        <f t="shared" si="45"/>
        <v>0.77777777777777779</v>
      </c>
      <c r="S254" s="44">
        <f t="shared" si="39"/>
        <v>0.87500000000000011</v>
      </c>
      <c r="T254" s="45">
        <f>'Detailed Results'!K254</f>
        <v>3</v>
      </c>
      <c r="U254" s="45">
        <f>'Detailed Results'!L254</f>
        <v>3</v>
      </c>
      <c r="V254" s="46">
        <f t="shared" si="40"/>
        <v>1</v>
      </c>
      <c r="W254" s="46">
        <f t="shared" si="46"/>
        <v>1</v>
      </c>
      <c r="X254" s="46">
        <f t="shared" si="41"/>
        <v>1</v>
      </c>
      <c r="Y254" s="47">
        <f>'Detailed Results'!M254</f>
        <v>7</v>
      </c>
      <c r="Z254" s="47">
        <f>'Detailed Results'!N254</f>
        <v>4</v>
      </c>
      <c r="AA254" s="48">
        <f t="shared" si="42"/>
        <v>0.5714285714285714</v>
      </c>
      <c r="AB254" s="48">
        <f t="shared" si="47"/>
        <v>0.44444444444444442</v>
      </c>
      <c r="AC254" s="48">
        <f t="shared" si="43"/>
        <v>0.5</v>
      </c>
    </row>
    <row r="255" spans="1:29" ht="15" customHeight="1" thickBot="1" x14ac:dyDescent="0.4">
      <c r="A255" s="185"/>
      <c r="B255" s="14" t="s">
        <v>21</v>
      </c>
      <c r="C255" s="15" t="s">
        <v>20</v>
      </c>
      <c r="D255" s="15">
        <v>2</v>
      </c>
      <c r="E255" s="14" t="s">
        <v>109</v>
      </c>
      <c r="F255" s="40">
        <f>'GT Input'!C8</f>
        <v>3</v>
      </c>
      <c r="G255" s="40">
        <f>'GT Input'!D8</f>
        <v>9</v>
      </c>
      <c r="H255" s="40">
        <f>'GT Input'!E8</f>
        <v>3</v>
      </c>
      <c r="I255" s="40">
        <f>'GT Input'!F8</f>
        <v>9</v>
      </c>
      <c r="J255" s="41">
        <f>'Detailed Results'!G255</f>
        <v>5</v>
      </c>
      <c r="K255" s="41">
        <f>'Detailed Results'!H255</f>
        <v>5</v>
      </c>
      <c r="L255" s="42">
        <f t="shared" si="36"/>
        <v>1</v>
      </c>
      <c r="M255" s="42">
        <f t="shared" si="44"/>
        <v>1.6666666666666667</v>
      </c>
      <c r="N255" s="42">
        <f t="shared" si="37"/>
        <v>1.25</v>
      </c>
      <c r="O255" s="43">
        <f>'Detailed Results'!I255</f>
        <v>10</v>
      </c>
      <c r="P255" s="43">
        <f>'Detailed Results'!J255</f>
        <v>10</v>
      </c>
      <c r="Q255" s="44">
        <f t="shared" si="38"/>
        <v>1</v>
      </c>
      <c r="R255" s="44">
        <f t="shared" si="45"/>
        <v>1.1111111111111112</v>
      </c>
      <c r="S255" s="44">
        <f t="shared" si="39"/>
        <v>1.0526315789473684</v>
      </c>
      <c r="T255" s="45">
        <f>'Detailed Results'!K255</f>
        <v>5</v>
      </c>
      <c r="U255" s="45">
        <f>'Detailed Results'!L255</f>
        <v>3</v>
      </c>
      <c r="V255" s="46">
        <f t="shared" si="40"/>
        <v>0.6</v>
      </c>
      <c r="W255" s="46">
        <f t="shared" si="46"/>
        <v>1</v>
      </c>
      <c r="X255" s="46">
        <f t="shared" si="41"/>
        <v>0.74999999999999989</v>
      </c>
      <c r="Y255" s="47">
        <f>'Detailed Results'!M255</f>
        <v>10</v>
      </c>
      <c r="Z255" s="47">
        <f>'Detailed Results'!N255</f>
        <v>4</v>
      </c>
      <c r="AA255" s="48">
        <f t="shared" si="42"/>
        <v>0.4</v>
      </c>
      <c r="AB255" s="48">
        <f t="shared" si="47"/>
        <v>0.44444444444444442</v>
      </c>
      <c r="AC255" s="48">
        <f t="shared" si="43"/>
        <v>0.4210526315789474</v>
      </c>
    </row>
    <row r="256" spans="1:29" ht="15" customHeight="1" thickBot="1" x14ac:dyDescent="0.4">
      <c r="A256" s="185"/>
      <c r="B256" s="12" t="s">
        <v>21</v>
      </c>
      <c r="C256" s="13" t="s">
        <v>20</v>
      </c>
      <c r="D256" s="13">
        <v>3</v>
      </c>
      <c r="E256" s="12" t="s">
        <v>17</v>
      </c>
      <c r="F256" s="40">
        <f>'GT Input'!C8</f>
        <v>3</v>
      </c>
      <c r="G256" s="40">
        <f>'GT Input'!D8</f>
        <v>9</v>
      </c>
      <c r="H256" s="40">
        <f>'GT Input'!E8</f>
        <v>3</v>
      </c>
      <c r="I256" s="40">
        <f>'GT Input'!F8</f>
        <v>9</v>
      </c>
      <c r="J256" s="41">
        <f>'Detailed Results'!G256</f>
        <v>3</v>
      </c>
      <c r="K256" s="41">
        <f>'Detailed Results'!H256</f>
        <v>3</v>
      </c>
      <c r="L256" s="42">
        <f t="shared" si="36"/>
        <v>1</v>
      </c>
      <c r="M256" s="42">
        <f t="shared" si="44"/>
        <v>1</v>
      </c>
      <c r="N256" s="42">
        <f t="shared" si="37"/>
        <v>1</v>
      </c>
      <c r="O256" s="43">
        <f>'Detailed Results'!I256</f>
        <v>7</v>
      </c>
      <c r="P256" s="43">
        <f>'Detailed Results'!J256</f>
        <v>7</v>
      </c>
      <c r="Q256" s="44">
        <f t="shared" si="38"/>
        <v>1</v>
      </c>
      <c r="R256" s="44">
        <f t="shared" si="45"/>
        <v>0.77777777777777779</v>
      </c>
      <c r="S256" s="44">
        <f t="shared" si="39"/>
        <v>0.87500000000000011</v>
      </c>
      <c r="T256" s="45">
        <f>'Detailed Results'!K256</f>
        <v>3</v>
      </c>
      <c r="U256" s="45">
        <f>'Detailed Results'!L256</f>
        <v>3</v>
      </c>
      <c r="V256" s="46">
        <f t="shared" si="40"/>
        <v>1</v>
      </c>
      <c r="W256" s="46">
        <f t="shared" si="46"/>
        <v>1</v>
      </c>
      <c r="X256" s="46">
        <f t="shared" si="41"/>
        <v>1</v>
      </c>
      <c r="Y256" s="47">
        <f>'Detailed Results'!M256</f>
        <v>7</v>
      </c>
      <c r="Z256" s="47">
        <f>'Detailed Results'!N256</f>
        <v>3</v>
      </c>
      <c r="AA256" s="48">
        <f t="shared" si="42"/>
        <v>0.42857142857142855</v>
      </c>
      <c r="AB256" s="48">
        <f t="shared" si="47"/>
        <v>0.33333333333333331</v>
      </c>
      <c r="AC256" s="48">
        <f t="shared" si="43"/>
        <v>0.375</v>
      </c>
    </row>
    <row r="257" spans="1:29" ht="15" customHeight="1" thickBot="1" x14ac:dyDescent="0.4">
      <c r="A257" s="185"/>
      <c r="B257" s="12" t="s">
        <v>21</v>
      </c>
      <c r="C257" s="13" t="s">
        <v>20</v>
      </c>
      <c r="D257" s="13">
        <v>3</v>
      </c>
      <c r="E257" s="12" t="s">
        <v>109</v>
      </c>
      <c r="F257" s="40">
        <f>'GT Input'!C8</f>
        <v>3</v>
      </c>
      <c r="G257" s="40">
        <f>'GT Input'!D8</f>
        <v>9</v>
      </c>
      <c r="H257" s="40">
        <f>'GT Input'!E8</f>
        <v>3</v>
      </c>
      <c r="I257" s="40">
        <f>'GT Input'!F8</f>
        <v>9</v>
      </c>
      <c r="J257" s="41">
        <f>'Detailed Results'!G257</f>
        <v>5</v>
      </c>
      <c r="K257" s="41">
        <f>'Detailed Results'!H257</f>
        <v>5</v>
      </c>
      <c r="L257" s="42">
        <f t="shared" si="36"/>
        <v>1</v>
      </c>
      <c r="M257" s="42">
        <f t="shared" si="44"/>
        <v>1.6666666666666667</v>
      </c>
      <c r="N257" s="42">
        <f t="shared" si="37"/>
        <v>1.25</v>
      </c>
      <c r="O257" s="43">
        <f>'Detailed Results'!I257</f>
        <v>9</v>
      </c>
      <c r="P257" s="43">
        <f>'Detailed Results'!J257</f>
        <v>9</v>
      </c>
      <c r="Q257" s="44">
        <f t="shared" si="38"/>
        <v>1</v>
      </c>
      <c r="R257" s="44">
        <f t="shared" si="45"/>
        <v>1</v>
      </c>
      <c r="S257" s="44">
        <f t="shared" si="39"/>
        <v>1</v>
      </c>
      <c r="T257" s="45">
        <f>'Detailed Results'!K257</f>
        <v>5</v>
      </c>
      <c r="U257" s="45">
        <f>'Detailed Results'!L257</f>
        <v>3</v>
      </c>
      <c r="V257" s="46">
        <f t="shared" si="40"/>
        <v>0.6</v>
      </c>
      <c r="W257" s="46">
        <f t="shared" si="46"/>
        <v>1</v>
      </c>
      <c r="X257" s="46">
        <f t="shared" si="41"/>
        <v>0.74999999999999989</v>
      </c>
      <c r="Y257" s="47">
        <f>'Detailed Results'!M257</f>
        <v>9</v>
      </c>
      <c r="Z257" s="47">
        <f>'Detailed Results'!N257</f>
        <v>4</v>
      </c>
      <c r="AA257" s="48">
        <f t="shared" si="42"/>
        <v>0.44444444444444442</v>
      </c>
      <c r="AB257" s="48">
        <f t="shared" si="47"/>
        <v>0.44444444444444442</v>
      </c>
      <c r="AC257" s="48">
        <f t="shared" si="43"/>
        <v>0.44444444444444442</v>
      </c>
    </row>
    <row r="258" spans="1:29" ht="15" customHeight="1" thickBot="1" x14ac:dyDescent="0.4">
      <c r="A258" s="185"/>
      <c r="B258" s="16" t="s">
        <v>22</v>
      </c>
      <c r="C258" s="17" t="s">
        <v>16</v>
      </c>
      <c r="D258" s="17">
        <v>1</v>
      </c>
      <c r="E258" s="16" t="s">
        <v>17</v>
      </c>
      <c r="F258" s="40">
        <f>'GT Input'!C8</f>
        <v>3</v>
      </c>
      <c r="G258" s="40">
        <f>'GT Input'!D8</f>
        <v>9</v>
      </c>
      <c r="H258" s="40">
        <f>'GT Input'!E8</f>
        <v>3</v>
      </c>
      <c r="I258" s="40">
        <f>'GT Input'!F8</f>
        <v>9</v>
      </c>
      <c r="J258" s="41">
        <f>'Detailed Results'!G258</f>
        <v>3</v>
      </c>
      <c r="K258" s="41">
        <f>'Detailed Results'!H258</f>
        <v>3</v>
      </c>
      <c r="L258" s="42">
        <f t="shared" si="36"/>
        <v>1</v>
      </c>
      <c r="M258" s="42">
        <f t="shared" si="44"/>
        <v>1</v>
      </c>
      <c r="N258" s="42">
        <f t="shared" si="37"/>
        <v>1</v>
      </c>
      <c r="O258" s="43">
        <f>'Detailed Results'!I258</f>
        <v>9</v>
      </c>
      <c r="P258" s="43">
        <f>'Detailed Results'!J258</f>
        <v>9</v>
      </c>
      <c r="Q258" s="44">
        <f t="shared" si="38"/>
        <v>1</v>
      </c>
      <c r="R258" s="44">
        <f t="shared" si="45"/>
        <v>1</v>
      </c>
      <c r="S258" s="44">
        <f t="shared" si="39"/>
        <v>1</v>
      </c>
      <c r="T258" s="45">
        <f>'Detailed Results'!K258</f>
        <v>3</v>
      </c>
      <c r="U258" s="45">
        <f>'Detailed Results'!L258</f>
        <v>3</v>
      </c>
      <c r="V258" s="46">
        <f t="shared" si="40"/>
        <v>1</v>
      </c>
      <c r="W258" s="46">
        <f t="shared" si="46"/>
        <v>1</v>
      </c>
      <c r="X258" s="46">
        <f t="shared" si="41"/>
        <v>1</v>
      </c>
      <c r="Y258" s="47">
        <f>'Detailed Results'!M258</f>
        <v>9</v>
      </c>
      <c r="Z258" s="47">
        <f>'Detailed Results'!N258</f>
        <v>4</v>
      </c>
      <c r="AA258" s="48">
        <f t="shared" si="42"/>
        <v>0.44444444444444442</v>
      </c>
      <c r="AB258" s="48">
        <f t="shared" si="47"/>
        <v>0.44444444444444442</v>
      </c>
      <c r="AC258" s="48">
        <f t="shared" si="43"/>
        <v>0.44444444444444442</v>
      </c>
    </row>
    <row r="259" spans="1:29" ht="15" customHeight="1" thickBot="1" x14ac:dyDescent="0.4">
      <c r="A259" s="185"/>
      <c r="B259" s="16" t="s">
        <v>22</v>
      </c>
      <c r="C259" s="17" t="s">
        <v>16</v>
      </c>
      <c r="D259" s="17">
        <v>1</v>
      </c>
      <c r="E259" s="16" t="s">
        <v>109</v>
      </c>
      <c r="F259" s="40">
        <f>'GT Input'!C8</f>
        <v>3</v>
      </c>
      <c r="G259" s="40">
        <f>'GT Input'!D8</f>
        <v>9</v>
      </c>
      <c r="H259" s="40">
        <f>'GT Input'!E8</f>
        <v>3</v>
      </c>
      <c r="I259" s="40">
        <f>'GT Input'!F8</f>
        <v>9</v>
      </c>
      <c r="J259" s="41">
        <f>'Detailed Results'!G259</f>
        <v>3</v>
      </c>
      <c r="K259" s="41">
        <f>'Detailed Results'!H259</f>
        <v>3</v>
      </c>
      <c r="L259" s="42">
        <f t="shared" si="36"/>
        <v>1</v>
      </c>
      <c r="M259" s="42">
        <f t="shared" si="44"/>
        <v>1</v>
      </c>
      <c r="N259" s="42">
        <f t="shared" si="37"/>
        <v>1</v>
      </c>
      <c r="O259" s="43">
        <f>'Detailed Results'!I259</f>
        <v>7</v>
      </c>
      <c r="P259" s="43">
        <f>'Detailed Results'!J259</f>
        <v>7</v>
      </c>
      <c r="Q259" s="44">
        <f t="shared" si="38"/>
        <v>1</v>
      </c>
      <c r="R259" s="44">
        <f t="shared" si="45"/>
        <v>0.77777777777777779</v>
      </c>
      <c r="S259" s="44">
        <f t="shared" si="39"/>
        <v>0.87500000000000011</v>
      </c>
      <c r="T259" s="45">
        <f>'Detailed Results'!K259</f>
        <v>3</v>
      </c>
      <c r="U259" s="45">
        <f>'Detailed Results'!L259</f>
        <v>3</v>
      </c>
      <c r="V259" s="46">
        <f t="shared" si="40"/>
        <v>1</v>
      </c>
      <c r="W259" s="46">
        <f t="shared" si="46"/>
        <v>1</v>
      </c>
      <c r="X259" s="46">
        <f t="shared" si="41"/>
        <v>1</v>
      </c>
      <c r="Y259" s="47">
        <f>'Detailed Results'!M259</f>
        <v>7</v>
      </c>
      <c r="Z259" s="47">
        <f>'Detailed Results'!N259</f>
        <v>4</v>
      </c>
      <c r="AA259" s="48">
        <f t="shared" si="42"/>
        <v>0.5714285714285714</v>
      </c>
      <c r="AB259" s="48">
        <f t="shared" si="47"/>
        <v>0.44444444444444442</v>
      </c>
      <c r="AC259" s="48">
        <f t="shared" si="43"/>
        <v>0.5</v>
      </c>
    </row>
    <row r="260" spans="1:29" ht="15" customHeight="1" thickBot="1" x14ac:dyDescent="0.4">
      <c r="A260" s="185"/>
      <c r="B260" s="18" t="s">
        <v>22</v>
      </c>
      <c r="C260" s="19" t="s">
        <v>16</v>
      </c>
      <c r="D260" s="19">
        <v>2</v>
      </c>
      <c r="E260" s="18" t="s">
        <v>17</v>
      </c>
      <c r="F260" s="40">
        <f>'GT Input'!C8</f>
        <v>3</v>
      </c>
      <c r="G260" s="40">
        <f>'GT Input'!D8</f>
        <v>9</v>
      </c>
      <c r="H260" s="40">
        <f>'GT Input'!E8</f>
        <v>3</v>
      </c>
      <c r="I260" s="40">
        <f>'GT Input'!F8</f>
        <v>9</v>
      </c>
      <c r="J260" s="41">
        <f>'Detailed Results'!G260</f>
        <v>3</v>
      </c>
      <c r="K260" s="41">
        <f>'Detailed Results'!H260</f>
        <v>3</v>
      </c>
      <c r="L260" s="42">
        <f t="shared" si="36"/>
        <v>1</v>
      </c>
      <c r="M260" s="42">
        <f t="shared" si="44"/>
        <v>1</v>
      </c>
      <c r="N260" s="42">
        <f t="shared" si="37"/>
        <v>1</v>
      </c>
      <c r="O260" s="43">
        <f>'Detailed Results'!I260</f>
        <v>9</v>
      </c>
      <c r="P260" s="43">
        <f>'Detailed Results'!J260</f>
        <v>9</v>
      </c>
      <c r="Q260" s="44">
        <f t="shared" si="38"/>
        <v>1</v>
      </c>
      <c r="R260" s="44">
        <f t="shared" si="45"/>
        <v>1</v>
      </c>
      <c r="S260" s="44">
        <f t="shared" si="39"/>
        <v>1</v>
      </c>
      <c r="T260" s="45">
        <f>'Detailed Results'!K260</f>
        <v>3</v>
      </c>
      <c r="U260" s="45">
        <f>'Detailed Results'!L260</f>
        <v>3</v>
      </c>
      <c r="V260" s="46">
        <f t="shared" si="40"/>
        <v>1</v>
      </c>
      <c r="W260" s="46">
        <f t="shared" si="46"/>
        <v>1</v>
      </c>
      <c r="X260" s="46">
        <f t="shared" si="41"/>
        <v>1</v>
      </c>
      <c r="Y260" s="47">
        <f>'Detailed Results'!M260</f>
        <v>9</v>
      </c>
      <c r="Z260" s="47">
        <f>'Detailed Results'!N260</f>
        <v>4</v>
      </c>
      <c r="AA260" s="48">
        <f t="shared" si="42"/>
        <v>0.44444444444444442</v>
      </c>
      <c r="AB260" s="48">
        <f t="shared" si="47"/>
        <v>0.44444444444444442</v>
      </c>
      <c r="AC260" s="48">
        <f t="shared" si="43"/>
        <v>0.44444444444444442</v>
      </c>
    </row>
    <row r="261" spans="1:29" ht="15" customHeight="1" thickBot="1" x14ac:dyDescent="0.4">
      <c r="A261" s="185"/>
      <c r="B261" s="18" t="s">
        <v>22</v>
      </c>
      <c r="C261" s="19" t="s">
        <v>16</v>
      </c>
      <c r="D261" s="19">
        <v>2</v>
      </c>
      <c r="E261" s="18" t="s">
        <v>109</v>
      </c>
      <c r="F261" s="40">
        <f>'GT Input'!C8</f>
        <v>3</v>
      </c>
      <c r="G261" s="40">
        <f>'GT Input'!D8</f>
        <v>9</v>
      </c>
      <c r="H261" s="40">
        <f>'GT Input'!E8</f>
        <v>3</v>
      </c>
      <c r="I261" s="40">
        <f>'GT Input'!F8</f>
        <v>9</v>
      </c>
      <c r="J261" s="41">
        <f>'Detailed Results'!G261</f>
        <v>3</v>
      </c>
      <c r="K261" s="41">
        <f>'Detailed Results'!H261</f>
        <v>3</v>
      </c>
      <c r="L261" s="42">
        <f t="shared" si="36"/>
        <v>1</v>
      </c>
      <c r="M261" s="42">
        <f t="shared" si="44"/>
        <v>1</v>
      </c>
      <c r="N261" s="42">
        <f t="shared" si="37"/>
        <v>1</v>
      </c>
      <c r="O261" s="43">
        <f>'Detailed Results'!I261</f>
        <v>7</v>
      </c>
      <c r="P261" s="43">
        <f>'Detailed Results'!J261</f>
        <v>7</v>
      </c>
      <c r="Q261" s="44">
        <f t="shared" si="38"/>
        <v>1</v>
      </c>
      <c r="R261" s="44">
        <f t="shared" si="45"/>
        <v>0.77777777777777779</v>
      </c>
      <c r="S261" s="44">
        <f t="shared" si="39"/>
        <v>0.87500000000000011</v>
      </c>
      <c r="T261" s="45">
        <f>'Detailed Results'!K261</f>
        <v>3</v>
      </c>
      <c r="U261" s="45">
        <f>'Detailed Results'!L261</f>
        <v>3</v>
      </c>
      <c r="V261" s="46">
        <f t="shared" si="40"/>
        <v>1</v>
      </c>
      <c r="W261" s="46">
        <f t="shared" si="46"/>
        <v>1</v>
      </c>
      <c r="X261" s="46">
        <f t="shared" si="41"/>
        <v>1</v>
      </c>
      <c r="Y261" s="47">
        <f>'Detailed Results'!M261</f>
        <v>7</v>
      </c>
      <c r="Z261" s="47">
        <f>'Detailed Results'!N261</f>
        <v>4</v>
      </c>
      <c r="AA261" s="48">
        <f t="shared" si="42"/>
        <v>0.5714285714285714</v>
      </c>
      <c r="AB261" s="48">
        <f t="shared" si="47"/>
        <v>0.44444444444444442</v>
      </c>
      <c r="AC261" s="48">
        <f t="shared" si="43"/>
        <v>0.5</v>
      </c>
    </row>
    <row r="262" spans="1:29" ht="15" customHeight="1" thickBot="1" x14ac:dyDescent="0.4">
      <c r="A262" s="185"/>
      <c r="B262" s="16" t="s">
        <v>22</v>
      </c>
      <c r="C262" s="17" t="s">
        <v>16</v>
      </c>
      <c r="D262" s="17">
        <v>3</v>
      </c>
      <c r="E262" s="16" t="s">
        <v>17</v>
      </c>
      <c r="F262" s="40">
        <f>'GT Input'!C8</f>
        <v>3</v>
      </c>
      <c r="G262" s="40">
        <f>'GT Input'!D8</f>
        <v>9</v>
      </c>
      <c r="H262" s="40">
        <f>'GT Input'!E8</f>
        <v>3</v>
      </c>
      <c r="I262" s="40">
        <f>'GT Input'!F8</f>
        <v>9</v>
      </c>
      <c r="J262" s="41">
        <f>'Detailed Results'!G262</f>
        <v>3</v>
      </c>
      <c r="K262" s="41">
        <f>'Detailed Results'!H262</f>
        <v>3</v>
      </c>
      <c r="L262" s="42">
        <f t="shared" ref="L262:L325" si="48">IFERROR(K262/J262,"")</f>
        <v>1</v>
      </c>
      <c r="M262" s="42">
        <f t="shared" si="44"/>
        <v>1</v>
      </c>
      <c r="N262" s="42">
        <f t="shared" ref="N262:N325" si="49">IFERROR(2*L262*M262/(L262+M262),"")</f>
        <v>1</v>
      </c>
      <c r="O262" s="43">
        <f>'Detailed Results'!I262</f>
        <v>8</v>
      </c>
      <c r="P262" s="43">
        <f>'Detailed Results'!J262</f>
        <v>8</v>
      </c>
      <c r="Q262" s="44">
        <f t="shared" ref="Q262:Q325" si="50">IFERROR(P262/O262,"")</f>
        <v>1</v>
      </c>
      <c r="R262" s="44">
        <f t="shared" si="45"/>
        <v>0.88888888888888884</v>
      </c>
      <c r="S262" s="44">
        <f t="shared" ref="S262:S325" si="51">IFERROR(2*Q262*R262/(Q262+R262),"")</f>
        <v>0.94117647058823528</v>
      </c>
      <c r="T262" s="45">
        <f>'Detailed Results'!K262</f>
        <v>3</v>
      </c>
      <c r="U262" s="45">
        <f>'Detailed Results'!L262</f>
        <v>3</v>
      </c>
      <c r="V262" s="46">
        <f t="shared" ref="V262:V325" si="52">IFERROR(U262/T262,"")</f>
        <v>1</v>
      </c>
      <c r="W262" s="46">
        <f t="shared" si="46"/>
        <v>1</v>
      </c>
      <c r="X262" s="46">
        <f t="shared" ref="X262:X325" si="53">IFERROR(2*V262*W262/(V262+W262),"")</f>
        <v>1</v>
      </c>
      <c r="Y262" s="47">
        <f>'Detailed Results'!M262</f>
        <v>8</v>
      </c>
      <c r="Z262" s="47">
        <f>'Detailed Results'!N262</f>
        <v>4</v>
      </c>
      <c r="AA262" s="48">
        <f t="shared" ref="AA262:AA325" si="54">IFERROR(Z262/Y262,"")</f>
        <v>0.5</v>
      </c>
      <c r="AB262" s="48">
        <f t="shared" si="47"/>
        <v>0.44444444444444442</v>
      </c>
      <c r="AC262" s="48">
        <f t="shared" ref="AC262:AC325" si="55">IFERROR(2*AA262*AB262/(AA262+AB262),"")</f>
        <v>0.47058823529411764</v>
      </c>
    </row>
    <row r="263" spans="1:29" ht="15" customHeight="1" thickBot="1" x14ac:dyDescent="0.4">
      <c r="A263" s="185"/>
      <c r="B263" s="16" t="s">
        <v>22</v>
      </c>
      <c r="C263" s="17" t="s">
        <v>16</v>
      </c>
      <c r="D263" s="17">
        <v>3</v>
      </c>
      <c r="E263" s="16" t="s">
        <v>109</v>
      </c>
      <c r="F263" s="40">
        <f>'GT Input'!C8</f>
        <v>3</v>
      </c>
      <c r="G263" s="40">
        <f>'GT Input'!D8</f>
        <v>9</v>
      </c>
      <c r="H263" s="40">
        <f>'GT Input'!E8</f>
        <v>3</v>
      </c>
      <c r="I263" s="40">
        <f>'GT Input'!F8</f>
        <v>9</v>
      </c>
      <c r="J263" s="41">
        <f>'Detailed Results'!G263</f>
        <v>3</v>
      </c>
      <c r="K263" s="41">
        <f>'Detailed Results'!H263</f>
        <v>3</v>
      </c>
      <c r="L263" s="42">
        <f t="shared" si="48"/>
        <v>1</v>
      </c>
      <c r="M263" s="42">
        <f t="shared" ref="M263:M326" si="56">IFERROR(K263/F263,"")</f>
        <v>1</v>
      </c>
      <c r="N263" s="42">
        <f t="shared" si="49"/>
        <v>1</v>
      </c>
      <c r="O263" s="43">
        <f>'Detailed Results'!I263</f>
        <v>8</v>
      </c>
      <c r="P263" s="43">
        <f>'Detailed Results'!J263</f>
        <v>8</v>
      </c>
      <c r="Q263" s="44">
        <f t="shared" si="50"/>
        <v>1</v>
      </c>
      <c r="R263" s="44">
        <f t="shared" ref="R263:R326" si="57">IFERROR(P263/G263,"")</f>
        <v>0.88888888888888884</v>
      </c>
      <c r="S263" s="44">
        <f t="shared" si="51"/>
        <v>0.94117647058823528</v>
      </c>
      <c r="T263" s="45">
        <f>'Detailed Results'!K263</f>
        <v>3</v>
      </c>
      <c r="U263" s="45">
        <f>'Detailed Results'!L263</f>
        <v>3</v>
      </c>
      <c r="V263" s="46">
        <f t="shared" si="52"/>
        <v>1</v>
      </c>
      <c r="W263" s="46">
        <f t="shared" ref="W263:W326" si="58">IFERROR(U263/H263,"")</f>
        <v>1</v>
      </c>
      <c r="X263" s="46">
        <f t="shared" si="53"/>
        <v>1</v>
      </c>
      <c r="Y263" s="47">
        <f>'Detailed Results'!M263</f>
        <v>8</v>
      </c>
      <c r="Z263" s="47">
        <f>'Detailed Results'!N263</f>
        <v>4</v>
      </c>
      <c r="AA263" s="48">
        <f t="shared" si="54"/>
        <v>0.5</v>
      </c>
      <c r="AB263" s="48">
        <f t="shared" ref="AB263:AB326" si="59">IFERROR(Z263/I263,"")</f>
        <v>0.44444444444444442</v>
      </c>
      <c r="AC263" s="48">
        <f t="shared" si="55"/>
        <v>0.47058823529411764</v>
      </c>
    </row>
    <row r="264" spans="1:29" ht="15" customHeight="1" thickBot="1" x14ac:dyDescent="0.4">
      <c r="A264" s="185"/>
      <c r="B264" s="18" t="s">
        <v>22</v>
      </c>
      <c r="C264" s="19" t="s">
        <v>19</v>
      </c>
      <c r="D264" s="19">
        <v>1</v>
      </c>
      <c r="E264" s="18" t="s">
        <v>17</v>
      </c>
      <c r="F264" s="40">
        <f>'GT Input'!C8</f>
        <v>3</v>
      </c>
      <c r="G264" s="40">
        <f>'GT Input'!D8</f>
        <v>9</v>
      </c>
      <c r="H264" s="40">
        <f>'GT Input'!E8</f>
        <v>3</v>
      </c>
      <c r="I264" s="40">
        <f>'GT Input'!F8</f>
        <v>9</v>
      </c>
      <c r="J264" s="41">
        <f>'Detailed Results'!G264</f>
        <v>3</v>
      </c>
      <c r="K264" s="41">
        <f>'Detailed Results'!H264</f>
        <v>3</v>
      </c>
      <c r="L264" s="42">
        <f t="shared" si="48"/>
        <v>1</v>
      </c>
      <c r="M264" s="42">
        <f t="shared" si="56"/>
        <v>1</v>
      </c>
      <c r="N264" s="42">
        <f t="shared" si="49"/>
        <v>1</v>
      </c>
      <c r="O264" s="43">
        <f>'Detailed Results'!I264</f>
        <v>7</v>
      </c>
      <c r="P264" s="43">
        <f>'Detailed Results'!J264</f>
        <v>7</v>
      </c>
      <c r="Q264" s="44">
        <f t="shared" si="50"/>
        <v>1</v>
      </c>
      <c r="R264" s="44">
        <f t="shared" si="57"/>
        <v>0.77777777777777779</v>
      </c>
      <c r="S264" s="44">
        <f t="shared" si="51"/>
        <v>0.87500000000000011</v>
      </c>
      <c r="T264" s="45">
        <f>'Detailed Results'!K264</f>
        <v>3</v>
      </c>
      <c r="U264" s="45">
        <f>'Detailed Results'!L264</f>
        <v>3</v>
      </c>
      <c r="V264" s="46">
        <f t="shared" si="52"/>
        <v>1</v>
      </c>
      <c r="W264" s="46">
        <f t="shared" si="58"/>
        <v>1</v>
      </c>
      <c r="X264" s="46">
        <f t="shared" si="53"/>
        <v>1</v>
      </c>
      <c r="Y264" s="47">
        <f>'Detailed Results'!M264</f>
        <v>7</v>
      </c>
      <c r="Z264" s="47">
        <f>'Detailed Results'!N264</f>
        <v>4</v>
      </c>
      <c r="AA264" s="48">
        <f t="shared" si="54"/>
        <v>0.5714285714285714</v>
      </c>
      <c r="AB264" s="48">
        <f t="shared" si="59"/>
        <v>0.44444444444444442</v>
      </c>
      <c r="AC264" s="48">
        <f t="shared" si="55"/>
        <v>0.5</v>
      </c>
    </row>
    <row r="265" spans="1:29" ht="15" customHeight="1" thickBot="1" x14ac:dyDescent="0.4">
      <c r="A265" s="185"/>
      <c r="B265" s="18" t="s">
        <v>22</v>
      </c>
      <c r="C265" s="19" t="s">
        <v>19</v>
      </c>
      <c r="D265" s="19">
        <v>1</v>
      </c>
      <c r="E265" s="18" t="s">
        <v>109</v>
      </c>
      <c r="F265" s="40">
        <f>'GT Input'!C8</f>
        <v>3</v>
      </c>
      <c r="G265" s="40">
        <f>'GT Input'!D8</f>
        <v>9</v>
      </c>
      <c r="H265" s="40">
        <f>'GT Input'!E8</f>
        <v>3</v>
      </c>
      <c r="I265" s="40">
        <f>'GT Input'!F8</f>
        <v>9</v>
      </c>
      <c r="J265" s="41">
        <f>'Detailed Results'!G265</f>
        <v>3</v>
      </c>
      <c r="K265" s="41">
        <f>'Detailed Results'!H265</f>
        <v>3</v>
      </c>
      <c r="L265" s="42">
        <f t="shared" si="48"/>
        <v>1</v>
      </c>
      <c r="M265" s="42">
        <f t="shared" si="56"/>
        <v>1</v>
      </c>
      <c r="N265" s="42">
        <f t="shared" si="49"/>
        <v>1</v>
      </c>
      <c r="O265" s="43">
        <f>'Detailed Results'!I265</f>
        <v>7</v>
      </c>
      <c r="P265" s="43">
        <f>'Detailed Results'!J265</f>
        <v>7</v>
      </c>
      <c r="Q265" s="44">
        <f t="shared" si="50"/>
        <v>1</v>
      </c>
      <c r="R265" s="44">
        <f t="shared" si="57"/>
        <v>0.77777777777777779</v>
      </c>
      <c r="S265" s="44">
        <f t="shared" si="51"/>
        <v>0.87500000000000011</v>
      </c>
      <c r="T265" s="45">
        <f>'Detailed Results'!K265</f>
        <v>3</v>
      </c>
      <c r="U265" s="45">
        <f>'Detailed Results'!L265</f>
        <v>3</v>
      </c>
      <c r="V265" s="46">
        <f t="shared" si="52"/>
        <v>1</v>
      </c>
      <c r="W265" s="46">
        <f t="shared" si="58"/>
        <v>1</v>
      </c>
      <c r="X265" s="46">
        <f t="shared" si="53"/>
        <v>1</v>
      </c>
      <c r="Y265" s="47">
        <f>'Detailed Results'!M265</f>
        <v>7</v>
      </c>
      <c r="Z265" s="47">
        <f>'Detailed Results'!N265</f>
        <v>4</v>
      </c>
      <c r="AA265" s="48">
        <f t="shared" si="54"/>
        <v>0.5714285714285714</v>
      </c>
      <c r="AB265" s="48">
        <f t="shared" si="59"/>
        <v>0.44444444444444442</v>
      </c>
      <c r="AC265" s="48">
        <f t="shared" si="55"/>
        <v>0.5</v>
      </c>
    </row>
    <row r="266" spans="1:29" ht="15" customHeight="1" thickBot="1" x14ac:dyDescent="0.4">
      <c r="A266" s="185"/>
      <c r="B266" s="16" t="s">
        <v>22</v>
      </c>
      <c r="C266" s="17" t="s">
        <v>19</v>
      </c>
      <c r="D266" s="17">
        <v>2</v>
      </c>
      <c r="E266" s="16" t="s">
        <v>17</v>
      </c>
      <c r="F266" s="40">
        <f>'GT Input'!C8</f>
        <v>3</v>
      </c>
      <c r="G266" s="40">
        <f>'GT Input'!D8</f>
        <v>9</v>
      </c>
      <c r="H266" s="40">
        <f>'GT Input'!E8</f>
        <v>3</v>
      </c>
      <c r="I266" s="40">
        <f>'GT Input'!F8</f>
        <v>9</v>
      </c>
      <c r="J266" s="41">
        <f>'Detailed Results'!G266</f>
        <v>3</v>
      </c>
      <c r="K266" s="41">
        <f>'Detailed Results'!H266</f>
        <v>3</v>
      </c>
      <c r="L266" s="42">
        <f t="shared" si="48"/>
        <v>1</v>
      </c>
      <c r="M266" s="42">
        <f t="shared" si="56"/>
        <v>1</v>
      </c>
      <c r="N266" s="42">
        <f t="shared" si="49"/>
        <v>1</v>
      </c>
      <c r="O266" s="43">
        <f>'Detailed Results'!I266</f>
        <v>9</v>
      </c>
      <c r="P266" s="43">
        <f>'Detailed Results'!J266</f>
        <v>9</v>
      </c>
      <c r="Q266" s="44">
        <f t="shared" si="50"/>
        <v>1</v>
      </c>
      <c r="R266" s="44">
        <f t="shared" si="57"/>
        <v>1</v>
      </c>
      <c r="S266" s="44">
        <f t="shared" si="51"/>
        <v>1</v>
      </c>
      <c r="T266" s="45">
        <f>'Detailed Results'!K266</f>
        <v>3</v>
      </c>
      <c r="U266" s="45">
        <f>'Detailed Results'!L266</f>
        <v>3</v>
      </c>
      <c r="V266" s="46">
        <f t="shared" si="52"/>
        <v>1</v>
      </c>
      <c r="W266" s="46">
        <f t="shared" si="58"/>
        <v>1</v>
      </c>
      <c r="X266" s="46">
        <f t="shared" si="53"/>
        <v>1</v>
      </c>
      <c r="Y266" s="47">
        <f>'Detailed Results'!M266</f>
        <v>9</v>
      </c>
      <c r="Z266" s="47">
        <f>'Detailed Results'!N266</f>
        <v>4</v>
      </c>
      <c r="AA266" s="48">
        <f t="shared" si="54"/>
        <v>0.44444444444444442</v>
      </c>
      <c r="AB266" s="48">
        <f t="shared" si="59"/>
        <v>0.44444444444444442</v>
      </c>
      <c r="AC266" s="48">
        <f t="shared" si="55"/>
        <v>0.44444444444444442</v>
      </c>
    </row>
    <row r="267" spans="1:29" ht="15" customHeight="1" thickBot="1" x14ac:dyDescent="0.4">
      <c r="A267" s="185"/>
      <c r="B267" s="16" t="s">
        <v>22</v>
      </c>
      <c r="C267" s="17" t="s">
        <v>19</v>
      </c>
      <c r="D267" s="17">
        <v>2</v>
      </c>
      <c r="E267" s="16" t="s">
        <v>109</v>
      </c>
      <c r="F267" s="40">
        <f>'GT Input'!C8</f>
        <v>3</v>
      </c>
      <c r="G267" s="40">
        <f>'GT Input'!D8</f>
        <v>9</v>
      </c>
      <c r="H267" s="40">
        <f>'GT Input'!E8</f>
        <v>3</v>
      </c>
      <c r="I267" s="40">
        <f>'GT Input'!F8</f>
        <v>9</v>
      </c>
      <c r="J267" s="41">
        <f>'Detailed Results'!G267</f>
        <v>3</v>
      </c>
      <c r="K267" s="41">
        <f>'Detailed Results'!H267</f>
        <v>3</v>
      </c>
      <c r="L267" s="42">
        <f t="shared" si="48"/>
        <v>1</v>
      </c>
      <c r="M267" s="42">
        <f t="shared" si="56"/>
        <v>1</v>
      </c>
      <c r="N267" s="42">
        <f t="shared" si="49"/>
        <v>1</v>
      </c>
      <c r="O267" s="43">
        <f>'Detailed Results'!I267</f>
        <v>7</v>
      </c>
      <c r="P267" s="43">
        <f>'Detailed Results'!J267</f>
        <v>7</v>
      </c>
      <c r="Q267" s="44">
        <f t="shared" si="50"/>
        <v>1</v>
      </c>
      <c r="R267" s="44">
        <f t="shared" si="57"/>
        <v>0.77777777777777779</v>
      </c>
      <c r="S267" s="44">
        <f t="shared" si="51"/>
        <v>0.87500000000000011</v>
      </c>
      <c r="T267" s="45">
        <f>'Detailed Results'!K267</f>
        <v>3</v>
      </c>
      <c r="U267" s="45">
        <f>'Detailed Results'!L267</f>
        <v>3</v>
      </c>
      <c r="V267" s="46">
        <f t="shared" si="52"/>
        <v>1</v>
      </c>
      <c r="W267" s="46">
        <f t="shared" si="58"/>
        <v>1</v>
      </c>
      <c r="X267" s="46">
        <f t="shared" si="53"/>
        <v>1</v>
      </c>
      <c r="Y267" s="47">
        <f>'Detailed Results'!M267</f>
        <v>7</v>
      </c>
      <c r="Z267" s="47">
        <f>'Detailed Results'!N267</f>
        <v>4</v>
      </c>
      <c r="AA267" s="48">
        <f t="shared" si="54"/>
        <v>0.5714285714285714</v>
      </c>
      <c r="AB267" s="48">
        <f t="shared" si="59"/>
        <v>0.44444444444444442</v>
      </c>
      <c r="AC267" s="48">
        <f t="shared" si="55"/>
        <v>0.5</v>
      </c>
    </row>
    <row r="268" spans="1:29" ht="15" customHeight="1" thickBot="1" x14ac:dyDescent="0.4">
      <c r="A268" s="185"/>
      <c r="B268" s="18" t="s">
        <v>22</v>
      </c>
      <c r="C268" s="19" t="s">
        <v>19</v>
      </c>
      <c r="D268" s="19">
        <v>3</v>
      </c>
      <c r="E268" s="18" t="s">
        <v>17</v>
      </c>
      <c r="F268" s="40">
        <f>'GT Input'!C8</f>
        <v>3</v>
      </c>
      <c r="G268" s="40">
        <f>'GT Input'!D8</f>
        <v>9</v>
      </c>
      <c r="H268" s="40">
        <f>'GT Input'!E8</f>
        <v>3</v>
      </c>
      <c r="I268" s="40">
        <f>'GT Input'!F8</f>
        <v>9</v>
      </c>
      <c r="J268" s="41">
        <f>'Detailed Results'!G268</f>
        <v>3</v>
      </c>
      <c r="K268" s="41">
        <f>'Detailed Results'!H268</f>
        <v>3</v>
      </c>
      <c r="L268" s="42">
        <f t="shared" si="48"/>
        <v>1</v>
      </c>
      <c r="M268" s="42">
        <f t="shared" si="56"/>
        <v>1</v>
      </c>
      <c r="N268" s="42">
        <f t="shared" si="49"/>
        <v>1</v>
      </c>
      <c r="O268" s="43">
        <f>'Detailed Results'!I268</f>
        <v>9</v>
      </c>
      <c r="P268" s="43">
        <f>'Detailed Results'!J268</f>
        <v>9</v>
      </c>
      <c r="Q268" s="44">
        <f t="shared" si="50"/>
        <v>1</v>
      </c>
      <c r="R268" s="44">
        <f t="shared" si="57"/>
        <v>1</v>
      </c>
      <c r="S268" s="44">
        <f t="shared" si="51"/>
        <v>1</v>
      </c>
      <c r="T268" s="45">
        <f>'Detailed Results'!K268</f>
        <v>3</v>
      </c>
      <c r="U268" s="45">
        <f>'Detailed Results'!L268</f>
        <v>3</v>
      </c>
      <c r="V268" s="46">
        <f t="shared" si="52"/>
        <v>1</v>
      </c>
      <c r="W268" s="46">
        <f t="shared" si="58"/>
        <v>1</v>
      </c>
      <c r="X268" s="46">
        <f t="shared" si="53"/>
        <v>1</v>
      </c>
      <c r="Y268" s="47">
        <f>'Detailed Results'!M268</f>
        <v>9</v>
      </c>
      <c r="Z268" s="47">
        <f>'Detailed Results'!N268</f>
        <v>4</v>
      </c>
      <c r="AA268" s="48">
        <f t="shared" si="54"/>
        <v>0.44444444444444442</v>
      </c>
      <c r="AB268" s="48">
        <f t="shared" si="59"/>
        <v>0.44444444444444442</v>
      </c>
      <c r="AC268" s="48">
        <f t="shared" si="55"/>
        <v>0.44444444444444442</v>
      </c>
    </row>
    <row r="269" spans="1:29" ht="15" customHeight="1" thickBot="1" x14ac:dyDescent="0.4">
      <c r="A269" s="185"/>
      <c r="B269" s="18" t="s">
        <v>22</v>
      </c>
      <c r="C269" s="19" t="s">
        <v>19</v>
      </c>
      <c r="D269" s="19">
        <v>3</v>
      </c>
      <c r="E269" s="18" t="s">
        <v>109</v>
      </c>
      <c r="F269" s="40">
        <f>'GT Input'!C8</f>
        <v>3</v>
      </c>
      <c r="G269" s="40">
        <f>'GT Input'!D8</f>
        <v>9</v>
      </c>
      <c r="H269" s="40">
        <f>'GT Input'!E8</f>
        <v>3</v>
      </c>
      <c r="I269" s="40">
        <f>'GT Input'!F8</f>
        <v>9</v>
      </c>
      <c r="J269" s="41">
        <f>'Detailed Results'!G269</f>
        <v>5</v>
      </c>
      <c r="K269" s="41">
        <f>'Detailed Results'!H269</f>
        <v>5</v>
      </c>
      <c r="L269" s="42">
        <f t="shared" si="48"/>
        <v>1</v>
      </c>
      <c r="M269" s="42">
        <f t="shared" si="56"/>
        <v>1.6666666666666667</v>
      </c>
      <c r="N269" s="42">
        <f t="shared" si="49"/>
        <v>1.25</v>
      </c>
      <c r="O269" s="43">
        <f>'Detailed Results'!I269</f>
        <v>9</v>
      </c>
      <c r="P269" s="43">
        <f>'Detailed Results'!J269</f>
        <v>9</v>
      </c>
      <c r="Q269" s="44">
        <f t="shared" si="50"/>
        <v>1</v>
      </c>
      <c r="R269" s="44">
        <f t="shared" si="57"/>
        <v>1</v>
      </c>
      <c r="S269" s="44">
        <f t="shared" si="51"/>
        <v>1</v>
      </c>
      <c r="T269" s="45">
        <f>'Detailed Results'!K269</f>
        <v>5</v>
      </c>
      <c r="U269" s="45">
        <f>'Detailed Results'!L269</f>
        <v>3</v>
      </c>
      <c r="V269" s="46">
        <f t="shared" si="52"/>
        <v>0.6</v>
      </c>
      <c r="W269" s="46">
        <f t="shared" si="58"/>
        <v>1</v>
      </c>
      <c r="X269" s="46">
        <f t="shared" si="53"/>
        <v>0.74999999999999989</v>
      </c>
      <c r="Y269" s="47">
        <f>'Detailed Results'!M269</f>
        <v>9</v>
      </c>
      <c r="Z269" s="47">
        <f>'Detailed Results'!N269</f>
        <v>4</v>
      </c>
      <c r="AA269" s="48">
        <f t="shared" si="54"/>
        <v>0.44444444444444442</v>
      </c>
      <c r="AB269" s="48">
        <f t="shared" si="59"/>
        <v>0.44444444444444442</v>
      </c>
      <c r="AC269" s="48">
        <f t="shared" si="55"/>
        <v>0.44444444444444442</v>
      </c>
    </row>
    <row r="270" spans="1:29" ht="15" customHeight="1" thickBot="1" x14ac:dyDescent="0.4">
      <c r="A270" s="185"/>
      <c r="B270" s="16" t="s">
        <v>22</v>
      </c>
      <c r="C270" s="17" t="s">
        <v>20</v>
      </c>
      <c r="D270" s="17">
        <v>1</v>
      </c>
      <c r="E270" s="16" t="s">
        <v>17</v>
      </c>
      <c r="F270" s="40">
        <f>'GT Input'!C8</f>
        <v>3</v>
      </c>
      <c r="G270" s="40">
        <f>'GT Input'!D8</f>
        <v>9</v>
      </c>
      <c r="H270" s="40">
        <f>'GT Input'!E8</f>
        <v>3</v>
      </c>
      <c r="I270" s="40">
        <f>'GT Input'!F8</f>
        <v>9</v>
      </c>
      <c r="J270" s="41">
        <f>'Detailed Results'!G270</f>
        <v>3</v>
      </c>
      <c r="K270" s="41">
        <f>'Detailed Results'!H270</f>
        <v>3</v>
      </c>
      <c r="L270" s="42">
        <f t="shared" si="48"/>
        <v>1</v>
      </c>
      <c r="M270" s="42">
        <f t="shared" si="56"/>
        <v>1</v>
      </c>
      <c r="N270" s="42">
        <f t="shared" si="49"/>
        <v>1</v>
      </c>
      <c r="O270" s="43">
        <f>'Detailed Results'!I270</f>
        <v>7</v>
      </c>
      <c r="P270" s="43">
        <f>'Detailed Results'!J270</f>
        <v>7</v>
      </c>
      <c r="Q270" s="44">
        <f t="shared" si="50"/>
        <v>1</v>
      </c>
      <c r="R270" s="44">
        <f t="shared" si="57"/>
        <v>0.77777777777777779</v>
      </c>
      <c r="S270" s="44">
        <f t="shared" si="51"/>
        <v>0.87500000000000011</v>
      </c>
      <c r="T270" s="45">
        <f>'Detailed Results'!K270</f>
        <v>3</v>
      </c>
      <c r="U270" s="45">
        <f>'Detailed Results'!L270</f>
        <v>3</v>
      </c>
      <c r="V270" s="46">
        <f t="shared" si="52"/>
        <v>1</v>
      </c>
      <c r="W270" s="46">
        <f t="shared" si="58"/>
        <v>1</v>
      </c>
      <c r="X270" s="46">
        <f t="shared" si="53"/>
        <v>1</v>
      </c>
      <c r="Y270" s="47">
        <f>'Detailed Results'!M270</f>
        <v>7</v>
      </c>
      <c r="Z270" s="47">
        <f>'Detailed Results'!N270</f>
        <v>4</v>
      </c>
      <c r="AA270" s="48">
        <f t="shared" si="54"/>
        <v>0.5714285714285714</v>
      </c>
      <c r="AB270" s="48">
        <f t="shared" si="59"/>
        <v>0.44444444444444442</v>
      </c>
      <c r="AC270" s="48">
        <f t="shared" si="55"/>
        <v>0.5</v>
      </c>
    </row>
    <row r="271" spans="1:29" ht="15" customHeight="1" thickBot="1" x14ac:dyDescent="0.4">
      <c r="A271" s="185"/>
      <c r="B271" s="16" t="s">
        <v>22</v>
      </c>
      <c r="C271" s="17" t="s">
        <v>20</v>
      </c>
      <c r="D271" s="17">
        <v>1</v>
      </c>
      <c r="E271" s="16" t="s">
        <v>109</v>
      </c>
      <c r="F271" s="40">
        <f>'GT Input'!C8</f>
        <v>3</v>
      </c>
      <c r="G271" s="40">
        <f>'GT Input'!D8</f>
        <v>9</v>
      </c>
      <c r="H271" s="40">
        <f>'GT Input'!E8</f>
        <v>3</v>
      </c>
      <c r="I271" s="40">
        <f>'GT Input'!F8</f>
        <v>9</v>
      </c>
      <c r="J271" s="41">
        <f>'Detailed Results'!G271</f>
        <v>3</v>
      </c>
      <c r="K271" s="41">
        <f>'Detailed Results'!H271</f>
        <v>3</v>
      </c>
      <c r="L271" s="42">
        <f t="shared" si="48"/>
        <v>1</v>
      </c>
      <c r="M271" s="42">
        <f t="shared" si="56"/>
        <v>1</v>
      </c>
      <c r="N271" s="42">
        <f t="shared" si="49"/>
        <v>1</v>
      </c>
      <c r="O271" s="43">
        <f>'Detailed Results'!I271</f>
        <v>7</v>
      </c>
      <c r="P271" s="43">
        <f>'Detailed Results'!J271</f>
        <v>7</v>
      </c>
      <c r="Q271" s="44">
        <f t="shared" si="50"/>
        <v>1</v>
      </c>
      <c r="R271" s="44">
        <f t="shared" si="57"/>
        <v>0.77777777777777779</v>
      </c>
      <c r="S271" s="44">
        <f t="shared" si="51"/>
        <v>0.87500000000000011</v>
      </c>
      <c r="T271" s="45">
        <f>'Detailed Results'!K271</f>
        <v>3</v>
      </c>
      <c r="U271" s="45">
        <f>'Detailed Results'!L271</f>
        <v>3</v>
      </c>
      <c r="V271" s="46">
        <f t="shared" si="52"/>
        <v>1</v>
      </c>
      <c r="W271" s="46">
        <f t="shared" si="58"/>
        <v>1</v>
      </c>
      <c r="X271" s="46">
        <f t="shared" si="53"/>
        <v>1</v>
      </c>
      <c r="Y271" s="47">
        <f>'Detailed Results'!M271</f>
        <v>7</v>
      </c>
      <c r="Z271" s="47">
        <f>'Detailed Results'!N271</f>
        <v>4</v>
      </c>
      <c r="AA271" s="48">
        <f t="shared" si="54"/>
        <v>0.5714285714285714</v>
      </c>
      <c r="AB271" s="48">
        <f t="shared" si="59"/>
        <v>0.44444444444444442</v>
      </c>
      <c r="AC271" s="48">
        <f t="shared" si="55"/>
        <v>0.5</v>
      </c>
    </row>
    <row r="272" spans="1:29" ht="15" customHeight="1" thickBot="1" x14ac:dyDescent="0.4">
      <c r="A272" s="185"/>
      <c r="B272" s="18" t="s">
        <v>22</v>
      </c>
      <c r="C272" s="19" t="s">
        <v>20</v>
      </c>
      <c r="D272" s="19">
        <v>2</v>
      </c>
      <c r="E272" s="18" t="s">
        <v>17</v>
      </c>
      <c r="F272" s="40">
        <f>'GT Input'!C8</f>
        <v>3</v>
      </c>
      <c r="G272" s="40">
        <f>'GT Input'!D8</f>
        <v>9</v>
      </c>
      <c r="H272" s="40">
        <f>'GT Input'!E8</f>
        <v>3</v>
      </c>
      <c r="I272" s="40">
        <f>'GT Input'!F8</f>
        <v>9</v>
      </c>
      <c r="J272" s="41">
        <f>'Detailed Results'!G272</f>
        <v>3</v>
      </c>
      <c r="K272" s="41">
        <f>'Detailed Results'!H272</f>
        <v>3</v>
      </c>
      <c r="L272" s="42">
        <f t="shared" si="48"/>
        <v>1</v>
      </c>
      <c r="M272" s="42">
        <f t="shared" si="56"/>
        <v>1</v>
      </c>
      <c r="N272" s="42">
        <f t="shared" si="49"/>
        <v>1</v>
      </c>
      <c r="O272" s="43">
        <f>'Detailed Results'!I272</f>
        <v>8</v>
      </c>
      <c r="P272" s="43">
        <f>'Detailed Results'!J272</f>
        <v>8</v>
      </c>
      <c r="Q272" s="44">
        <f t="shared" si="50"/>
        <v>1</v>
      </c>
      <c r="R272" s="44">
        <f t="shared" si="57"/>
        <v>0.88888888888888884</v>
      </c>
      <c r="S272" s="44">
        <f t="shared" si="51"/>
        <v>0.94117647058823528</v>
      </c>
      <c r="T272" s="45">
        <f>'Detailed Results'!K272</f>
        <v>3</v>
      </c>
      <c r="U272" s="45">
        <f>'Detailed Results'!L272</f>
        <v>3</v>
      </c>
      <c r="V272" s="46">
        <f t="shared" si="52"/>
        <v>1</v>
      </c>
      <c r="W272" s="46">
        <f t="shared" si="58"/>
        <v>1</v>
      </c>
      <c r="X272" s="46">
        <f t="shared" si="53"/>
        <v>1</v>
      </c>
      <c r="Y272" s="47">
        <f>'Detailed Results'!M272</f>
        <v>8</v>
      </c>
      <c r="Z272" s="47">
        <f>'Detailed Results'!N272</f>
        <v>4</v>
      </c>
      <c r="AA272" s="48">
        <f t="shared" si="54"/>
        <v>0.5</v>
      </c>
      <c r="AB272" s="48">
        <f t="shared" si="59"/>
        <v>0.44444444444444442</v>
      </c>
      <c r="AC272" s="48">
        <f t="shared" si="55"/>
        <v>0.47058823529411764</v>
      </c>
    </row>
    <row r="273" spans="1:29" ht="15" customHeight="1" thickBot="1" x14ac:dyDescent="0.4">
      <c r="A273" s="185"/>
      <c r="B273" s="18" t="s">
        <v>22</v>
      </c>
      <c r="C273" s="19" t="s">
        <v>20</v>
      </c>
      <c r="D273" s="19">
        <v>2</v>
      </c>
      <c r="E273" s="18" t="s">
        <v>109</v>
      </c>
      <c r="F273" s="40">
        <f>'GT Input'!C8</f>
        <v>3</v>
      </c>
      <c r="G273" s="40">
        <f>'GT Input'!D8</f>
        <v>9</v>
      </c>
      <c r="H273" s="40">
        <f>'GT Input'!E8</f>
        <v>3</v>
      </c>
      <c r="I273" s="40">
        <f>'GT Input'!F8</f>
        <v>9</v>
      </c>
      <c r="J273" s="41">
        <f>'Detailed Results'!G273</f>
        <v>3</v>
      </c>
      <c r="K273" s="41">
        <f>'Detailed Results'!H273</f>
        <v>3</v>
      </c>
      <c r="L273" s="42">
        <f t="shared" si="48"/>
        <v>1</v>
      </c>
      <c r="M273" s="42">
        <f t="shared" si="56"/>
        <v>1</v>
      </c>
      <c r="N273" s="42">
        <f t="shared" si="49"/>
        <v>1</v>
      </c>
      <c r="O273" s="43">
        <f>'Detailed Results'!I273</f>
        <v>8</v>
      </c>
      <c r="P273" s="43">
        <f>'Detailed Results'!J273</f>
        <v>8</v>
      </c>
      <c r="Q273" s="44">
        <f t="shared" si="50"/>
        <v>1</v>
      </c>
      <c r="R273" s="44">
        <f t="shared" si="57"/>
        <v>0.88888888888888884</v>
      </c>
      <c r="S273" s="44">
        <f t="shared" si="51"/>
        <v>0.94117647058823528</v>
      </c>
      <c r="T273" s="45">
        <f>'Detailed Results'!K273</f>
        <v>3</v>
      </c>
      <c r="U273" s="45">
        <f>'Detailed Results'!L273</f>
        <v>3</v>
      </c>
      <c r="V273" s="46">
        <f t="shared" si="52"/>
        <v>1</v>
      </c>
      <c r="W273" s="46">
        <f t="shared" si="58"/>
        <v>1</v>
      </c>
      <c r="X273" s="46">
        <f t="shared" si="53"/>
        <v>1</v>
      </c>
      <c r="Y273" s="47">
        <f>'Detailed Results'!M273</f>
        <v>8</v>
      </c>
      <c r="Z273" s="47">
        <f>'Detailed Results'!N273</f>
        <v>4</v>
      </c>
      <c r="AA273" s="48">
        <f t="shared" si="54"/>
        <v>0.5</v>
      </c>
      <c r="AB273" s="48">
        <f t="shared" si="59"/>
        <v>0.44444444444444442</v>
      </c>
      <c r="AC273" s="48">
        <f t="shared" si="55"/>
        <v>0.47058823529411764</v>
      </c>
    </row>
    <row r="274" spans="1:29" ht="15" customHeight="1" thickBot="1" x14ac:dyDescent="0.4">
      <c r="A274" s="185"/>
      <c r="B274" s="16" t="s">
        <v>22</v>
      </c>
      <c r="C274" s="17" t="s">
        <v>20</v>
      </c>
      <c r="D274" s="17">
        <v>3</v>
      </c>
      <c r="E274" s="16" t="s">
        <v>17</v>
      </c>
      <c r="F274" s="40">
        <f>'GT Input'!C8</f>
        <v>3</v>
      </c>
      <c r="G274" s="40">
        <f>'GT Input'!D8</f>
        <v>9</v>
      </c>
      <c r="H274" s="40">
        <f>'GT Input'!E8</f>
        <v>3</v>
      </c>
      <c r="I274" s="40">
        <f>'GT Input'!F8</f>
        <v>9</v>
      </c>
      <c r="J274" s="41">
        <f>'Detailed Results'!G274</f>
        <v>3</v>
      </c>
      <c r="K274" s="41">
        <f>'Detailed Results'!H274</f>
        <v>3</v>
      </c>
      <c r="L274" s="42">
        <f t="shared" si="48"/>
        <v>1</v>
      </c>
      <c r="M274" s="42">
        <f t="shared" si="56"/>
        <v>1</v>
      </c>
      <c r="N274" s="42">
        <f t="shared" si="49"/>
        <v>1</v>
      </c>
      <c r="O274" s="43">
        <f>'Detailed Results'!I274</f>
        <v>9</v>
      </c>
      <c r="P274" s="43">
        <f>'Detailed Results'!J274</f>
        <v>9</v>
      </c>
      <c r="Q274" s="44">
        <f t="shared" si="50"/>
        <v>1</v>
      </c>
      <c r="R274" s="44">
        <f t="shared" si="57"/>
        <v>1</v>
      </c>
      <c r="S274" s="44">
        <f t="shared" si="51"/>
        <v>1</v>
      </c>
      <c r="T274" s="45">
        <f>'Detailed Results'!K274</f>
        <v>3</v>
      </c>
      <c r="U274" s="45">
        <f>'Detailed Results'!L274</f>
        <v>3</v>
      </c>
      <c r="V274" s="46">
        <f t="shared" si="52"/>
        <v>1</v>
      </c>
      <c r="W274" s="46">
        <f t="shared" si="58"/>
        <v>1</v>
      </c>
      <c r="X274" s="46">
        <f t="shared" si="53"/>
        <v>1</v>
      </c>
      <c r="Y274" s="47">
        <f>'Detailed Results'!M274</f>
        <v>9</v>
      </c>
      <c r="Z274" s="47">
        <f>'Detailed Results'!N274</f>
        <v>4</v>
      </c>
      <c r="AA274" s="48">
        <f t="shared" si="54"/>
        <v>0.44444444444444442</v>
      </c>
      <c r="AB274" s="48">
        <f t="shared" si="59"/>
        <v>0.44444444444444442</v>
      </c>
      <c r="AC274" s="48">
        <f t="shared" si="55"/>
        <v>0.44444444444444442</v>
      </c>
    </row>
    <row r="275" spans="1:29" s="64" customFormat="1" ht="15" customHeight="1" thickBot="1" x14ac:dyDescent="0.4">
      <c r="A275" s="185"/>
      <c r="B275" s="53" t="s">
        <v>22</v>
      </c>
      <c r="C275" s="54" t="s">
        <v>20</v>
      </c>
      <c r="D275" s="54">
        <v>3</v>
      </c>
      <c r="E275" s="53" t="s">
        <v>109</v>
      </c>
      <c r="F275" s="55">
        <f>'GT Input'!C8</f>
        <v>3</v>
      </c>
      <c r="G275" s="55">
        <f>'GT Input'!D8</f>
        <v>9</v>
      </c>
      <c r="H275" s="55">
        <f>'GT Input'!E8</f>
        <v>3</v>
      </c>
      <c r="I275" s="55">
        <f>'GT Input'!F8</f>
        <v>9</v>
      </c>
      <c r="J275" s="56">
        <f>'Detailed Results'!G275</f>
        <v>5</v>
      </c>
      <c r="K275" s="56">
        <f>'Detailed Results'!H275</f>
        <v>5</v>
      </c>
      <c r="L275" s="57">
        <f t="shared" si="48"/>
        <v>1</v>
      </c>
      <c r="M275" s="57">
        <f t="shared" si="56"/>
        <v>1.6666666666666667</v>
      </c>
      <c r="N275" s="57">
        <f t="shared" si="49"/>
        <v>1.25</v>
      </c>
      <c r="O275" s="58">
        <f>'Detailed Results'!I275</f>
        <v>14</v>
      </c>
      <c r="P275" s="58">
        <f>'Detailed Results'!J275</f>
        <v>14</v>
      </c>
      <c r="Q275" s="59">
        <f t="shared" si="50"/>
        <v>1</v>
      </c>
      <c r="R275" s="59">
        <f t="shared" si="57"/>
        <v>1.5555555555555556</v>
      </c>
      <c r="S275" s="59">
        <f t="shared" si="51"/>
        <v>1.2173913043478262</v>
      </c>
      <c r="T275" s="60">
        <f>'Detailed Results'!K275</f>
        <v>5</v>
      </c>
      <c r="U275" s="60">
        <f>'Detailed Results'!L275</f>
        <v>3</v>
      </c>
      <c r="V275" s="61">
        <f t="shared" si="52"/>
        <v>0.6</v>
      </c>
      <c r="W275" s="61">
        <f t="shared" si="58"/>
        <v>1</v>
      </c>
      <c r="X275" s="61">
        <f t="shared" si="53"/>
        <v>0.74999999999999989</v>
      </c>
      <c r="Y275" s="62">
        <f>'Detailed Results'!M275</f>
        <v>14</v>
      </c>
      <c r="Z275" s="62">
        <f>'Detailed Results'!N275</f>
        <v>4</v>
      </c>
      <c r="AA275" s="63">
        <f t="shared" si="54"/>
        <v>0.2857142857142857</v>
      </c>
      <c r="AB275" s="63">
        <f t="shared" si="59"/>
        <v>0.44444444444444442</v>
      </c>
      <c r="AC275" s="63">
        <f t="shared" si="55"/>
        <v>0.34782608695652173</v>
      </c>
    </row>
    <row r="276" spans="1:29" ht="15" customHeight="1" thickBot="1" x14ac:dyDescent="0.4">
      <c r="A276" s="185" t="s">
        <v>27</v>
      </c>
      <c r="B276" s="65" t="s">
        <v>15</v>
      </c>
      <c r="C276" s="66" t="s">
        <v>16</v>
      </c>
      <c r="D276" s="66">
        <v>1</v>
      </c>
      <c r="E276" s="65" t="s">
        <v>17</v>
      </c>
      <c r="F276" s="67">
        <f>'GT Input'!C9</f>
        <v>9</v>
      </c>
      <c r="G276" s="67">
        <f>'GT Input'!D9</f>
        <v>13</v>
      </c>
      <c r="H276" s="67">
        <f>'GT Input'!E9</f>
        <v>9</v>
      </c>
      <c r="I276" s="67">
        <f>'GT Input'!F9</f>
        <v>13</v>
      </c>
      <c r="J276" s="68">
        <f>'Detailed Results'!G276</f>
        <v>5</v>
      </c>
      <c r="K276" s="68">
        <f>'Detailed Results'!H276</f>
        <v>5</v>
      </c>
      <c r="L276" s="69">
        <f t="shared" si="48"/>
        <v>1</v>
      </c>
      <c r="M276" s="69">
        <f t="shared" si="56"/>
        <v>0.55555555555555558</v>
      </c>
      <c r="N276" s="69">
        <f t="shared" si="49"/>
        <v>0.7142857142857143</v>
      </c>
      <c r="O276" s="70">
        <f>'Detailed Results'!I276</f>
        <v>8</v>
      </c>
      <c r="P276" s="70">
        <f>'Detailed Results'!J276</f>
        <v>8</v>
      </c>
      <c r="Q276" s="71">
        <f t="shared" si="50"/>
        <v>1</v>
      </c>
      <c r="R276" s="71">
        <f t="shared" si="57"/>
        <v>0.61538461538461542</v>
      </c>
      <c r="S276" s="71">
        <f t="shared" si="51"/>
        <v>0.76190476190476197</v>
      </c>
      <c r="T276" s="72">
        <f>'Detailed Results'!K276</f>
        <v>5</v>
      </c>
      <c r="U276" s="72">
        <f>'Detailed Results'!L276</f>
        <v>3</v>
      </c>
      <c r="V276" s="73">
        <f t="shared" si="52"/>
        <v>0.6</v>
      </c>
      <c r="W276" s="73">
        <f t="shared" si="58"/>
        <v>0.33333333333333331</v>
      </c>
      <c r="X276" s="73">
        <f t="shared" si="53"/>
        <v>0.42857142857142855</v>
      </c>
      <c r="Y276" s="74">
        <f>'Detailed Results'!M276</f>
        <v>8</v>
      </c>
      <c r="Z276" s="74">
        <f>'Detailed Results'!N276</f>
        <v>5</v>
      </c>
      <c r="AA276" s="75">
        <f t="shared" si="54"/>
        <v>0.625</v>
      </c>
      <c r="AB276" s="75">
        <f t="shared" si="59"/>
        <v>0.38461538461538464</v>
      </c>
      <c r="AC276" s="75">
        <f t="shared" si="55"/>
        <v>0.47619047619047622</v>
      </c>
    </row>
    <row r="277" spans="1:29" ht="15" customHeight="1" thickBot="1" x14ac:dyDescent="0.4">
      <c r="A277" s="185"/>
      <c r="B277" s="7" t="s">
        <v>15</v>
      </c>
      <c r="C277" s="8" t="s">
        <v>16</v>
      </c>
      <c r="D277" s="8">
        <v>1</v>
      </c>
      <c r="E277" s="7" t="s">
        <v>109</v>
      </c>
      <c r="F277" s="40">
        <f>'GT Input'!C9</f>
        <v>9</v>
      </c>
      <c r="G277" s="40">
        <f>'GT Input'!D9</f>
        <v>13</v>
      </c>
      <c r="H277" s="40">
        <f>'GT Input'!E9</f>
        <v>9</v>
      </c>
      <c r="I277" s="40">
        <f>'GT Input'!F9</f>
        <v>13</v>
      </c>
      <c r="J277" s="41">
        <f>'Detailed Results'!G277</f>
        <v>5</v>
      </c>
      <c r="K277" s="41">
        <f>'Detailed Results'!H277</f>
        <v>5</v>
      </c>
      <c r="L277" s="42">
        <f t="shared" si="48"/>
        <v>1</v>
      </c>
      <c r="M277" s="42">
        <f t="shared" si="56"/>
        <v>0.55555555555555558</v>
      </c>
      <c r="N277" s="42">
        <f t="shared" si="49"/>
        <v>0.7142857142857143</v>
      </c>
      <c r="O277" s="43">
        <f>'Detailed Results'!I277</f>
        <v>8</v>
      </c>
      <c r="P277" s="43">
        <f>'Detailed Results'!J277</f>
        <v>8</v>
      </c>
      <c r="Q277" s="44">
        <f t="shared" si="50"/>
        <v>1</v>
      </c>
      <c r="R277" s="44">
        <f t="shared" si="57"/>
        <v>0.61538461538461542</v>
      </c>
      <c r="S277" s="44">
        <f t="shared" si="51"/>
        <v>0.76190476190476197</v>
      </c>
      <c r="T277" s="45">
        <f>'Detailed Results'!K277</f>
        <v>5</v>
      </c>
      <c r="U277" s="45">
        <f>'Detailed Results'!L277</f>
        <v>3</v>
      </c>
      <c r="V277" s="46">
        <f t="shared" si="52"/>
        <v>0.6</v>
      </c>
      <c r="W277" s="46">
        <f t="shared" si="58"/>
        <v>0.33333333333333331</v>
      </c>
      <c r="X277" s="46">
        <f t="shared" si="53"/>
        <v>0.42857142857142855</v>
      </c>
      <c r="Y277" s="47">
        <f>'Detailed Results'!M277</f>
        <v>8</v>
      </c>
      <c r="Z277" s="47">
        <f>'Detailed Results'!N277</f>
        <v>5</v>
      </c>
      <c r="AA277" s="48">
        <f t="shared" si="54"/>
        <v>0.625</v>
      </c>
      <c r="AB277" s="48">
        <f t="shared" si="59"/>
        <v>0.38461538461538464</v>
      </c>
      <c r="AC277" s="48">
        <f t="shared" si="55"/>
        <v>0.47619047619047622</v>
      </c>
    </row>
    <row r="278" spans="1:29" ht="15" customHeight="1" thickBot="1" x14ac:dyDescent="0.4">
      <c r="A278" s="185"/>
      <c r="B278" s="10" t="s">
        <v>15</v>
      </c>
      <c r="C278" s="11" t="s">
        <v>16</v>
      </c>
      <c r="D278" s="11">
        <v>2</v>
      </c>
      <c r="E278" s="10" t="s">
        <v>17</v>
      </c>
      <c r="F278" s="40">
        <f>'GT Input'!C9</f>
        <v>9</v>
      </c>
      <c r="G278" s="40">
        <f>'GT Input'!D9</f>
        <v>13</v>
      </c>
      <c r="H278" s="40">
        <f>'GT Input'!E9</f>
        <v>9</v>
      </c>
      <c r="I278" s="40">
        <f>'GT Input'!F9</f>
        <v>13</v>
      </c>
      <c r="J278" s="41">
        <f>'Detailed Results'!G278</f>
        <v>5</v>
      </c>
      <c r="K278" s="41">
        <f>'Detailed Results'!H278</f>
        <v>5</v>
      </c>
      <c r="L278" s="42">
        <f t="shared" si="48"/>
        <v>1</v>
      </c>
      <c r="M278" s="42">
        <f t="shared" si="56"/>
        <v>0.55555555555555558</v>
      </c>
      <c r="N278" s="42">
        <f t="shared" si="49"/>
        <v>0.7142857142857143</v>
      </c>
      <c r="O278" s="43">
        <f>'Detailed Results'!I278</f>
        <v>8</v>
      </c>
      <c r="P278" s="43">
        <f>'Detailed Results'!J278</f>
        <v>8</v>
      </c>
      <c r="Q278" s="44">
        <f t="shared" si="50"/>
        <v>1</v>
      </c>
      <c r="R278" s="44">
        <f t="shared" si="57"/>
        <v>0.61538461538461542</v>
      </c>
      <c r="S278" s="44">
        <f t="shared" si="51"/>
        <v>0.76190476190476197</v>
      </c>
      <c r="T278" s="45">
        <f>'Detailed Results'!K278</f>
        <v>5</v>
      </c>
      <c r="U278" s="45">
        <f>'Detailed Results'!L278</f>
        <v>3</v>
      </c>
      <c r="V278" s="46">
        <f t="shared" si="52"/>
        <v>0.6</v>
      </c>
      <c r="W278" s="46">
        <f t="shared" si="58"/>
        <v>0.33333333333333331</v>
      </c>
      <c r="X278" s="46">
        <f t="shared" si="53"/>
        <v>0.42857142857142855</v>
      </c>
      <c r="Y278" s="47">
        <f>'Detailed Results'!M278</f>
        <v>8</v>
      </c>
      <c r="Z278" s="47">
        <f>'Detailed Results'!N278</f>
        <v>5</v>
      </c>
      <c r="AA278" s="48">
        <f t="shared" si="54"/>
        <v>0.625</v>
      </c>
      <c r="AB278" s="48">
        <f t="shared" si="59"/>
        <v>0.38461538461538464</v>
      </c>
      <c r="AC278" s="48">
        <f t="shared" si="55"/>
        <v>0.47619047619047622</v>
      </c>
    </row>
    <row r="279" spans="1:29" ht="15" customHeight="1" thickBot="1" x14ac:dyDescent="0.4">
      <c r="A279" s="185"/>
      <c r="B279" s="10" t="s">
        <v>15</v>
      </c>
      <c r="C279" s="11" t="s">
        <v>16</v>
      </c>
      <c r="D279" s="11">
        <v>2</v>
      </c>
      <c r="E279" s="10" t="s">
        <v>109</v>
      </c>
      <c r="F279" s="40">
        <f>'GT Input'!C9</f>
        <v>9</v>
      </c>
      <c r="G279" s="40">
        <f>'GT Input'!D9</f>
        <v>13</v>
      </c>
      <c r="H279" s="40">
        <f>'GT Input'!E9</f>
        <v>9</v>
      </c>
      <c r="I279" s="40">
        <f>'GT Input'!F9</f>
        <v>13</v>
      </c>
      <c r="J279" s="41">
        <f>'Detailed Results'!G279</f>
        <v>5</v>
      </c>
      <c r="K279" s="41">
        <f>'Detailed Results'!H279</f>
        <v>5</v>
      </c>
      <c r="L279" s="42">
        <f t="shared" si="48"/>
        <v>1</v>
      </c>
      <c r="M279" s="42">
        <f t="shared" si="56"/>
        <v>0.55555555555555558</v>
      </c>
      <c r="N279" s="42">
        <f t="shared" si="49"/>
        <v>0.7142857142857143</v>
      </c>
      <c r="O279" s="43">
        <f>'Detailed Results'!I279</f>
        <v>8</v>
      </c>
      <c r="P279" s="43">
        <f>'Detailed Results'!J279</f>
        <v>8</v>
      </c>
      <c r="Q279" s="44">
        <f t="shared" si="50"/>
        <v>1</v>
      </c>
      <c r="R279" s="44">
        <f t="shared" si="57"/>
        <v>0.61538461538461542</v>
      </c>
      <c r="S279" s="44">
        <f t="shared" si="51"/>
        <v>0.76190476190476197</v>
      </c>
      <c r="T279" s="45">
        <f>'Detailed Results'!K279</f>
        <v>5</v>
      </c>
      <c r="U279" s="45">
        <f>'Detailed Results'!L279</f>
        <v>3</v>
      </c>
      <c r="V279" s="46">
        <f t="shared" si="52"/>
        <v>0.6</v>
      </c>
      <c r="W279" s="46">
        <f t="shared" si="58"/>
        <v>0.33333333333333331</v>
      </c>
      <c r="X279" s="46">
        <f t="shared" si="53"/>
        <v>0.42857142857142855</v>
      </c>
      <c r="Y279" s="47">
        <f>'Detailed Results'!M279</f>
        <v>8</v>
      </c>
      <c r="Z279" s="47">
        <f>'Detailed Results'!N279</f>
        <v>5</v>
      </c>
      <c r="AA279" s="48">
        <f t="shared" si="54"/>
        <v>0.625</v>
      </c>
      <c r="AB279" s="48">
        <f t="shared" si="59"/>
        <v>0.38461538461538464</v>
      </c>
      <c r="AC279" s="48">
        <f t="shared" si="55"/>
        <v>0.47619047619047622</v>
      </c>
    </row>
    <row r="280" spans="1:29" ht="15" customHeight="1" thickBot="1" x14ac:dyDescent="0.4">
      <c r="A280" s="185"/>
      <c r="B280" s="7" t="s">
        <v>15</v>
      </c>
      <c r="C280" s="8" t="s">
        <v>16</v>
      </c>
      <c r="D280" s="8">
        <v>3</v>
      </c>
      <c r="E280" s="7" t="s">
        <v>17</v>
      </c>
      <c r="F280" s="40">
        <f>'GT Input'!C9</f>
        <v>9</v>
      </c>
      <c r="G280" s="40">
        <f>'GT Input'!D9</f>
        <v>13</v>
      </c>
      <c r="H280" s="40">
        <f>'GT Input'!E9</f>
        <v>9</v>
      </c>
      <c r="I280" s="40">
        <f>'GT Input'!F9</f>
        <v>13</v>
      </c>
      <c r="J280" s="41">
        <f>'Detailed Results'!G280</f>
        <v>5</v>
      </c>
      <c r="K280" s="41">
        <f>'Detailed Results'!H280</f>
        <v>5</v>
      </c>
      <c r="L280" s="42">
        <f t="shared" si="48"/>
        <v>1</v>
      </c>
      <c r="M280" s="42">
        <f t="shared" si="56"/>
        <v>0.55555555555555558</v>
      </c>
      <c r="N280" s="42">
        <f t="shared" si="49"/>
        <v>0.7142857142857143</v>
      </c>
      <c r="O280" s="43">
        <f>'Detailed Results'!I280</f>
        <v>8</v>
      </c>
      <c r="P280" s="43">
        <f>'Detailed Results'!J280</f>
        <v>8</v>
      </c>
      <c r="Q280" s="44">
        <f t="shared" si="50"/>
        <v>1</v>
      </c>
      <c r="R280" s="44">
        <f t="shared" si="57"/>
        <v>0.61538461538461542</v>
      </c>
      <c r="S280" s="44">
        <f t="shared" si="51"/>
        <v>0.76190476190476197</v>
      </c>
      <c r="T280" s="45">
        <f>'Detailed Results'!K280</f>
        <v>5</v>
      </c>
      <c r="U280" s="45">
        <f>'Detailed Results'!L280</f>
        <v>3</v>
      </c>
      <c r="V280" s="46">
        <f t="shared" si="52"/>
        <v>0.6</v>
      </c>
      <c r="W280" s="46">
        <f t="shared" si="58"/>
        <v>0.33333333333333331</v>
      </c>
      <c r="X280" s="46">
        <f t="shared" si="53"/>
        <v>0.42857142857142855</v>
      </c>
      <c r="Y280" s="47">
        <f>'Detailed Results'!M280</f>
        <v>8</v>
      </c>
      <c r="Z280" s="47">
        <f>'Detailed Results'!N280</f>
        <v>5</v>
      </c>
      <c r="AA280" s="48">
        <f t="shared" si="54"/>
        <v>0.625</v>
      </c>
      <c r="AB280" s="48">
        <f t="shared" si="59"/>
        <v>0.38461538461538464</v>
      </c>
      <c r="AC280" s="48">
        <f t="shared" si="55"/>
        <v>0.47619047619047622</v>
      </c>
    </row>
    <row r="281" spans="1:29" ht="15" customHeight="1" thickBot="1" x14ac:dyDescent="0.4">
      <c r="A281" s="185"/>
      <c r="B281" s="7" t="s">
        <v>15</v>
      </c>
      <c r="C281" s="8" t="s">
        <v>16</v>
      </c>
      <c r="D281" s="8">
        <v>3</v>
      </c>
      <c r="E281" s="7" t="s">
        <v>109</v>
      </c>
      <c r="F281" s="40">
        <f>'GT Input'!C9</f>
        <v>9</v>
      </c>
      <c r="G281" s="40">
        <f>'GT Input'!D9</f>
        <v>13</v>
      </c>
      <c r="H281" s="40">
        <f>'GT Input'!E9</f>
        <v>9</v>
      </c>
      <c r="I281" s="40">
        <f>'GT Input'!F9</f>
        <v>13</v>
      </c>
      <c r="J281" s="41">
        <f>'Detailed Results'!G281</f>
        <v>5</v>
      </c>
      <c r="K281" s="41">
        <f>'Detailed Results'!H281</f>
        <v>5</v>
      </c>
      <c r="L281" s="42">
        <f t="shared" si="48"/>
        <v>1</v>
      </c>
      <c r="M281" s="42">
        <f t="shared" si="56"/>
        <v>0.55555555555555558</v>
      </c>
      <c r="N281" s="42">
        <f t="shared" si="49"/>
        <v>0.7142857142857143</v>
      </c>
      <c r="O281" s="43">
        <f>'Detailed Results'!I281</f>
        <v>8</v>
      </c>
      <c r="P281" s="43">
        <f>'Detailed Results'!J281</f>
        <v>8</v>
      </c>
      <c r="Q281" s="44">
        <f t="shared" si="50"/>
        <v>1</v>
      </c>
      <c r="R281" s="44">
        <f t="shared" si="57"/>
        <v>0.61538461538461542</v>
      </c>
      <c r="S281" s="44">
        <f t="shared" si="51"/>
        <v>0.76190476190476197</v>
      </c>
      <c r="T281" s="45">
        <f>'Detailed Results'!K281</f>
        <v>5</v>
      </c>
      <c r="U281" s="45">
        <f>'Detailed Results'!L281</f>
        <v>3</v>
      </c>
      <c r="V281" s="46">
        <f t="shared" si="52"/>
        <v>0.6</v>
      </c>
      <c r="W281" s="46">
        <f t="shared" si="58"/>
        <v>0.33333333333333331</v>
      </c>
      <c r="X281" s="46">
        <f t="shared" si="53"/>
        <v>0.42857142857142855</v>
      </c>
      <c r="Y281" s="47">
        <f>'Detailed Results'!M281</f>
        <v>8</v>
      </c>
      <c r="Z281" s="47">
        <f>'Detailed Results'!N281</f>
        <v>5</v>
      </c>
      <c r="AA281" s="48">
        <f t="shared" si="54"/>
        <v>0.625</v>
      </c>
      <c r="AB281" s="48">
        <f t="shared" si="59"/>
        <v>0.38461538461538464</v>
      </c>
      <c r="AC281" s="48">
        <f t="shared" si="55"/>
        <v>0.47619047619047622</v>
      </c>
    </row>
    <row r="282" spans="1:29" ht="15" customHeight="1" thickBot="1" x14ac:dyDescent="0.4">
      <c r="A282" s="185"/>
      <c r="B282" s="10" t="s">
        <v>15</v>
      </c>
      <c r="C282" s="11" t="s">
        <v>19</v>
      </c>
      <c r="D282" s="11">
        <v>1</v>
      </c>
      <c r="E282" s="10" t="s">
        <v>17</v>
      </c>
      <c r="F282" s="40">
        <f>'GT Input'!C9</f>
        <v>9</v>
      </c>
      <c r="G282" s="40">
        <f>'GT Input'!D9</f>
        <v>13</v>
      </c>
      <c r="H282" s="40">
        <f>'GT Input'!E9</f>
        <v>9</v>
      </c>
      <c r="I282" s="40">
        <f>'GT Input'!F9</f>
        <v>13</v>
      </c>
      <c r="J282" s="41">
        <f>'Detailed Results'!G282</f>
        <v>5</v>
      </c>
      <c r="K282" s="41">
        <f>'Detailed Results'!H282</f>
        <v>5</v>
      </c>
      <c r="L282" s="42">
        <f t="shared" si="48"/>
        <v>1</v>
      </c>
      <c r="M282" s="42">
        <f t="shared" si="56"/>
        <v>0.55555555555555558</v>
      </c>
      <c r="N282" s="42">
        <f t="shared" si="49"/>
        <v>0.7142857142857143</v>
      </c>
      <c r="O282" s="43">
        <f>'Detailed Results'!I282</f>
        <v>8</v>
      </c>
      <c r="P282" s="43">
        <f>'Detailed Results'!J282</f>
        <v>8</v>
      </c>
      <c r="Q282" s="44">
        <f t="shared" si="50"/>
        <v>1</v>
      </c>
      <c r="R282" s="44">
        <f t="shared" si="57"/>
        <v>0.61538461538461542</v>
      </c>
      <c r="S282" s="44">
        <f t="shared" si="51"/>
        <v>0.76190476190476197</v>
      </c>
      <c r="T282" s="45">
        <f>'Detailed Results'!K282</f>
        <v>5</v>
      </c>
      <c r="U282" s="45">
        <f>'Detailed Results'!L282</f>
        <v>3</v>
      </c>
      <c r="V282" s="46">
        <f t="shared" si="52"/>
        <v>0.6</v>
      </c>
      <c r="W282" s="46">
        <f t="shared" si="58"/>
        <v>0.33333333333333331</v>
      </c>
      <c r="X282" s="46">
        <f t="shared" si="53"/>
        <v>0.42857142857142855</v>
      </c>
      <c r="Y282" s="47">
        <f>'Detailed Results'!M282</f>
        <v>8</v>
      </c>
      <c r="Z282" s="47">
        <f>'Detailed Results'!N282</f>
        <v>5</v>
      </c>
      <c r="AA282" s="48">
        <f t="shared" si="54"/>
        <v>0.625</v>
      </c>
      <c r="AB282" s="48">
        <f t="shared" si="59"/>
        <v>0.38461538461538464</v>
      </c>
      <c r="AC282" s="48">
        <f t="shared" si="55"/>
        <v>0.47619047619047622</v>
      </c>
    </row>
    <row r="283" spans="1:29" ht="15" customHeight="1" thickBot="1" x14ac:dyDescent="0.4">
      <c r="A283" s="185"/>
      <c r="B283" s="10" t="s">
        <v>15</v>
      </c>
      <c r="C283" s="11" t="s">
        <v>19</v>
      </c>
      <c r="D283" s="11">
        <v>1</v>
      </c>
      <c r="E283" s="10" t="s">
        <v>109</v>
      </c>
      <c r="F283" s="40">
        <f>'GT Input'!C9</f>
        <v>9</v>
      </c>
      <c r="G283" s="40">
        <f>'GT Input'!D9</f>
        <v>13</v>
      </c>
      <c r="H283" s="40">
        <f>'GT Input'!E9</f>
        <v>9</v>
      </c>
      <c r="I283" s="40">
        <f>'GT Input'!F9</f>
        <v>13</v>
      </c>
      <c r="J283" s="41">
        <f>'Detailed Results'!G283</f>
        <v>5</v>
      </c>
      <c r="K283" s="41">
        <f>'Detailed Results'!H283</f>
        <v>5</v>
      </c>
      <c r="L283" s="42">
        <f t="shared" si="48"/>
        <v>1</v>
      </c>
      <c r="M283" s="42">
        <f t="shared" si="56"/>
        <v>0.55555555555555558</v>
      </c>
      <c r="N283" s="42">
        <f t="shared" si="49"/>
        <v>0.7142857142857143</v>
      </c>
      <c r="O283" s="43">
        <f>'Detailed Results'!I283</f>
        <v>8</v>
      </c>
      <c r="P283" s="43">
        <f>'Detailed Results'!J283</f>
        <v>8</v>
      </c>
      <c r="Q283" s="44">
        <f t="shared" si="50"/>
        <v>1</v>
      </c>
      <c r="R283" s="44">
        <f t="shared" si="57"/>
        <v>0.61538461538461542</v>
      </c>
      <c r="S283" s="44">
        <f t="shared" si="51"/>
        <v>0.76190476190476197</v>
      </c>
      <c r="T283" s="45">
        <f>'Detailed Results'!K283</f>
        <v>5</v>
      </c>
      <c r="U283" s="45">
        <f>'Detailed Results'!L283</f>
        <v>3</v>
      </c>
      <c r="V283" s="46">
        <f t="shared" si="52"/>
        <v>0.6</v>
      </c>
      <c r="W283" s="46">
        <f t="shared" si="58"/>
        <v>0.33333333333333331</v>
      </c>
      <c r="X283" s="46">
        <f t="shared" si="53"/>
        <v>0.42857142857142855</v>
      </c>
      <c r="Y283" s="47">
        <f>'Detailed Results'!M283</f>
        <v>8</v>
      </c>
      <c r="Z283" s="47">
        <f>'Detailed Results'!N283</f>
        <v>5</v>
      </c>
      <c r="AA283" s="48">
        <f t="shared" si="54"/>
        <v>0.625</v>
      </c>
      <c r="AB283" s="48">
        <f t="shared" si="59"/>
        <v>0.38461538461538464</v>
      </c>
      <c r="AC283" s="48">
        <f t="shared" si="55"/>
        <v>0.47619047619047622</v>
      </c>
    </row>
    <row r="284" spans="1:29" ht="15" customHeight="1" thickBot="1" x14ac:dyDescent="0.4">
      <c r="A284" s="185"/>
      <c r="B284" s="7" t="s">
        <v>15</v>
      </c>
      <c r="C284" s="8" t="s">
        <v>19</v>
      </c>
      <c r="D284" s="8">
        <v>2</v>
      </c>
      <c r="E284" s="7" t="s">
        <v>17</v>
      </c>
      <c r="F284" s="40">
        <f>'GT Input'!C9</f>
        <v>9</v>
      </c>
      <c r="G284" s="40">
        <f>'GT Input'!D9</f>
        <v>13</v>
      </c>
      <c r="H284" s="40">
        <f>'GT Input'!E9</f>
        <v>9</v>
      </c>
      <c r="I284" s="40">
        <f>'GT Input'!F9</f>
        <v>13</v>
      </c>
      <c r="J284" s="41">
        <f>'Detailed Results'!G284</f>
        <v>5</v>
      </c>
      <c r="K284" s="41">
        <f>'Detailed Results'!H284</f>
        <v>5</v>
      </c>
      <c r="L284" s="42">
        <f t="shared" si="48"/>
        <v>1</v>
      </c>
      <c r="M284" s="42">
        <f t="shared" si="56"/>
        <v>0.55555555555555558</v>
      </c>
      <c r="N284" s="42">
        <f t="shared" si="49"/>
        <v>0.7142857142857143</v>
      </c>
      <c r="O284" s="43">
        <f>'Detailed Results'!I284</f>
        <v>8</v>
      </c>
      <c r="P284" s="43">
        <f>'Detailed Results'!J284</f>
        <v>8</v>
      </c>
      <c r="Q284" s="44">
        <f t="shared" si="50"/>
        <v>1</v>
      </c>
      <c r="R284" s="44">
        <f t="shared" si="57"/>
        <v>0.61538461538461542</v>
      </c>
      <c r="S284" s="44">
        <f t="shared" si="51"/>
        <v>0.76190476190476197</v>
      </c>
      <c r="T284" s="45">
        <f>'Detailed Results'!K284</f>
        <v>5</v>
      </c>
      <c r="U284" s="45">
        <f>'Detailed Results'!L284</f>
        <v>3</v>
      </c>
      <c r="V284" s="46">
        <f t="shared" si="52"/>
        <v>0.6</v>
      </c>
      <c r="W284" s="46">
        <f t="shared" si="58"/>
        <v>0.33333333333333331</v>
      </c>
      <c r="X284" s="46">
        <f t="shared" si="53"/>
        <v>0.42857142857142855</v>
      </c>
      <c r="Y284" s="47">
        <f>'Detailed Results'!M284</f>
        <v>8</v>
      </c>
      <c r="Z284" s="47">
        <f>'Detailed Results'!N284</f>
        <v>5</v>
      </c>
      <c r="AA284" s="48">
        <f t="shared" si="54"/>
        <v>0.625</v>
      </c>
      <c r="AB284" s="48">
        <f t="shared" si="59"/>
        <v>0.38461538461538464</v>
      </c>
      <c r="AC284" s="48">
        <f t="shared" si="55"/>
        <v>0.47619047619047622</v>
      </c>
    </row>
    <row r="285" spans="1:29" ht="15" customHeight="1" thickBot="1" x14ac:dyDescent="0.4">
      <c r="A285" s="185"/>
      <c r="B285" s="7" t="s">
        <v>15</v>
      </c>
      <c r="C285" s="8" t="s">
        <v>19</v>
      </c>
      <c r="D285" s="8">
        <v>2</v>
      </c>
      <c r="E285" s="7" t="s">
        <v>109</v>
      </c>
      <c r="F285" s="40">
        <f>'GT Input'!C9</f>
        <v>9</v>
      </c>
      <c r="G285" s="40">
        <f>'GT Input'!D9</f>
        <v>13</v>
      </c>
      <c r="H285" s="40">
        <f>'GT Input'!E9</f>
        <v>9</v>
      </c>
      <c r="I285" s="40">
        <f>'GT Input'!F9</f>
        <v>13</v>
      </c>
      <c r="J285" s="41">
        <f>'Detailed Results'!G285</f>
        <v>5</v>
      </c>
      <c r="K285" s="41">
        <f>'Detailed Results'!H285</f>
        <v>5</v>
      </c>
      <c r="L285" s="42">
        <f t="shared" si="48"/>
        <v>1</v>
      </c>
      <c r="M285" s="42">
        <f t="shared" si="56"/>
        <v>0.55555555555555558</v>
      </c>
      <c r="N285" s="42">
        <f t="shared" si="49"/>
        <v>0.7142857142857143</v>
      </c>
      <c r="O285" s="43">
        <f>'Detailed Results'!I285</f>
        <v>8</v>
      </c>
      <c r="P285" s="43">
        <f>'Detailed Results'!J285</f>
        <v>8</v>
      </c>
      <c r="Q285" s="44">
        <f t="shared" si="50"/>
        <v>1</v>
      </c>
      <c r="R285" s="44">
        <f t="shared" si="57"/>
        <v>0.61538461538461542</v>
      </c>
      <c r="S285" s="44">
        <f t="shared" si="51"/>
        <v>0.76190476190476197</v>
      </c>
      <c r="T285" s="45">
        <f>'Detailed Results'!K285</f>
        <v>5</v>
      </c>
      <c r="U285" s="45">
        <f>'Detailed Results'!L285</f>
        <v>3</v>
      </c>
      <c r="V285" s="46">
        <f t="shared" si="52"/>
        <v>0.6</v>
      </c>
      <c r="W285" s="46">
        <f t="shared" si="58"/>
        <v>0.33333333333333331</v>
      </c>
      <c r="X285" s="46">
        <f t="shared" si="53"/>
        <v>0.42857142857142855</v>
      </c>
      <c r="Y285" s="47">
        <f>'Detailed Results'!M285</f>
        <v>8</v>
      </c>
      <c r="Z285" s="47">
        <f>'Detailed Results'!N285</f>
        <v>5</v>
      </c>
      <c r="AA285" s="48">
        <f t="shared" si="54"/>
        <v>0.625</v>
      </c>
      <c r="AB285" s="48">
        <f t="shared" si="59"/>
        <v>0.38461538461538464</v>
      </c>
      <c r="AC285" s="48">
        <f t="shared" si="55"/>
        <v>0.47619047619047622</v>
      </c>
    </row>
    <row r="286" spans="1:29" ht="15" customHeight="1" thickBot="1" x14ac:dyDescent="0.4">
      <c r="A286" s="185"/>
      <c r="B286" s="10" t="s">
        <v>15</v>
      </c>
      <c r="C286" s="11" t="s">
        <v>19</v>
      </c>
      <c r="D286" s="11">
        <v>3</v>
      </c>
      <c r="E286" s="10" t="s">
        <v>17</v>
      </c>
      <c r="F286" s="40">
        <f>'GT Input'!C9</f>
        <v>9</v>
      </c>
      <c r="G286" s="40">
        <f>'GT Input'!D9</f>
        <v>13</v>
      </c>
      <c r="H286" s="40">
        <f>'GT Input'!E9</f>
        <v>9</v>
      </c>
      <c r="I286" s="40">
        <f>'GT Input'!F9</f>
        <v>13</v>
      </c>
      <c r="J286" s="41">
        <f>'Detailed Results'!G286</f>
        <v>5</v>
      </c>
      <c r="K286" s="41">
        <f>'Detailed Results'!H286</f>
        <v>5</v>
      </c>
      <c r="L286" s="42">
        <f t="shared" si="48"/>
        <v>1</v>
      </c>
      <c r="M286" s="42">
        <f t="shared" si="56"/>
        <v>0.55555555555555558</v>
      </c>
      <c r="N286" s="42">
        <f t="shared" si="49"/>
        <v>0.7142857142857143</v>
      </c>
      <c r="O286" s="43">
        <f>'Detailed Results'!I286</f>
        <v>8</v>
      </c>
      <c r="P286" s="43">
        <f>'Detailed Results'!J286</f>
        <v>8</v>
      </c>
      <c r="Q286" s="44">
        <f t="shared" si="50"/>
        <v>1</v>
      </c>
      <c r="R286" s="44">
        <f t="shared" si="57"/>
        <v>0.61538461538461542</v>
      </c>
      <c r="S286" s="44">
        <f t="shared" si="51"/>
        <v>0.76190476190476197</v>
      </c>
      <c r="T286" s="45">
        <f>'Detailed Results'!K286</f>
        <v>5</v>
      </c>
      <c r="U286" s="45">
        <f>'Detailed Results'!L286</f>
        <v>3</v>
      </c>
      <c r="V286" s="46">
        <f t="shared" si="52"/>
        <v>0.6</v>
      </c>
      <c r="W286" s="46">
        <f t="shared" si="58"/>
        <v>0.33333333333333331</v>
      </c>
      <c r="X286" s="46">
        <f t="shared" si="53"/>
        <v>0.42857142857142855</v>
      </c>
      <c r="Y286" s="47">
        <f>'Detailed Results'!M286</f>
        <v>8</v>
      </c>
      <c r="Z286" s="47">
        <f>'Detailed Results'!N286</f>
        <v>5</v>
      </c>
      <c r="AA286" s="48">
        <f t="shared" si="54"/>
        <v>0.625</v>
      </c>
      <c r="AB286" s="48">
        <f t="shared" si="59"/>
        <v>0.38461538461538464</v>
      </c>
      <c r="AC286" s="48">
        <f t="shared" si="55"/>
        <v>0.47619047619047622</v>
      </c>
    </row>
    <row r="287" spans="1:29" ht="15" customHeight="1" thickBot="1" x14ac:dyDescent="0.4">
      <c r="A287" s="185"/>
      <c r="B287" s="10" t="s">
        <v>15</v>
      </c>
      <c r="C287" s="11" t="s">
        <v>19</v>
      </c>
      <c r="D287" s="11">
        <v>3</v>
      </c>
      <c r="E287" s="10" t="s">
        <v>109</v>
      </c>
      <c r="F287" s="40">
        <f>'GT Input'!C9</f>
        <v>9</v>
      </c>
      <c r="G287" s="40">
        <f>'GT Input'!D9</f>
        <v>13</v>
      </c>
      <c r="H287" s="40">
        <f>'GT Input'!E9</f>
        <v>9</v>
      </c>
      <c r="I287" s="40">
        <f>'GT Input'!F9</f>
        <v>13</v>
      </c>
      <c r="J287" s="41">
        <f>'Detailed Results'!G287</f>
        <v>5</v>
      </c>
      <c r="K287" s="41">
        <f>'Detailed Results'!H287</f>
        <v>5</v>
      </c>
      <c r="L287" s="42">
        <f t="shared" si="48"/>
        <v>1</v>
      </c>
      <c r="M287" s="42">
        <f t="shared" si="56"/>
        <v>0.55555555555555558</v>
      </c>
      <c r="N287" s="42">
        <f t="shared" si="49"/>
        <v>0.7142857142857143</v>
      </c>
      <c r="O287" s="43">
        <f>'Detailed Results'!I287</f>
        <v>8</v>
      </c>
      <c r="P287" s="43">
        <f>'Detailed Results'!J287</f>
        <v>8</v>
      </c>
      <c r="Q287" s="44">
        <f t="shared" si="50"/>
        <v>1</v>
      </c>
      <c r="R287" s="44">
        <f t="shared" si="57"/>
        <v>0.61538461538461542</v>
      </c>
      <c r="S287" s="44">
        <f t="shared" si="51"/>
        <v>0.76190476190476197</v>
      </c>
      <c r="T287" s="45">
        <f>'Detailed Results'!K287</f>
        <v>5</v>
      </c>
      <c r="U287" s="45">
        <f>'Detailed Results'!L287</f>
        <v>3</v>
      </c>
      <c r="V287" s="46">
        <f t="shared" si="52"/>
        <v>0.6</v>
      </c>
      <c r="W287" s="46">
        <f t="shared" si="58"/>
        <v>0.33333333333333331</v>
      </c>
      <c r="X287" s="46">
        <f t="shared" si="53"/>
        <v>0.42857142857142855</v>
      </c>
      <c r="Y287" s="47">
        <f>'Detailed Results'!M287</f>
        <v>8</v>
      </c>
      <c r="Z287" s="47">
        <f>'Detailed Results'!N287</f>
        <v>5</v>
      </c>
      <c r="AA287" s="48">
        <f t="shared" si="54"/>
        <v>0.625</v>
      </c>
      <c r="AB287" s="48">
        <f t="shared" si="59"/>
        <v>0.38461538461538464</v>
      </c>
      <c r="AC287" s="48">
        <f t="shared" si="55"/>
        <v>0.47619047619047622</v>
      </c>
    </row>
    <row r="288" spans="1:29" ht="15" customHeight="1" thickBot="1" x14ac:dyDescent="0.4">
      <c r="A288" s="185"/>
      <c r="B288" s="7" t="s">
        <v>15</v>
      </c>
      <c r="C288" s="8" t="s">
        <v>20</v>
      </c>
      <c r="D288" s="8">
        <v>1</v>
      </c>
      <c r="E288" s="7" t="s">
        <v>17</v>
      </c>
      <c r="F288" s="40">
        <f>'GT Input'!C9</f>
        <v>9</v>
      </c>
      <c r="G288" s="40">
        <f>'GT Input'!D9</f>
        <v>13</v>
      </c>
      <c r="H288" s="40">
        <f>'GT Input'!E9</f>
        <v>9</v>
      </c>
      <c r="I288" s="40">
        <f>'GT Input'!F9</f>
        <v>13</v>
      </c>
      <c r="J288" s="41">
        <f>'Detailed Results'!G288</f>
        <v>5</v>
      </c>
      <c r="K288" s="41">
        <f>'Detailed Results'!H288</f>
        <v>5</v>
      </c>
      <c r="L288" s="42">
        <f t="shared" si="48"/>
        <v>1</v>
      </c>
      <c r="M288" s="42">
        <f t="shared" si="56"/>
        <v>0.55555555555555558</v>
      </c>
      <c r="N288" s="42">
        <f t="shared" si="49"/>
        <v>0.7142857142857143</v>
      </c>
      <c r="O288" s="43">
        <f>'Detailed Results'!I288</f>
        <v>8</v>
      </c>
      <c r="P288" s="43">
        <f>'Detailed Results'!J288</f>
        <v>8</v>
      </c>
      <c r="Q288" s="44">
        <f t="shared" si="50"/>
        <v>1</v>
      </c>
      <c r="R288" s="44">
        <f t="shared" si="57"/>
        <v>0.61538461538461542</v>
      </c>
      <c r="S288" s="44">
        <f t="shared" si="51"/>
        <v>0.76190476190476197</v>
      </c>
      <c r="T288" s="45">
        <f>'Detailed Results'!K288</f>
        <v>5</v>
      </c>
      <c r="U288" s="45">
        <f>'Detailed Results'!L288</f>
        <v>3</v>
      </c>
      <c r="V288" s="46">
        <f t="shared" si="52"/>
        <v>0.6</v>
      </c>
      <c r="W288" s="46">
        <f t="shared" si="58"/>
        <v>0.33333333333333331</v>
      </c>
      <c r="X288" s="46">
        <f t="shared" si="53"/>
        <v>0.42857142857142855</v>
      </c>
      <c r="Y288" s="47">
        <f>'Detailed Results'!M288</f>
        <v>8</v>
      </c>
      <c r="Z288" s="47">
        <f>'Detailed Results'!N288</f>
        <v>5</v>
      </c>
      <c r="AA288" s="48">
        <f t="shared" si="54"/>
        <v>0.625</v>
      </c>
      <c r="AB288" s="48">
        <f t="shared" si="59"/>
        <v>0.38461538461538464</v>
      </c>
      <c r="AC288" s="48">
        <f t="shared" si="55"/>
        <v>0.47619047619047622</v>
      </c>
    </row>
    <row r="289" spans="1:29" ht="15" customHeight="1" thickBot="1" x14ac:dyDescent="0.4">
      <c r="A289" s="185"/>
      <c r="B289" s="7" t="s">
        <v>15</v>
      </c>
      <c r="C289" s="8" t="s">
        <v>20</v>
      </c>
      <c r="D289" s="8">
        <v>1</v>
      </c>
      <c r="E289" s="7" t="s">
        <v>109</v>
      </c>
      <c r="F289" s="40">
        <f>'GT Input'!C9</f>
        <v>9</v>
      </c>
      <c r="G289" s="40">
        <f>'GT Input'!D9</f>
        <v>13</v>
      </c>
      <c r="H289" s="40">
        <f>'GT Input'!E9</f>
        <v>9</v>
      </c>
      <c r="I289" s="40">
        <f>'GT Input'!F9</f>
        <v>13</v>
      </c>
      <c r="J289" s="41">
        <f>'Detailed Results'!G289</f>
        <v>5</v>
      </c>
      <c r="K289" s="41">
        <f>'Detailed Results'!H289</f>
        <v>5</v>
      </c>
      <c r="L289" s="42">
        <f t="shared" si="48"/>
        <v>1</v>
      </c>
      <c r="M289" s="42">
        <f t="shared" si="56"/>
        <v>0.55555555555555558</v>
      </c>
      <c r="N289" s="42">
        <f t="shared" si="49"/>
        <v>0.7142857142857143</v>
      </c>
      <c r="O289" s="43">
        <f>'Detailed Results'!I289</f>
        <v>8</v>
      </c>
      <c r="P289" s="43">
        <f>'Detailed Results'!J289</f>
        <v>8</v>
      </c>
      <c r="Q289" s="44">
        <f t="shared" si="50"/>
        <v>1</v>
      </c>
      <c r="R289" s="44">
        <f t="shared" si="57"/>
        <v>0.61538461538461542</v>
      </c>
      <c r="S289" s="44">
        <f t="shared" si="51"/>
        <v>0.76190476190476197</v>
      </c>
      <c r="T289" s="45">
        <f>'Detailed Results'!K289</f>
        <v>5</v>
      </c>
      <c r="U289" s="45">
        <f>'Detailed Results'!L289</f>
        <v>3</v>
      </c>
      <c r="V289" s="46">
        <f t="shared" si="52"/>
        <v>0.6</v>
      </c>
      <c r="W289" s="46">
        <f t="shared" si="58"/>
        <v>0.33333333333333331</v>
      </c>
      <c r="X289" s="46">
        <f t="shared" si="53"/>
        <v>0.42857142857142855</v>
      </c>
      <c r="Y289" s="47">
        <f>'Detailed Results'!M289</f>
        <v>8</v>
      </c>
      <c r="Z289" s="47">
        <f>'Detailed Results'!N289</f>
        <v>5</v>
      </c>
      <c r="AA289" s="48">
        <f t="shared" si="54"/>
        <v>0.625</v>
      </c>
      <c r="AB289" s="48">
        <f t="shared" si="59"/>
        <v>0.38461538461538464</v>
      </c>
      <c r="AC289" s="48">
        <f t="shared" si="55"/>
        <v>0.47619047619047622</v>
      </c>
    </row>
    <row r="290" spans="1:29" ht="15" customHeight="1" thickBot="1" x14ac:dyDescent="0.4">
      <c r="A290" s="185"/>
      <c r="B290" s="10" t="s">
        <v>15</v>
      </c>
      <c r="C290" s="11" t="s">
        <v>20</v>
      </c>
      <c r="D290" s="11">
        <v>2</v>
      </c>
      <c r="E290" s="10" t="s">
        <v>17</v>
      </c>
      <c r="F290" s="40">
        <f>'GT Input'!C9</f>
        <v>9</v>
      </c>
      <c r="G290" s="40">
        <f>'GT Input'!D9</f>
        <v>13</v>
      </c>
      <c r="H290" s="40">
        <f>'GT Input'!E9</f>
        <v>9</v>
      </c>
      <c r="I290" s="40">
        <f>'GT Input'!F9</f>
        <v>13</v>
      </c>
      <c r="J290" s="41">
        <f>'Detailed Results'!G290</f>
        <v>5</v>
      </c>
      <c r="K290" s="41">
        <f>'Detailed Results'!H290</f>
        <v>5</v>
      </c>
      <c r="L290" s="42">
        <f t="shared" si="48"/>
        <v>1</v>
      </c>
      <c r="M290" s="42">
        <f t="shared" si="56"/>
        <v>0.55555555555555558</v>
      </c>
      <c r="N290" s="42">
        <f t="shared" si="49"/>
        <v>0.7142857142857143</v>
      </c>
      <c r="O290" s="43">
        <f>'Detailed Results'!I290</f>
        <v>8</v>
      </c>
      <c r="P290" s="43">
        <f>'Detailed Results'!J290</f>
        <v>8</v>
      </c>
      <c r="Q290" s="44">
        <f t="shared" si="50"/>
        <v>1</v>
      </c>
      <c r="R290" s="44">
        <f t="shared" si="57"/>
        <v>0.61538461538461542</v>
      </c>
      <c r="S290" s="44">
        <f t="shared" si="51"/>
        <v>0.76190476190476197</v>
      </c>
      <c r="T290" s="45">
        <f>'Detailed Results'!K290</f>
        <v>5</v>
      </c>
      <c r="U290" s="45">
        <f>'Detailed Results'!L290</f>
        <v>3</v>
      </c>
      <c r="V290" s="46">
        <f t="shared" si="52"/>
        <v>0.6</v>
      </c>
      <c r="W290" s="46">
        <f t="shared" si="58"/>
        <v>0.33333333333333331</v>
      </c>
      <c r="X290" s="46">
        <f t="shared" si="53"/>
        <v>0.42857142857142855</v>
      </c>
      <c r="Y290" s="47">
        <f>'Detailed Results'!M290</f>
        <v>8</v>
      </c>
      <c r="Z290" s="47">
        <f>'Detailed Results'!N290</f>
        <v>5</v>
      </c>
      <c r="AA290" s="48">
        <f t="shared" si="54"/>
        <v>0.625</v>
      </c>
      <c r="AB290" s="48">
        <f t="shared" si="59"/>
        <v>0.38461538461538464</v>
      </c>
      <c r="AC290" s="48">
        <f t="shared" si="55"/>
        <v>0.47619047619047622</v>
      </c>
    </row>
    <row r="291" spans="1:29" ht="15" customHeight="1" thickBot="1" x14ac:dyDescent="0.4">
      <c r="A291" s="185"/>
      <c r="B291" s="10" t="s">
        <v>15</v>
      </c>
      <c r="C291" s="11" t="s">
        <v>20</v>
      </c>
      <c r="D291" s="11">
        <v>2</v>
      </c>
      <c r="E291" s="10" t="s">
        <v>109</v>
      </c>
      <c r="F291" s="40">
        <f>'GT Input'!C9</f>
        <v>9</v>
      </c>
      <c r="G291" s="40">
        <f>'GT Input'!D9</f>
        <v>13</v>
      </c>
      <c r="H291" s="40">
        <f>'GT Input'!E9</f>
        <v>9</v>
      </c>
      <c r="I291" s="40">
        <f>'GT Input'!F9</f>
        <v>13</v>
      </c>
      <c r="J291" s="41">
        <f>'Detailed Results'!G291</f>
        <v>5</v>
      </c>
      <c r="K291" s="41">
        <f>'Detailed Results'!H291</f>
        <v>5</v>
      </c>
      <c r="L291" s="42">
        <f t="shared" si="48"/>
        <v>1</v>
      </c>
      <c r="M291" s="42">
        <f t="shared" si="56"/>
        <v>0.55555555555555558</v>
      </c>
      <c r="N291" s="42">
        <f t="shared" si="49"/>
        <v>0.7142857142857143</v>
      </c>
      <c r="O291" s="43">
        <f>'Detailed Results'!I291</f>
        <v>8</v>
      </c>
      <c r="P291" s="43">
        <f>'Detailed Results'!J291</f>
        <v>8</v>
      </c>
      <c r="Q291" s="44">
        <f t="shared" si="50"/>
        <v>1</v>
      </c>
      <c r="R291" s="44">
        <f t="shared" si="57"/>
        <v>0.61538461538461542</v>
      </c>
      <c r="S291" s="44">
        <f t="shared" si="51"/>
        <v>0.76190476190476197</v>
      </c>
      <c r="T291" s="45">
        <f>'Detailed Results'!K291</f>
        <v>5</v>
      </c>
      <c r="U291" s="45">
        <f>'Detailed Results'!L291</f>
        <v>3</v>
      </c>
      <c r="V291" s="46">
        <f t="shared" si="52"/>
        <v>0.6</v>
      </c>
      <c r="W291" s="46">
        <f t="shared" si="58"/>
        <v>0.33333333333333331</v>
      </c>
      <c r="X291" s="46">
        <f t="shared" si="53"/>
        <v>0.42857142857142855</v>
      </c>
      <c r="Y291" s="47">
        <f>'Detailed Results'!M291</f>
        <v>8</v>
      </c>
      <c r="Z291" s="47">
        <f>'Detailed Results'!N291</f>
        <v>5</v>
      </c>
      <c r="AA291" s="48">
        <f t="shared" si="54"/>
        <v>0.625</v>
      </c>
      <c r="AB291" s="48">
        <f t="shared" si="59"/>
        <v>0.38461538461538464</v>
      </c>
      <c r="AC291" s="48">
        <f t="shared" si="55"/>
        <v>0.47619047619047622</v>
      </c>
    </row>
    <row r="292" spans="1:29" ht="15" customHeight="1" thickBot="1" x14ac:dyDescent="0.4">
      <c r="A292" s="185"/>
      <c r="B292" s="7" t="s">
        <v>15</v>
      </c>
      <c r="C292" s="8" t="s">
        <v>20</v>
      </c>
      <c r="D292" s="8">
        <v>3</v>
      </c>
      <c r="E292" s="7" t="s">
        <v>17</v>
      </c>
      <c r="F292" s="40">
        <f>'GT Input'!C9</f>
        <v>9</v>
      </c>
      <c r="G292" s="40">
        <f>'GT Input'!D9</f>
        <v>13</v>
      </c>
      <c r="H292" s="40">
        <f>'GT Input'!E9</f>
        <v>9</v>
      </c>
      <c r="I292" s="40">
        <f>'GT Input'!F9</f>
        <v>13</v>
      </c>
      <c r="J292" s="41">
        <f>'Detailed Results'!G292</f>
        <v>5</v>
      </c>
      <c r="K292" s="41">
        <f>'Detailed Results'!H292</f>
        <v>5</v>
      </c>
      <c r="L292" s="42">
        <f t="shared" si="48"/>
        <v>1</v>
      </c>
      <c r="M292" s="42">
        <f t="shared" si="56"/>
        <v>0.55555555555555558</v>
      </c>
      <c r="N292" s="42">
        <f t="shared" si="49"/>
        <v>0.7142857142857143</v>
      </c>
      <c r="O292" s="43">
        <f>'Detailed Results'!I292</f>
        <v>8</v>
      </c>
      <c r="P292" s="43">
        <f>'Detailed Results'!J292</f>
        <v>8</v>
      </c>
      <c r="Q292" s="44">
        <f t="shared" si="50"/>
        <v>1</v>
      </c>
      <c r="R292" s="44">
        <f t="shared" si="57"/>
        <v>0.61538461538461542</v>
      </c>
      <c r="S292" s="44">
        <f t="shared" si="51"/>
        <v>0.76190476190476197</v>
      </c>
      <c r="T292" s="45">
        <f>'Detailed Results'!K292</f>
        <v>5</v>
      </c>
      <c r="U292" s="45">
        <f>'Detailed Results'!L292</f>
        <v>3</v>
      </c>
      <c r="V292" s="46">
        <f t="shared" si="52"/>
        <v>0.6</v>
      </c>
      <c r="W292" s="46">
        <f t="shared" si="58"/>
        <v>0.33333333333333331</v>
      </c>
      <c r="X292" s="46">
        <f t="shared" si="53"/>
        <v>0.42857142857142855</v>
      </c>
      <c r="Y292" s="47">
        <f>'Detailed Results'!M292</f>
        <v>8</v>
      </c>
      <c r="Z292" s="47">
        <f>'Detailed Results'!N292</f>
        <v>5</v>
      </c>
      <c r="AA292" s="48">
        <f t="shared" si="54"/>
        <v>0.625</v>
      </c>
      <c r="AB292" s="48">
        <f t="shared" si="59"/>
        <v>0.38461538461538464</v>
      </c>
      <c r="AC292" s="48">
        <f t="shared" si="55"/>
        <v>0.47619047619047622</v>
      </c>
    </row>
    <row r="293" spans="1:29" ht="15" customHeight="1" thickBot="1" x14ac:dyDescent="0.4">
      <c r="A293" s="185"/>
      <c r="B293" s="7" t="s">
        <v>15</v>
      </c>
      <c r="C293" s="8" t="s">
        <v>20</v>
      </c>
      <c r="D293" s="8">
        <v>3</v>
      </c>
      <c r="E293" s="7" t="s">
        <v>109</v>
      </c>
      <c r="F293" s="40">
        <f>'GT Input'!C9</f>
        <v>9</v>
      </c>
      <c r="G293" s="40">
        <f>'GT Input'!D9</f>
        <v>13</v>
      </c>
      <c r="H293" s="40">
        <f>'GT Input'!E9</f>
        <v>9</v>
      </c>
      <c r="I293" s="40">
        <f>'GT Input'!F9</f>
        <v>13</v>
      </c>
      <c r="J293" s="41">
        <f>'Detailed Results'!G293</f>
        <v>5</v>
      </c>
      <c r="K293" s="41">
        <f>'Detailed Results'!H293</f>
        <v>5</v>
      </c>
      <c r="L293" s="42">
        <f t="shared" si="48"/>
        <v>1</v>
      </c>
      <c r="M293" s="42">
        <f t="shared" si="56"/>
        <v>0.55555555555555558</v>
      </c>
      <c r="N293" s="42">
        <f t="shared" si="49"/>
        <v>0.7142857142857143</v>
      </c>
      <c r="O293" s="43">
        <f>'Detailed Results'!I293</f>
        <v>8</v>
      </c>
      <c r="P293" s="43">
        <f>'Detailed Results'!J293</f>
        <v>8</v>
      </c>
      <c r="Q293" s="44">
        <f t="shared" si="50"/>
        <v>1</v>
      </c>
      <c r="R293" s="44">
        <f t="shared" si="57"/>
        <v>0.61538461538461542</v>
      </c>
      <c r="S293" s="44">
        <f t="shared" si="51"/>
        <v>0.76190476190476197</v>
      </c>
      <c r="T293" s="45">
        <f>'Detailed Results'!K293</f>
        <v>5</v>
      </c>
      <c r="U293" s="45">
        <f>'Detailed Results'!L293</f>
        <v>3</v>
      </c>
      <c r="V293" s="46">
        <f t="shared" si="52"/>
        <v>0.6</v>
      </c>
      <c r="W293" s="46">
        <f t="shared" si="58"/>
        <v>0.33333333333333331</v>
      </c>
      <c r="X293" s="46">
        <f t="shared" si="53"/>
        <v>0.42857142857142855</v>
      </c>
      <c r="Y293" s="47">
        <f>'Detailed Results'!M293</f>
        <v>8</v>
      </c>
      <c r="Z293" s="47">
        <f>'Detailed Results'!N293</f>
        <v>5</v>
      </c>
      <c r="AA293" s="48">
        <f t="shared" si="54"/>
        <v>0.625</v>
      </c>
      <c r="AB293" s="48">
        <f t="shared" si="59"/>
        <v>0.38461538461538464</v>
      </c>
      <c r="AC293" s="48">
        <f t="shared" si="55"/>
        <v>0.47619047619047622</v>
      </c>
    </row>
    <row r="294" spans="1:29" ht="15" customHeight="1" thickBot="1" x14ac:dyDescent="0.4">
      <c r="A294" s="185"/>
      <c r="B294" s="12" t="s">
        <v>21</v>
      </c>
      <c r="C294" s="13" t="s">
        <v>16</v>
      </c>
      <c r="D294" s="13">
        <v>1</v>
      </c>
      <c r="E294" s="12" t="s">
        <v>17</v>
      </c>
      <c r="F294" s="40">
        <f>'GT Input'!C9</f>
        <v>9</v>
      </c>
      <c r="G294" s="40">
        <f>'GT Input'!D9</f>
        <v>13</v>
      </c>
      <c r="H294" s="40">
        <f>'GT Input'!E9</f>
        <v>9</v>
      </c>
      <c r="I294" s="40">
        <f>'GT Input'!F9</f>
        <v>13</v>
      </c>
      <c r="J294" s="41">
        <f>'Detailed Results'!G294</f>
        <v>5</v>
      </c>
      <c r="K294" s="41">
        <f>'Detailed Results'!H294</f>
        <v>4</v>
      </c>
      <c r="L294" s="42">
        <f t="shared" si="48"/>
        <v>0.8</v>
      </c>
      <c r="M294" s="42">
        <f t="shared" si="56"/>
        <v>0.44444444444444442</v>
      </c>
      <c r="N294" s="42">
        <f t="shared" si="49"/>
        <v>0.5714285714285714</v>
      </c>
      <c r="O294" s="43">
        <f>'Detailed Results'!I294</f>
        <v>8</v>
      </c>
      <c r="P294" s="43">
        <f>'Detailed Results'!J294</f>
        <v>8</v>
      </c>
      <c r="Q294" s="44">
        <f t="shared" si="50"/>
        <v>1</v>
      </c>
      <c r="R294" s="44">
        <f t="shared" si="57"/>
        <v>0.61538461538461542</v>
      </c>
      <c r="S294" s="44">
        <f t="shared" si="51"/>
        <v>0.76190476190476197</v>
      </c>
      <c r="T294" s="45">
        <f>'Detailed Results'!K294</f>
        <v>5</v>
      </c>
      <c r="U294" s="45">
        <f>'Detailed Results'!L294</f>
        <v>3</v>
      </c>
      <c r="V294" s="46">
        <f t="shared" si="52"/>
        <v>0.6</v>
      </c>
      <c r="W294" s="46">
        <f t="shared" si="58"/>
        <v>0.33333333333333331</v>
      </c>
      <c r="X294" s="46">
        <f t="shared" si="53"/>
        <v>0.42857142857142855</v>
      </c>
      <c r="Y294" s="47">
        <f>'Detailed Results'!M294</f>
        <v>8</v>
      </c>
      <c r="Z294" s="47">
        <f>'Detailed Results'!N294</f>
        <v>5</v>
      </c>
      <c r="AA294" s="48">
        <f t="shared" si="54"/>
        <v>0.625</v>
      </c>
      <c r="AB294" s="48">
        <f t="shared" si="59"/>
        <v>0.38461538461538464</v>
      </c>
      <c r="AC294" s="48">
        <f t="shared" si="55"/>
        <v>0.47619047619047622</v>
      </c>
    </row>
    <row r="295" spans="1:29" ht="15" customHeight="1" thickBot="1" x14ac:dyDescent="0.4">
      <c r="A295" s="185"/>
      <c r="B295" s="12" t="s">
        <v>21</v>
      </c>
      <c r="C295" s="13" t="s">
        <v>16</v>
      </c>
      <c r="D295" s="13">
        <v>1</v>
      </c>
      <c r="E295" s="12" t="s">
        <v>109</v>
      </c>
      <c r="F295" s="40">
        <f>'GT Input'!C9</f>
        <v>9</v>
      </c>
      <c r="G295" s="40">
        <f>'GT Input'!D9</f>
        <v>13</v>
      </c>
      <c r="H295" s="40">
        <f>'GT Input'!E9</f>
        <v>9</v>
      </c>
      <c r="I295" s="40">
        <f>'GT Input'!F9</f>
        <v>13</v>
      </c>
      <c r="J295" s="41">
        <f>'Detailed Results'!G295</f>
        <v>5</v>
      </c>
      <c r="K295" s="41">
        <f>'Detailed Results'!H295</f>
        <v>5</v>
      </c>
      <c r="L295" s="42">
        <f t="shared" si="48"/>
        <v>1</v>
      </c>
      <c r="M295" s="42">
        <f t="shared" si="56"/>
        <v>0.55555555555555558</v>
      </c>
      <c r="N295" s="42">
        <f t="shared" si="49"/>
        <v>0.7142857142857143</v>
      </c>
      <c r="O295" s="43">
        <f>'Detailed Results'!I295</f>
        <v>8</v>
      </c>
      <c r="P295" s="43">
        <f>'Detailed Results'!J295</f>
        <v>8</v>
      </c>
      <c r="Q295" s="44">
        <f t="shared" si="50"/>
        <v>1</v>
      </c>
      <c r="R295" s="44">
        <f t="shared" si="57"/>
        <v>0.61538461538461542</v>
      </c>
      <c r="S295" s="44">
        <f t="shared" si="51"/>
        <v>0.76190476190476197</v>
      </c>
      <c r="T295" s="45">
        <f>'Detailed Results'!K295</f>
        <v>5</v>
      </c>
      <c r="U295" s="45">
        <f>'Detailed Results'!L295</f>
        <v>3</v>
      </c>
      <c r="V295" s="46">
        <f t="shared" si="52"/>
        <v>0.6</v>
      </c>
      <c r="W295" s="46">
        <f t="shared" si="58"/>
        <v>0.33333333333333331</v>
      </c>
      <c r="X295" s="46">
        <f t="shared" si="53"/>
        <v>0.42857142857142855</v>
      </c>
      <c r="Y295" s="47">
        <f>'Detailed Results'!M295</f>
        <v>8</v>
      </c>
      <c r="Z295" s="47">
        <f>'Detailed Results'!N295</f>
        <v>5</v>
      </c>
      <c r="AA295" s="48">
        <f t="shared" si="54"/>
        <v>0.625</v>
      </c>
      <c r="AB295" s="48">
        <f t="shared" si="59"/>
        <v>0.38461538461538464</v>
      </c>
      <c r="AC295" s="48">
        <f t="shared" si="55"/>
        <v>0.47619047619047622</v>
      </c>
    </row>
    <row r="296" spans="1:29" ht="15" customHeight="1" thickBot="1" x14ac:dyDescent="0.4">
      <c r="A296" s="185"/>
      <c r="B296" s="14" t="s">
        <v>21</v>
      </c>
      <c r="C296" s="15" t="s">
        <v>16</v>
      </c>
      <c r="D296" s="15">
        <v>2</v>
      </c>
      <c r="E296" s="14" t="s">
        <v>17</v>
      </c>
      <c r="F296" s="40">
        <f>'GT Input'!C9</f>
        <v>9</v>
      </c>
      <c r="G296" s="40">
        <f>'GT Input'!D9</f>
        <v>13</v>
      </c>
      <c r="H296" s="40">
        <f>'GT Input'!E9</f>
        <v>9</v>
      </c>
      <c r="I296" s="40">
        <f>'GT Input'!F9</f>
        <v>13</v>
      </c>
      <c r="J296" s="41">
        <f>'Detailed Results'!G296</f>
        <v>5</v>
      </c>
      <c r="K296" s="41">
        <f>'Detailed Results'!H296</f>
        <v>3</v>
      </c>
      <c r="L296" s="42">
        <f t="shared" si="48"/>
        <v>0.6</v>
      </c>
      <c r="M296" s="42">
        <f t="shared" si="56"/>
        <v>0.33333333333333331</v>
      </c>
      <c r="N296" s="42">
        <f t="shared" si="49"/>
        <v>0.42857142857142855</v>
      </c>
      <c r="O296" s="43">
        <f>'Detailed Results'!I296</f>
        <v>9</v>
      </c>
      <c r="P296" s="43">
        <f>'Detailed Results'!J296</f>
        <v>9</v>
      </c>
      <c r="Q296" s="44">
        <f t="shared" si="50"/>
        <v>1</v>
      </c>
      <c r="R296" s="44">
        <f t="shared" si="57"/>
        <v>0.69230769230769229</v>
      </c>
      <c r="S296" s="44">
        <f t="shared" si="51"/>
        <v>0.81818181818181812</v>
      </c>
      <c r="T296" s="45">
        <f>'Detailed Results'!K296</f>
        <v>5</v>
      </c>
      <c r="U296" s="45">
        <f>'Detailed Results'!L296</f>
        <v>3</v>
      </c>
      <c r="V296" s="46">
        <f t="shared" si="52"/>
        <v>0.6</v>
      </c>
      <c r="W296" s="46">
        <f t="shared" si="58"/>
        <v>0.33333333333333331</v>
      </c>
      <c r="X296" s="46">
        <f t="shared" si="53"/>
        <v>0.42857142857142855</v>
      </c>
      <c r="Y296" s="47">
        <f>'Detailed Results'!M296</f>
        <v>9</v>
      </c>
      <c r="Z296" s="47">
        <f>'Detailed Results'!N296</f>
        <v>5</v>
      </c>
      <c r="AA296" s="48">
        <f t="shared" si="54"/>
        <v>0.55555555555555558</v>
      </c>
      <c r="AB296" s="48">
        <f t="shared" si="59"/>
        <v>0.38461538461538464</v>
      </c>
      <c r="AC296" s="48">
        <f t="shared" si="55"/>
        <v>0.45454545454545459</v>
      </c>
    </row>
    <row r="297" spans="1:29" ht="15" customHeight="1" thickBot="1" x14ac:dyDescent="0.4">
      <c r="A297" s="185"/>
      <c r="B297" s="14" t="s">
        <v>21</v>
      </c>
      <c r="C297" s="15" t="s">
        <v>16</v>
      </c>
      <c r="D297" s="15">
        <v>2</v>
      </c>
      <c r="E297" s="14" t="s">
        <v>109</v>
      </c>
      <c r="F297" s="40">
        <f>'GT Input'!C9</f>
        <v>9</v>
      </c>
      <c r="G297" s="40">
        <f>'GT Input'!D9</f>
        <v>13</v>
      </c>
      <c r="H297" s="40">
        <f>'GT Input'!E9</f>
        <v>9</v>
      </c>
      <c r="I297" s="40">
        <f>'GT Input'!F9</f>
        <v>13</v>
      </c>
      <c r="J297" s="41">
        <f>'Detailed Results'!G297</f>
        <v>5</v>
      </c>
      <c r="K297" s="41">
        <f>'Detailed Results'!H297</f>
        <v>5</v>
      </c>
      <c r="L297" s="42">
        <f t="shared" si="48"/>
        <v>1</v>
      </c>
      <c r="M297" s="42">
        <f t="shared" si="56"/>
        <v>0.55555555555555558</v>
      </c>
      <c r="N297" s="42">
        <f t="shared" si="49"/>
        <v>0.7142857142857143</v>
      </c>
      <c r="O297" s="43">
        <f>'Detailed Results'!I297</f>
        <v>8</v>
      </c>
      <c r="P297" s="43">
        <f>'Detailed Results'!J297</f>
        <v>8</v>
      </c>
      <c r="Q297" s="44">
        <f t="shared" si="50"/>
        <v>1</v>
      </c>
      <c r="R297" s="44">
        <f t="shared" si="57"/>
        <v>0.61538461538461542</v>
      </c>
      <c r="S297" s="44">
        <f t="shared" si="51"/>
        <v>0.76190476190476197</v>
      </c>
      <c r="T297" s="45">
        <f>'Detailed Results'!K297</f>
        <v>5</v>
      </c>
      <c r="U297" s="45">
        <f>'Detailed Results'!L297</f>
        <v>3</v>
      </c>
      <c r="V297" s="46">
        <f t="shared" si="52"/>
        <v>0.6</v>
      </c>
      <c r="W297" s="46">
        <f t="shared" si="58"/>
        <v>0.33333333333333331</v>
      </c>
      <c r="X297" s="46">
        <f t="shared" si="53"/>
        <v>0.42857142857142855</v>
      </c>
      <c r="Y297" s="47">
        <f>'Detailed Results'!M297</f>
        <v>8</v>
      </c>
      <c r="Z297" s="47">
        <f>'Detailed Results'!N297</f>
        <v>5</v>
      </c>
      <c r="AA297" s="48">
        <f t="shared" si="54"/>
        <v>0.625</v>
      </c>
      <c r="AB297" s="48">
        <f t="shared" si="59"/>
        <v>0.38461538461538464</v>
      </c>
      <c r="AC297" s="48">
        <f t="shared" si="55"/>
        <v>0.47619047619047622</v>
      </c>
    </row>
    <row r="298" spans="1:29" ht="15" customHeight="1" thickBot="1" x14ac:dyDescent="0.4">
      <c r="A298" s="185"/>
      <c r="B298" s="12" t="s">
        <v>21</v>
      </c>
      <c r="C298" s="13" t="s">
        <v>16</v>
      </c>
      <c r="D298" s="13">
        <v>3</v>
      </c>
      <c r="E298" s="12" t="s">
        <v>17</v>
      </c>
      <c r="F298" s="40">
        <f>'GT Input'!C9</f>
        <v>9</v>
      </c>
      <c r="G298" s="40">
        <f>'GT Input'!D9</f>
        <v>13</v>
      </c>
      <c r="H298" s="40">
        <f>'GT Input'!E9</f>
        <v>9</v>
      </c>
      <c r="I298" s="40">
        <f>'GT Input'!F9</f>
        <v>13</v>
      </c>
      <c r="J298" s="41">
        <f>'Detailed Results'!G298</f>
        <v>5</v>
      </c>
      <c r="K298" s="41">
        <f>'Detailed Results'!H298</f>
        <v>3</v>
      </c>
      <c r="L298" s="42">
        <f t="shared" si="48"/>
        <v>0.6</v>
      </c>
      <c r="M298" s="42">
        <f t="shared" si="56"/>
        <v>0.33333333333333331</v>
      </c>
      <c r="N298" s="42">
        <f t="shared" si="49"/>
        <v>0.42857142857142855</v>
      </c>
      <c r="O298" s="43">
        <f>'Detailed Results'!I298</f>
        <v>9</v>
      </c>
      <c r="P298" s="43">
        <f>'Detailed Results'!J298</f>
        <v>9</v>
      </c>
      <c r="Q298" s="44">
        <f t="shared" si="50"/>
        <v>1</v>
      </c>
      <c r="R298" s="44">
        <f t="shared" si="57"/>
        <v>0.69230769230769229</v>
      </c>
      <c r="S298" s="44">
        <f t="shared" si="51"/>
        <v>0.81818181818181812</v>
      </c>
      <c r="T298" s="45">
        <f>'Detailed Results'!K298</f>
        <v>5</v>
      </c>
      <c r="U298" s="45">
        <f>'Detailed Results'!L298</f>
        <v>3</v>
      </c>
      <c r="V298" s="46">
        <f t="shared" si="52"/>
        <v>0.6</v>
      </c>
      <c r="W298" s="46">
        <f t="shared" si="58"/>
        <v>0.33333333333333331</v>
      </c>
      <c r="X298" s="46">
        <f t="shared" si="53"/>
        <v>0.42857142857142855</v>
      </c>
      <c r="Y298" s="47">
        <f>'Detailed Results'!M298</f>
        <v>9</v>
      </c>
      <c r="Z298" s="47">
        <f>'Detailed Results'!N298</f>
        <v>5</v>
      </c>
      <c r="AA298" s="48">
        <f t="shared" si="54"/>
        <v>0.55555555555555558</v>
      </c>
      <c r="AB298" s="48">
        <f t="shared" si="59"/>
        <v>0.38461538461538464</v>
      </c>
      <c r="AC298" s="48">
        <f t="shared" si="55"/>
        <v>0.45454545454545459</v>
      </c>
    </row>
    <row r="299" spans="1:29" ht="15" customHeight="1" thickBot="1" x14ac:dyDescent="0.4">
      <c r="A299" s="185"/>
      <c r="B299" s="12" t="s">
        <v>21</v>
      </c>
      <c r="C299" s="13" t="s">
        <v>16</v>
      </c>
      <c r="D299" s="13">
        <v>3</v>
      </c>
      <c r="E299" s="12" t="s">
        <v>109</v>
      </c>
      <c r="F299" s="40">
        <f>'GT Input'!C9</f>
        <v>9</v>
      </c>
      <c r="G299" s="40">
        <f>'GT Input'!D9</f>
        <v>13</v>
      </c>
      <c r="H299" s="40">
        <f>'GT Input'!E9</f>
        <v>9</v>
      </c>
      <c r="I299" s="40">
        <f>'GT Input'!F9</f>
        <v>13</v>
      </c>
      <c r="J299" s="41">
        <f>'Detailed Results'!G299</f>
        <v>5</v>
      </c>
      <c r="K299" s="41">
        <f>'Detailed Results'!H299</f>
        <v>5</v>
      </c>
      <c r="L299" s="42">
        <f t="shared" si="48"/>
        <v>1</v>
      </c>
      <c r="M299" s="42">
        <f t="shared" si="56"/>
        <v>0.55555555555555558</v>
      </c>
      <c r="N299" s="42">
        <f t="shared" si="49"/>
        <v>0.7142857142857143</v>
      </c>
      <c r="O299" s="43">
        <f>'Detailed Results'!I299</f>
        <v>8</v>
      </c>
      <c r="P299" s="43">
        <f>'Detailed Results'!J299</f>
        <v>8</v>
      </c>
      <c r="Q299" s="44">
        <f t="shared" si="50"/>
        <v>1</v>
      </c>
      <c r="R299" s="44">
        <f t="shared" si="57"/>
        <v>0.61538461538461542</v>
      </c>
      <c r="S299" s="44">
        <f t="shared" si="51"/>
        <v>0.76190476190476197</v>
      </c>
      <c r="T299" s="45">
        <f>'Detailed Results'!K299</f>
        <v>5</v>
      </c>
      <c r="U299" s="45">
        <f>'Detailed Results'!L299</f>
        <v>3</v>
      </c>
      <c r="V299" s="46">
        <f t="shared" si="52"/>
        <v>0.6</v>
      </c>
      <c r="W299" s="46">
        <f t="shared" si="58"/>
        <v>0.33333333333333331</v>
      </c>
      <c r="X299" s="46">
        <f t="shared" si="53"/>
        <v>0.42857142857142855</v>
      </c>
      <c r="Y299" s="47">
        <f>'Detailed Results'!M299</f>
        <v>8</v>
      </c>
      <c r="Z299" s="47">
        <f>'Detailed Results'!N299</f>
        <v>5</v>
      </c>
      <c r="AA299" s="48">
        <f t="shared" si="54"/>
        <v>0.625</v>
      </c>
      <c r="AB299" s="48">
        <f t="shared" si="59"/>
        <v>0.38461538461538464</v>
      </c>
      <c r="AC299" s="48">
        <f t="shared" si="55"/>
        <v>0.47619047619047622</v>
      </c>
    </row>
    <row r="300" spans="1:29" ht="15" customHeight="1" thickBot="1" x14ac:dyDescent="0.4">
      <c r="A300" s="185"/>
      <c r="B300" s="14" t="s">
        <v>21</v>
      </c>
      <c r="C300" s="15" t="s">
        <v>19</v>
      </c>
      <c r="D300" s="15">
        <v>1</v>
      </c>
      <c r="E300" s="14" t="s">
        <v>17</v>
      </c>
      <c r="F300" s="40">
        <f>'GT Input'!C9</f>
        <v>9</v>
      </c>
      <c r="G300" s="40">
        <f>'GT Input'!D9</f>
        <v>13</v>
      </c>
      <c r="H300" s="40">
        <f>'GT Input'!E9</f>
        <v>9</v>
      </c>
      <c r="I300" s="40">
        <f>'GT Input'!F9</f>
        <v>13</v>
      </c>
      <c r="J300" s="41">
        <f>'Detailed Results'!G300</f>
        <v>5</v>
      </c>
      <c r="K300" s="41">
        <f>'Detailed Results'!H300</f>
        <v>3</v>
      </c>
      <c r="L300" s="42">
        <f t="shared" si="48"/>
        <v>0.6</v>
      </c>
      <c r="M300" s="42">
        <f t="shared" si="56"/>
        <v>0.33333333333333331</v>
      </c>
      <c r="N300" s="42">
        <f t="shared" si="49"/>
        <v>0.42857142857142855</v>
      </c>
      <c r="O300" s="43">
        <f>'Detailed Results'!I300</f>
        <v>9</v>
      </c>
      <c r="P300" s="43">
        <f>'Detailed Results'!J300</f>
        <v>9</v>
      </c>
      <c r="Q300" s="44">
        <f t="shared" si="50"/>
        <v>1</v>
      </c>
      <c r="R300" s="44">
        <f t="shared" si="57"/>
        <v>0.69230769230769229</v>
      </c>
      <c r="S300" s="44">
        <f t="shared" si="51"/>
        <v>0.81818181818181812</v>
      </c>
      <c r="T300" s="45">
        <f>'Detailed Results'!K300</f>
        <v>5</v>
      </c>
      <c r="U300" s="45">
        <f>'Detailed Results'!L300</f>
        <v>3</v>
      </c>
      <c r="V300" s="46">
        <f t="shared" si="52"/>
        <v>0.6</v>
      </c>
      <c r="W300" s="46">
        <f t="shared" si="58"/>
        <v>0.33333333333333331</v>
      </c>
      <c r="X300" s="46">
        <f t="shared" si="53"/>
        <v>0.42857142857142855</v>
      </c>
      <c r="Y300" s="47">
        <f>'Detailed Results'!M300</f>
        <v>9</v>
      </c>
      <c r="Z300" s="47">
        <f>'Detailed Results'!N300</f>
        <v>5</v>
      </c>
      <c r="AA300" s="48">
        <f t="shared" si="54"/>
        <v>0.55555555555555558</v>
      </c>
      <c r="AB300" s="48">
        <f t="shared" si="59"/>
        <v>0.38461538461538464</v>
      </c>
      <c r="AC300" s="48">
        <f t="shared" si="55"/>
        <v>0.45454545454545459</v>
      </c>
    </row>
    <row r="301" spans="1:29" ht="15" customHeight="1" thickBot="1" x14ac:dyDescent="0.4">
      <c r="A301" s="185"/>
      <c r="B301" s="14" t="s">
        <v>21</v>
      </c>
      <c r="C301" s="15" t="s">
        <v>19</v>
      </c>
      <c r="D301" s="15">
        <v>1</v>
      </c>
      <c r="E301" s="14" t="s">
        <v>109</v>
      </c>
      <c r="F301" s="40">
        <f>'GT Input'!C9</f>
        <v>9</v>
      </c>
      <c r="G301" s="40">
        <f>'GT Input'!D9</f>
        <v>13</v>
      </c>
      <c r="H301" s="40">
        <f>'GT Input'!E9</f>
        <v>9</v>
      </c>
      <c r="I301" s="40">
        <f>'GT Input'!F9</f>
        <v>13</v>
      </c>
      <c r="J301" s="41">
        <f>'Detailed Results'!G301</f>
        <v>5</v>
      </c>
      <c r="K301" s="41">
        <f>'Detailed Results'!H301</f>
        <v>5</v>
      </c>
      <c r="L301" s="42">
        <f t="shared" si="48"/>
        <v>1</v>
      </c>
      <c r="M301" s="42">
        <f t="shared" si="56"/>
        <v>0.55555555555555558</v>
      </c>
      <c r="N301" s="42">
        <f t="shared" si="49"/>
        <v>0.7142857142857143</v>
      </c>
      <c r="O301" s="43">
        <f>'Detailed Results'!I301</f>
        <v>8</v>
      </c>
      <c r="P301" s="43">
        <f>'Detailed Results'!J301</f>
        <v>8</v>
      </c>
      <c r="Q301" s="44">
        <f t="shared" si="50"/>
        <v>1</v>
      </c>
      <c r="R301" s="44">
        <f t="shared" si="57"/>
        <v>0.61538461538461542</v>
      </c>
      <c r="S301" s="44">
        <f t="shared" si="51"/>
        <v>0.76190476190476197</v>
      </c>
      <c r="T301" s="45">
        <f>'Detailed Results'!K301</f>
        <v>5</v>
      </c>
      <c r="U301" s="45">
        <f>'Detailed Results'!L301</f>
        <v>3</v>
      </c>
      <c r="V301" s="46">
        <f t="shared" si="52"/>
        <v>0.6</v>
      </c>
      <c r="W301" s="46">
        <f t="shared" si="58"/>
        <v>0.33333333333333331</v>
      </c>
      <c r="X301" s="46">
        <f t="shared" si="53"/>
        <v>0.42857142857142855</v>
      </c>
      <c r="Y301" s="47">
        <f>'Detailed Results'!M301</f>
        <v>8</v>
      </c>
      <c r="Z301" s="47">
        <f>'Detailed Results'!N301</f>
        <v>5</v>
      </c>
      <c r="AA301" s="48">
        <f t="shared" si="54"/>
        <v>0.625</v>
      </c>
      <c r="AB301" s="48">
        <f t="shared" si="59"/>
        <v>0.38461538461538464</v>
      </c>
      <c r="AC301" s="48">
        <f t="shared" si="55"/>
        <v>0.47619047619047622</v>
      </c>
    </row>
    <row r="302" spans="1:29" ht="15" customHeight="1" thickBot="1" x14ac:dyDescent="0.4">
      <c r="A302" s="185"/>
      <c r="B302" s="12" t="s">
        <v>21</v>
      </c>
      <c r="C302" s="13" t="s">
        <v>19</v>
      </c>
      <c r="D302" s="13">
        <v>2</v>
      </c>
      <c r="E302" s="12" t="s">
        <v>17</v>
      </c>
      <c r="F302" s="40">
        <f>'GT Input'!C9</f>
        <v>9</v>
      </c>
      <c r="G302" s="40">
        <f>'GT Input'!D9</f>
        <v>13</v>
      </c>
      <c r="H302" s="40">
        <f>'GT Input'!E9</f>
        <v>9</v>
      </c>
      <c r="I302" s="40">
        <f>'GT Input'!F9</f>
        <v>13</v>
      </c>
      <c r="J302" s="41">
        <f>'Detailed Results'!G302</f>
        <v>5</v>
      </c>
      <c r="K302" s="41">
        <f>'Detailed Results'!H302</f>
        <v>4</v>
      </c>
      <c r="L302" s="42">
        <f t="shared" si="48"/>
        <v>0.8</v>
      </c>
      <c r="M302" s="42">
        <f t="shared" si="56"/>
        <v>0.44444444444444442</v>
      </c>
      <c r="N302" s="42">
        <f t="shared" si="49"/>
        <v>0.5714285714285714</v>
      </c>
      <c r="O302" s="43">
        <f>'Detailed Results'!I302</f>
        <v>8</v>
      </c>
      <c r="P302" s="43">
        <f>'Detailed Results'!J302</f>
        <v>8</v>
      </c>
      <c r="Q302" s="44">
        <f t="shared" si="50"/>
        <v>1</v>
      </c>
      <c r="R302" s="44">
        <f t="shared" si="57"/>
        <v>0.61538461538461542</v>
      </c>
      <c r="S302" s="44">
        <f t="shared" si="51"/>
        <v>0.76190476190476197</v>
      </c>
      <c r="T302" s="45">
        <f>'Detailed Results'!K302</f>
        <v>5</v>
      </c>
      <c r="U302" s="45">
        <f>'Detailed Results'!L302</f>
        <v>3</v>
      </c>
      <c r="V302" s="46">
        <f t="shared" si="52"/>
        <v>0.6</v>
      </c>
      <c r="W302" s="46">
        <f t="shared" si="58"/>
        <v>0.33333333333333331</v>
      </c>
      <c r="X302" s="46">
        <f t="shared" si="53"/>
        <v>0.42857142857142855</v>
      </c>
      <c r="Y302" s="47">
        <f>'Detailed Results'!M302</f>
        <v>8</v>
      </c>
      <c r="Z302" s="47">
        <f>'Detailed Results'!N302</f>
        <v>5</v>
      </c>
      <c r="AA302" s="48">
        <f t="shared" si="54"/>
        <v>0.625</v>
      </c>
      <c r="AB302" s="48">
        <f t="shared" si="59"/>
        <v>0.38461538461538464</v>
      </c>
      <c r="AC302" s="48">
        <f t="shared" si="55"/>
        <v>0.47619047619047622</v>
      </c>
    </row>
    <row r="303" spans="1:29" ht="15" customHeight="1" thickBot="1" x14ac:dyDescent="0.4">
      <c r="A303" s="185"/>
      <c r="B303" s="12" t="s">
        <v>21</v>
      </c>
      <c r="C303" s="13" t="s">
        <v>19</v>
      </c>
      <c r="D303" s="13">
        <v>2</v>
      </c>
      <c r="E303" s="12" t="s">
        <v>109</v>
      </c>
      <c r="F303" s="40">
        <f>'GT Input'!C9</f>
        <v>9</v>
      </c>
      <c r="G303" s="40">
        <f>'GT Input'!D9</f>
        <v>13</v>
      </c>
      <c r="H303" s="40">
        <f>'GT Input'!E9</f>
        <v>9</v>
      </c>
      <c r="I303" s="40">
        <f>'GT Input'!F9</f>
        <v>13</v>
      </c>
      <c r="J303" s="41">
        <f>'Detailed Results'!G303</f>
        <v>5</v>
      </c>
      <c r="K303" s="41">
        <f>'Detailed Results'!H303</f>
        <v>5</v>
      </c>
      <c r="L303" s="42">
        <f t="shared" si="48"/>
        <v>1</v>
      </c>
      <c r="M303" s="42">
        <f t="shared" si="56"/>
        <v>0.55555555555555558</v>
      </c>
      <c r="N303" s="42">
        <f t="shared" si="49"/>
        <v>0.7142857142857143</v>
      </c>
      <c r="O303" s="43">
        <f>'Detailed Results'!I303</f>
        <v>8</v>
      </c>
      <c r="P303" s="43">
        <f>'Detailed Results'!J303</f>
        <v>8</v>
      </c>
      <c r="Q303" s="44">
        <f t="shared" si="50"/>
        <v>1</v>
      </c>
      <c r="R303" s="44">
        <f t="shared" si="57"/>
        <v>0.61538461538461542</v>
      </c>
      <c r="S303" s="44">
        <f t="shared" si="51"/>
        <v>0.76190476190476197</v>
      </c>
      <c r="T303" s="45">
        <f>'Detailed Results'!K303</f>
        <v>5</v>
      </c>
      <c r="U303" s="45">
        <f>'Detailed Results'!L303</f>
        <v>3</v>
      </c>
      <c r="V303" s="46">
        <f t="shared" si="52"/>
        <v>0.6</v>
      </c>
      <c r="W303" s="46">
        <f t="shared" si="58"/>
        <v>0.33333333333333331</v>
      </c>
      <c r="X303" s="46">
        <f t="shared" si="53"/>
        <v>0.42857142857142855</v>
      </c>
      <c r="Y303" s="47">
        <f>'Detailed Results'!M303</f>
        <v>8</v>
      </c>
      <c r="Z303" s="47">
        <f>'Detailed Results'!N303</f>
        <v>5</v>
      </c>
      <c r="AA303" s="48">
        <f t="shared" si="54"/>
        <v>0.625</v>
      </c>
      <c r="AB303" s="48">
        <f t="shared" si="59"/>
        <v>0.38461538461538464</v>
      </c>
      <c r="AC303" s="48">
        <f t="shared" si="55"/>
        <v>0.47619047619047622</v>
      </c>
    </row>
    <row r="304" spans="1:29" ht="15" customHeight="1" thickBot="1" x14ac:dyDescent="0.4">
      <c r="A304" s="185"/>
      <c r="B304" s="14" t="s">
        <v>21</v>
      </c>
      <c r="C304" s="15" t="s">
        <v>19</v>
      </c>
      <c r="D304" s="15">
        <v>3</v>
      </c>
      <c r="E304" s="14" t="s">
        <v>17</v>
      </c>
      <c r="F304" s="40">
        <f>'GT Input'!C9</f>
        <v>9</v>
      </c>
      <c r="G304" s="40">
        <f>'GT Input'!D9</f>
        <v>13</v>
      </c>
      <c r="H304" s="40">
        <f>'GT Input'!E9</f>
        <v>9</v>
      </c>
      <c r="I304" s="40">
        <f>'GT Input'!F9</f>
        <v>13</v>
      </c>
      <c r="J304" s="41">
        <f>'Detailed Results'!G304</f>
        <v>5</v>
      </c>
      <c r="K304" s="41">
        <f>'Detailed Results'!H304</f>
        <v>5</v>
      </c>
      <c r="L304" s="42">
        <f t="shared" si="48"/>
        <v>1</v>
      </c>
      <c r="M304" s="42">
        <f t="shared" si="56"/>
        <v>0.55555555555555558</v>
      </c>
      <c r="N304" s="42">
        <f t="shared" si="49"/>
        <v>0.7142857142857143</v>
      </c>
      <c r="O304" s="43">
        <f>'Detailed Results'!I304</f>
        <v>9</v>
      </c>
      <c r="P304" s="43">
        <f>'Detailed Results'!J304</f>
        <v>9</v>
      </c>
      <c r="Q304" s="44">
        <f t="shared" si="50"/>
        <v>1</v>
      </c>
      <c r="R304" s="44">
        <f t="shared" si="57"/>
        <v>0.69230769230769229</v>
      </c>
      <c r="S304" s="44">
        <f t="shared" si="51"/>
        <v>0.81818181818181812</v>
      </c>
      <c r="T304" s="45">
        <f>'Detailed Results'!K304</f>
        <v>5</v>
      </c>
      <c r="U304" s="45">
        <f>'Detailed Results'!L304</f>
        <v>3</v>
      </c>
      <c r="V304" s="46">
        <f t="shared" si="52"/>
        <v>0.6</v>
      </c>
      <c r="W304" s="46">
        <f t="shared" si="58"/>
        <v>0.33333333333333331</v>
      </c>
      <c r="X304" s="46">
        <f t="shared" si="53"/>
        <v>0.42857142857142855</v>
      </c>
      <c r="Y304" s="47">
        <f>'Detailed Results'!M304</f>
        <v>9</v>
      </c>
      <c r="Z304" s="47">
        <f>'Detailed Results'!N304</f>
        <v>5</v>
      </c>
      <c r="AA304" s="48">
        <f t="shared" si="54"/>
        <v>0.55555555555555558</v>
      </c>
      <c r="AB304" s="48">
        <f t="shared" si="59"/>
        <v>0.38461538461538464</v>
      </c>
      <c r="AC304" s="48">
        <f t="shared" si="55"/>
        <v>0.45454545454545459</v>
      </c>
    </row>
    <row r="305" spans="1:29" ht="15" customHeight="1" thickBot="1" x14ac:dyDescent="0.4">
      <c r="A305" s="185"/>
      <c r="B305" s="14" t="s">
        <v>21</v>
      </c>
      <c r="C305" s="15" t="s">
        <v>19</v>
      </c>
      <c r="D305" s="15">
        <v>3</v>
      </c>
      <c r="E305" s="14" t="s">
        <v>109</v>
      </c>
      <c r="F305" s="40">
        <f>'GT Input'!C9</f>
        <v>9</v>
      </c>
      <c r="G305" s="40">
        <f>'GT Input'!D9</f>
        <v>13</v>
      </c>
      <c r="H305" s="40">
        <f>'GT Input'!E9</f>
        <v>9</v>
      </c>
      <c r="I305" s="40">
        <f>'GT Input'!F9</f>
        <v>13</v>
      </c>
      <c r="J305" s="41">
        <f>'Detailed Results'!G305</f>
        <v>5</v>
      </c>
      <c r="K305" s="41">
        <f>'Detailed Results'!H305</f>
        <v>5</v>
      </c>
      <c r="L305" s="42">
        <f t="shared" si="48"/>
        <v>1</v>
      </c>
      <c r="M305" s="42">
        <f t="shared" si="56"/>
        <v>0.55555555555555558</v>
      </c>
      <c r="N305" s="42">
        <f t="shared" si="49"/>
        <v>0.7142857142857143</v>
      </c>
      <c r="O305" s="43">
        <f>'Detailed Results'!I305</f>
        <v>8</v>
      </c>
      <c r="P305" s="43">
        <f>'Detailed Results'!J305</f>
        <v>8</v>
      </c>
      <c r="Q305" s="44">
        <f t="shared" si="50"/>
        <v>1</v>
      </c>
      <c r="R305" s="44">
        <f t="shared" si="57"/>
        <v>0.61538461538461542</v>
      </c>
      <c r="S305" s="44">
        <f t="shared" si="51"/>
        <v>0.76190476190476197</v>
      </c>
      <c r="T305" s="45">
        <f>'Detailed Results'!K305</f>
        <v>5</v>
      </c>
      <c r="U305" s="45">
        <f>'Detailed Results'!L305</f>
        <v>3</v>
      </c>
      <c r="V305" s="46">
        <f t="shared" si="52"/>
        <v>0.6</v>
      </c>
      <c r="W305" s="46">
        <f t="shared" si="58"/>
        <v>0.33333333333333331</v>
      </c>
      <c r="X305" s="46">
        <f t="shared" si="53"/>
        <v>0.42857142857142855</v>
      </c>
      <c r="Y305" s="47">
        <f>'Detailed Results'!M305</f>
        <v>8</v>
      </c>
      <c r="Z305" s="47">
        <f>'Detailed Results'!N305</f>
        <v>5</v>
      </c>
      <c r="AA305" s="48">
        <f t="shared" si="54"/>
        <v>0.625</v>
      </c>
      <c r="AB305" s="48">
        <f t="shared" si="59"/>
        <v>0.38461538461538464</v>
      </c>
      <c r="AC305" s="48">
        <f t="shared" si="55"/>
        <v>0.47619047619047622</v>
      </c>
    </row>
    <row r="306" spans="1:29" ht="15" customHeight="1" thickBot="1" x14ac:dyDescent="0.4">
      <c r="A306" s="185"/>
      <c r="B306" s="12" t="s">
        <v>21</v>
      </c>
      <c r="C306" s="13" t="s">
        <v>20</v>
      </c>
      <c r="D306" s="13">
        <v>1</v>
      </c>
      <c r="E306" s="12" t="s">
        <v>17</v>
      </c>
      <c r="F306" s="40">
        <f>'GT Input'!C9</f>
        <v>9</v>
      </c>
      <c r="G306" s="40">
        <f>'GT Input'!D9</f>
        <v>13</v>
      </c>
      <c r="H306" s="40">
        <f>'GT Input'!E9</f>
        <v>9</v>
      </c>
      <c r="I306" s="40">
        <f>'GT Input'!F9</f>
        <v>13</v>
      </c>
      <c r="J306" s="41">
        <f>'Detailed Results'!G306</f>
        <v>5</v>
      </c>
      <c r="K306" s="41">
        <f>'Detailed Results'!H306</f>
        <v>4</v>
      </c>
      <c r="L306" s="42">
        <f t="shared" si="48"/>
        <v>0.8</v>
      </c>
      <c r="M306" s="42">
        <f t="shared" si="56"/>
        <v>0.44444444444444442</v>
      </c>
      <c r="N306" s="42">
        <f t="shared" si="49"/>
        <v>0.5714285714285714</v>
      </c>
      <c r="O306" s="43">
        <f>'Detailed Results'!I306</f>
        <v>8</v>
      </c>
      <c r="P306" s="43">
        <f>'Detailed Results'!J306</f>
        <v>8</v>
      </c>
      <c r="Q306" s="44">
        <f t="shared" si="50"/>
        <v>1</v>
      </c>
      <c r="R306" s="44">
        <f t="shared" si="57"/>
        <v>0.61538461538461542</v>
      </c>
      <c r="S306" s="44">
        <f t="shared" si="51"/>
        <v>0.76190476190476197</v>
      </c>
      <c r="T306" s="45">
        <f>'Detailed Results'!K306</f>
        <v>5</v>
      </c>
      <c r="U306" s="45">
        <f>'Detailed Results'!L306</f>
        <v>3</v>
      </c>
      <c r="V306" s="46">
        <f t="shared" si="52"/>
        <v>0.6</v>
      </c>
      <c r="W306" s="46">
        <f t="shared" si="58"/>
        <v>0.33333333333333331</v>
      </c>
      <c r="X306" s="46">
        <f t="shared" si="53"/>
        <v>0.42857142857142855</v>
      </c>
      <c r="Y306" s="47">
        <f>'Detailed Results'!M306</f>
        <v>8</v>
      </c>
      <c r="Z306" s="47">
        <f>'Detailed Results'!N306</f>
        <v>5</v>
      </c>
      <c r="AA306" s="48">
        <f t="shared" si="54"/>
        <v>0.625</v>
      </c>
      <c r="AB306" s="48">
        <f t="shared" si="59"/>
        <v>0.38461538461538464</v>
      </c>
      <c r="AC306" s="48">
        <f t="shared" si="55"/>
        <v>0.47619047619047622</v>
      </c>
    </row>
    <row r="307" spans="1:29" ht="15" customHeight="1" thickBot="1" x14ac:dyDescent="0.4">
      <c r="A307" s="185"/>
      <c r="B307" s="12" t="s">
        <v>21</v>
      </c>
      <c r="C307" s="13" t="s">
        <v>20</v>
      </c>
      <c r="D307" s="13">
        <v>1</v>
      </c>
      <c r="E307" s="12" t="s">
        <v>109</v>
      </c>
      <c r="F307" s="40">
        <f>'GT Input'!C9</f>
        <v>9</v>
      </c>
      <c r="G307" s="40">
        <f>'GT Input'!D9</f>
        <v>13</v>
      </c>
      <c r="H307" s="40">
        <f>'GT Input'!E9</f>
        <v>9</v>
      </c>
      <c r="I307" s="40">
        <f>'GT Input'!F9</f>
        <v>13</v>
      </c>
      <c r="J307" s="41">
        <f>'Detailed Results'!G307</f>
        <v>5</v>
      </c>
      <c r="K307" s="41">
        <f>'Detailed Results'!H307</f>
        <v>5</v>
      </c>
      <c r="L307" s="42">
        <f t="shared" si="48"/>
        <v>1</v>
      </c>
      <c r="M307" s="42">
        <f t="shared" si="56"/>
        <v>0.55555555555555558</v>
      </c>
      <c r="N307" s="42">
        <f t="shared" si="49"/>
        <v>0.7142857142857143</v>
      </c>
      <c r="O307" s="43">
        <f>'Detailed Results'!I307</f>
        <v>8</v>
      </c>
      <c r="P307" s="43">
        <f>'Detailed Results'!J307</f>
        <v>8</v>
      </c>
      <c r="Q307" s="44">
        <f t="shared" si="50"/>
        <v>1</v>
      </c>
      <c r="R307" s="44">
        <f t="shared" si="57"/>
        <v>0.61538461538461542</v>
      </c>
      <c r="S307" s="44">
        <f t="shared" si="51"/>
        <v>0.76190476190476197</v>
      </c>
      <c r="T307" s="45">
        <f>'Detailed Results'!K307</f>
        <v>5</v>
      </c>
      <c r="U307" s="45">
        <f>'Detailed Results'!L307</f>
        <v>3</v>
      </c>
      <c r="V307" s="46">
        <f t="shared" si="52"/>
        <v>0.6</v>
      </c>
      <c r="W307" s="46">
        <f t="shared" si="58"/>
        <v>0.33333333333333331</v>
      </c>
      <c r="X307" s="46">
        <f t="shared" si="53"/>
        <v>0.42857142857142855</v>
      </c>
      <c r="Y307" s="47">
        <f>'Detailed Results'!M307</f>
        <v>8</v>
      </c>
      <c r="Z307" s="47">
        <f>'Detailed Results'!N307</f>
        <v>5</v>
      </c>
      <c r="AA307" s="48">
        <f t="shared" si="54"/>
        <v>0.625</v>
      </c>
      <c r="AB307" s="48">
        <f t="shared" si="59"/>
        <v>0.38461538461538464</v>
      </c>
      <c r="AC307" s="48">
        <f t="shared" si="55"/>
        <v>0.47619047619047622</v>
      </c>
    </row>
    <row r="308" spans="1:29" ht="15" customHeight="1" thickBot="1" x14ac:dyDescent="0.4">
      <c r="A308" s="185"/>
      <c r="B308" s="14" t="s">
        <v>21</v>
      </c>
      <c r="C308" s="15" t="s">
        <v>20</v>
      </c>
      <c r="D308" s="15">
        <v>2</v>
      </c>
      <c r="E308" s="14" t="s">
        <v>17</v>
      </c>
      <c r="F308" s="40">
        <f>'GT Input'!C9</f>
        <v>9</v>
      </c>
      <c r="G308" s="40">
        <f>'GT Input'!D9</f>
        <v>13</v>
      </c>
      <c r="H308" s="40">
        <f>'GT Input'!E9</f>
        <v>9</v>
      </c>
      <c r="I308" s="40">
        <f>'GT Input'!F9</f>
        <v>13</v>
      </c>
      <c r="J308" s="41">
        <f>'Detailed Results'!G308</f>
        <v>5</v>
      </c>
      <c r="K308" s="41">
        <f>'Detailed Results'!H308</f>
        <v>3</v>
      </c>
      <c r="L308" s="42">
        <f t="shared" si="48"/>
        <v>0.6</v>
      </c>
      <c r="M308" s="42">
        <f t="shared" si="56"/>
        <v>0.33333333333333331</v>
      </c>
      <c r="N308" s="42">
        <f t="shared" si="49"/>
        <v>0.42857142857142855</v>
      </c>
      <c r="O308" s="43">
        <f>'Detailed Results'!I308</f>
        <v>9</v>
      </c>
      <c r="P308" s="43">
        <f>'Detailed Results'!J308</f>
        <v>9</v>
      </c>
      <c r="Q308" s="44">
        <f t="shared" si="50"/>
        <v>1</v>
      </c>
      <c r="R308" s="44">
        <f t="shared" si="57"/>
        <v>0.69230769230769229</v>
      </c>
      <c r="S308" s="44">
        <f t="shared" si="51"/>
        <v>0.81818181818181812</v>
      </c>
      <c r="T308" s="45">
        <f>'Detailed Results'!K308</f>
        <v>5</v>
      </c>
      <c r="U308" s="45">
        <f>'Detailed Results'!L308</f>
        <v>3</v>
      </c>
      <c r="V308" s="46">
        <f t="shared" si="52"/>
        <v>0.6</v>
      </c>
      <c r="W308" s="46">
        <f t="shared" si="58"/>
        <v>0.33333333333333331</v>
      </c>
      <c r="X308" s="46">
        <f t="shared" si="53"/>
        <v>0.42857142857142855</v>
      </c>
      <c r="Y308" s="47">
        <f>'Detailed Results'!M308</f>
        <v>9</v>
      </c>
      <c r="Z308" s="47">
        <f>'Detailed Results'!N308</f>
        <v>5</v>
      </c>
      <c r="AA308" s="48">
        <f t="shared" si="54"/>
        <v>0.55555555555555558</v>
      </c>
      <c r="AB308" s="48">
        <f t="shared" si="59"/>
        <v>0.38461538461538464</v>
      </c>
      <c r="AC308" s="48">
        <f t="shared" si="55"/>
        <v>0.45454545454545459</v>
      </c>
    </row>
    <row r="309" spans="1:29" ht="15" customHeight="1" thickBot="1" x14ac:dyDescent="0.4">
      <c r="A309" s="185"/>
      <c r="B309" s="14" t="s">
        <v>21</v>
      </c>
      <c r="C309" s="15" t="s">
        <v>20</v>
      </c>
      <c r="D309" s="15">
        <v>2</v>
      </c>
      <c r="E309" s="14" t="s">
        <v>109</v>
      </c>
      <c r="F309" s="40">
        <f>'GT Input'!C9</f>
        <v>9</v>
      </c>
      <c r="G309" s="40">
        <f>'GT Input'!D9</f>
        <v>13</v>
      </c>
      <c r="H309" s="40">
        <f>'GT Input'!E9</f>
        <v>9</v>
      </c>
      <c r="I309" s="40">
        <f>'GT Input'!F9</f>
        <v>13</v>
      </c>
      <c r="J309" s="41">
        <f>'Detailed Results'!G309</f>
        <v>5</v>
      </c>
      <c r="K309" s="41">
        <f>'Detailed Results'!H309</f>
        <v>5</v>
      </c>
      <c r="L309" s="42">
        <f t="shared" si="48"/>
        <v>1</v>
      </c>
      <c r="M309" s="42">
        <f t="shared" si="56"/>
        <v>0.55555555555555558</v>
      </c>
      <c r="N309" s="42">
        <f t="shared" si="49"/>
        <v>0.7142857142857143</v>
      </c>
      <c r="O309" s="43">
        <f>'Detailed Results'!I309</f>
        <v>8</v>
      </c>
      <c r="P309" s="43">
        <f>'Detailed Results'!J309</f>
        <v>8</v>
      </c>
      <c r="Q309" s="44">
        <f t="shared" si="50"/>
        <v>1</v>
      </c>
      <c r="R309" s="44">
        <f t="shared" si="57"/>
        <v>0.61538461538461542</v>
      </c>
      <c r="S309" s="44">
        <f t="shared" si="51"/>
        <v>0.76190476190476197</v>
      </c>
      <c r="T309" s="45">
        <f>'Detailed Results'!K309</f>
        <v>5</v>
      </c>
      <c r="U309" s="45">
        <f>'Detailed Results'!L309</f>
        <v>3</v>
      </c>
      <c r="V309" s="46">
        <f t="shared" si="52"/>
        <v>0.6</v>
      </c>
      <c r="W309" s="46">
        <f t="shared" si="58"/>
        <v>0.33333333333333331</v>
      </c>
      <c r="X309" s="46">
        <f t="shared" si="53"/>
        <v>0.42857142857142855</v>
      </c>
      <c r="Y309" s="47">
        <f>'Detailed Results'!M309</f>
        <v>8</v>
      </c>
      <c r="Z309" s="47">
        <f>'Detailed Results'!N309</f>
        <v>5</v>
      </c>
      <c r="AA309" s="48">
        <f t="shared" si="54"/>
        <v>0.625</v>
      </c>
      <c r="AB309" s="48">
        <f t="shared" si="59"/>
        <v>0.38461538461538464</v>
      </c>
      <c r="AC309" s="48">
        <f t="shared" si="55"/>
        <v>0.47619047619047622</v>
      </c>
    </row>
    <row r="310" spans="1:29" ht="15" customHeight="1" thickBot="1" x14ac:dyDescent="0.4">
      <c r="A310" s="185"/>
      <c r="B310" s="12" t="s">
        <v>21</v>
      </c>
      <c r="C310" s="13" t="s">
        <v>20</v>
      </c>
      <c r="D310" s="13">
        <v>3</v>
      </c>
      <c r="E310" s="12" t="s">
        <v>17</v>
      </c>
      <c r="F310" s="40">
        <f>'GT Input'!C9</f>
        <v>9</v>
      </c>
      <c r="G310" s="40">
        <f>'GT Input'!D9</f>
        <v>13</v>
      </c>
      <c r="H310" s="40">
        <f>'GT Input'!E9</f>
        <v>9</v>
      </c>
      <c r="I310" s="40">
        <f>'GT Input'!F9</f>
        <v>13</v>
      </c>
      <c r="J310" s="41">
        <f>'Detailed Results'!G310</f>
        <v>5</v>
      </c>
      <c r="K310" s="41">
        <f>'Detailed Results'!H310</f>
        <v>3</v>
      </c>
      <c r="L310" s="42">
        <f t="shared" si="48"/>
        <v>0.6</v>
      </c>
      <c r="M310" s="42">
        <f t="shared" si="56"/>
        <v>0.33333333333333331</v>
      </c>
      <c r="N310" s="42">
        <f t="shared" si="49"/>
        <v>0.42857142857142855</v>
      </c>
      <c r="O310" s="43">
        <f>'Detailed Results'!I310</f>
        <v>8</v>
      </c>
      <c r="P310" s="43">
        <f>'Detailed Results'!J310</f>
        <v>8</v>
      </c>
      <c r="Q310" s="44">
        <f t="shared" si="50"/>
        <v>1</v>
      </c>
      <c r="R310" s="44">
        <f t="shared" si="57"/>
        <v>0.61538461538461542</v>
      </c>
      <c r="S310" s="44">
        <f t="shared" si="51"/>
        <v>0.76190476190476197</v>
      </c>
      <c r="T310" s="45">
        <f>'Detailed Results'!K310</f>
        <v>5</v>
      </c>
      <c r="U310" s="45">
        <f>'Detailed Results'!L310</f>
        <v>3</v>
      </c>
      <c r="V310" s="46">
        <f t="shared" si="52"/>
        <v>0.6</v>
      </c>
      <c r="W310" s="46">
        <f t="shared" si="58"/>
        <v>0.33333333333333331</v>
      </c>
      <c r="X310" s="46">
        <f t="shared" si="53"/>
        <v>0.42857142857142855</v>
      </c>
      <c r="Y310" s="47">
        <f>'Detailed Results'!M310</f>
        <v>8</v>
      </c>
      <c r="Z310" s="47">
        <f>'Detailed Results'!N310</f>
        <v>5</v>
      </c>
      <c r="AA310" s="48">
        <f t="shared" si="54"/>
        <v>0.625</v>
      </c>
      <c r="AB310" s="48">
        <f t="shared" si="59"/>
        <v>0.38461538461538464</v>
      </c>
      <c r="AC310" s="48">
        <f t="shared" si="55"/>
        <v>0.47619047619047622</v>
      </c>
    </row>
    <row r="311" spans="1:29" ht="15" customHeight="1" thickBot="1" x14ac:dyDescent="0.4">
      <c r="A311" s="185"/>
      <c r="B311" s="12" t="s">
        <v>21</v>
      </c>
      <c r="C311" s="13" t="s">
        <v>20</v>
      </c>
      <c r="D311" s="13">
        <v>3</v>
      </c>
      <c r="E311" s="12" t="s">
        <v>109</v>
      </c>
      <c r="F311" s="40">
        <f>'GT Input'!C9</f>
        <v>9</v>
      </c>
      <c r="G311" s="40">
        <f>'GT Input'!D9</f>
        <v>13</v>
      </c>
      <c r="H311" s="40">
        <f>'GT Input'!E9</f>
        <v>9</v>
      </c>
      <c r="I311" s="40">
        <f>'GT Input'!F9</f>
        <v>13</v>
      </c>
      <c r="J311" s="41">
        <f>'Detailed Results'!G311</f>
        <v>5</v>
      </c>
      <c r="K311" s="41">
        <f>'Detailed Results'!H311</f>
        <v>5</v>
      </c>
      <c r="L311" s="42">
        <f t="shared" si="48"/>
        <v>1</v>
      </c>
      <c r="M311" s="42">
        <f t="shared" si="56"/>
        <v>0.55555555555555558</v>
      </c>
      <c r="N311" s="42">
        <f t="shared" si="49"/>
        <v>0.7142857142857143</v>
      </c>
      <c r="O311" s="43">
        <f>'Detailed Results'!I311</f>
        <v>8</v>
      </c>
      <c r="P311" s="43">
        <f>'Detailed Results'!J311</f>
        <v>8</v>
      </c>
      <c r="Q311" s="44">
        <f t="shared" si="50"/>
        <v>1</v>
      </c>
      <c r="R311" s="44">
        <f t="shared" si="57"/>
        <v>0.61538461538461542</v>
      </c>
      <c r="S311" s="44">
        <f t="shared" si="51"/>
        <v>0.76190476190476197</v>
      </c>
      <c r="T311" s="45">
        <f>'Detailed Results'!K311</f>
        <v>5</v>
      </c>
      <c r="U311" s="45">
        <f>'Detailed Results'!L311</f>
        <v>3</v>
      </c>
      <c r="V311" s="46">
        <f t="shared" si="52"/>
        <v>0.6</v>
      </c>
      <c r="W311" s="46">
        <f t="shared" si="58"/>
        <v>0.33333333333333331</v>
      </c>
      <c r="X311" s="46">
        <f t="shared" si="53"/>
        <v>0.42857142857142855</v>
      </c>
      <c r="Y311" s="47">
        <f>'Detailed Results'!M311</f>
        <v>8</v>
      </c>
      <c r="Z311" s="47">
        <f>'Detailed Results'!N311</f>
        <v>5</v>
      </c>
      <c r="AA311" s="48">
        <f t="shared" si="54"/>
        <v>0.625</v>
      </c>
      <c r="AB311" s="48">
        <f t="shared" si="59"/>
        <v>0.38461538461538464</v>
      </c>
      <c r="AC311" s="48">
        <f t="shared" si="55"/>
        <v>0.47619047619047622</v>
      </c>
    </row>
    <row r="312" spans="1:29" ht="15" customHeight="1" thickBot="1" x14ac:dyDescent="0.4">
      <c r="A312" s="185"/>
      <c r="B312" s="16" t="s">
        <v>22</v>
      </c>
      <c r="C312" s="17" t="s">
        <v>16</v>
      </c>
      <c r="D312" s="17">
        <v>1</v>
      </c>
      <c r="E312" s="16" t="s">
        <v>17</v>
      </c>
      <c r="F312" s="40">
        <f>'GT Input'!C9</f>
        <v>9</v>
      </c>
      <c r="G312" s="40">
        <f>'GT Input'!D9</f>
        <v>13</v>
      </c>
      <c r="H312" s="40">
        <f>'GT Input'!E9</f>
        <v>9</v>
      </c>
      <c r="I312" s="40">
        <f>'GT Input'!F9</f>
        <v>13</v>
      </c>
      <c r="J312" s="41">
        <f>'Detailed Results'!G312</f>
        <v>5</v>
      </c>
      <c r="K312" s="41">
        <f>'Detailed Results'!H312</f>
        <v>5</v>
      </c>
      <c r="L312" s="42">
        <f t="shared" si="48"/>
        <v>1</v>
      </c>
      <c r="M312" s="42">
        <f t="shared" si="56"/>
        <v>0.55555555555555558</v>
      </c>
      <c r="N312" s="42">
        <f t="shared" si="49"/>
        <v>0.7142857142857143</v>
      </c>
      <c r="O312" s="43">
        <f>'Detailed Results'!I312</f>
        <v>8</v>
      </c>
      <c r="P312" s="43">
        <f>'Detailed Results'!J312</f>
        <v>8</v>
      </c>
      <c r="Q312" s="44">
        <f t="shared" si="50"/>
        <v>1</v>
      </c>
      <c r="R312" s="44">
        <f t="shared" si="57"/>
        <v>0.61538461538461542</v>
      </c>
      <c r="S312" s="44">
        <f t="shared" si="51"/>
        <v>0.76190476190476197</v>
      </c>
      <c r="T312" s="45">
        <f>'Detailed Results'!K312</f>
        <v>5</v>
      </c>
      <c r="U312" s="45">
        <f>'Detailed Results'!L312</f>
        <v>3</v>
      </c>
      <c r="V312" s="46">
        <f t="shared" si="52"/>
        <v>0.6</v>
      </c>
      <c r="W312" s="46">
        <f t="shared" si="58"/>
        <v>0.33333333333333331</v>
      </c>
      <c r="X312" s="46">
        <f t="shared" si="53"/>
        <v>0.42857142857142855</v>
      </c>
      <c r="Y312" s="47">
        <f>'Detailed Results'!M312</f>
        <v>8</v>
      </c>
      <c r="Z312" s="47">
        <f>'Detailed Results'!N312</f>
        <v>5</v>
      </c>
      <c r="AA312" s="48">
        <f t="shared" si="54"/>
        <v>0.625</v>
      </c>
      <c r="AB312" s="48">
        <f t="shared" si="59"/>
        <v>0.38461538461538464</v>
      </c>
      <c r="AC312" s="48">
        <f t="shared" si="55"/>
        <v>0.47619047619047622</v>
      </c>
    </row>
    <row r="313" spans="1:29" ht="15" customHeight="1" thickBot="1" x14ac:dyDescent="0.4">
      <c r="A313" s="185"/>
      <c r="B313" s="16" t="s">
        <v>22</v>
      </c>
      <c r="C313" s="17" t="s">
        <v>16</v>
      </c>
      <c r="D313" s="17">
        <v>1</v>
      </c>
      <c r="E313" s="16" t="s">
        <v>109</v>
      </c>
      <c r="F313" s="40">
        <f>'GT Input'!C9</f>
        <v>9</v>
      </c>
      <c r="G313" s="40">
        <f>'GT Input'!D9</f>
        <v>13</v>
      </c>
      <c r="H313" s="40">
        <f>'GT Input'!E9</f>
        <v>9</v>
      </c>
      <c r="I313" s="40">
        <f>'GT Input'!F9</f>
        <v>13</v>
      </c>
      <c r="J313" s="41">
        <f>'Detailed Results'!G313</f>
        <v>5</v>
      </c>
      <c r="K313" s="41">
        <f>'Detailed Results'!H313</f>
        <v>5</v>
      </c>
      <c r="L313" s="42">
        <f t="shared" si="48"/>
        <v>1</v>
      </c>
      <c r="M313" s="42">
        <f>IFERROR(K313/F313,"")</f>
        <v>0.55555555555555558</v>
      </c>
      <c r="N313" s="42">
        <f t="shared" si="49"/>
        <v>0.7142857142857143</v>
      </c>
      <c r="O313" s="43">
        <f>'Detailed Results'!I313</f>
        <v>8</v>
      </c>
      <c r="P313" s="43">
        <f>'Detailed Results'!J313</f>
        <v>8</v>
      </c>
      <c r="Q313" s="44">
        <f t="shared" si="50"/>
        <v>1</v>
      </c>
      <c r="R313" s="44">
        <f t="shared" si="57"/>
        <v>0.61538461538461542</v>
      </c>
      <c r="S313" s="44">
        <f t="shared" si="51"/>
        <v>0.76190476190476197</v>
      </c>
      <c r="T313" s="45">
        <f>'Detailed Results'!K313</f>
        <v>5</v>
      </c>
      <c r="U313" s="45">
        <f>'Detailed Results'!L313</f>
        <v>3</v>
      </c>
      <c r="V313" s="46">
        <f t="shared" si="52"/>
        <v>0.6</v>
      </c>
      <c r="W313" s="46">
        <f t="shared" si="58"/>
        <v>0.33333333333333331</v>
      </c>
      <c r="X313" s="46">
        <f t="shared" si="53"/>
        <v>0.42857142857142855</v>
      </c>
      <c r="Y313" s="47">
        <f>'Detailed Results'!M313</f>
        <v>8</v>
      </c>
      <c r="Z313" s="47">
        <f>'Detailed Results'!N313</f>
        <v>5</v>
      </c>
      <c r="AA313" s="48">
        <f t="shared" si="54"/>
        <v>0.625</v>
      </c>
      <c r="AB313" s="48">
        <f t="shared" si="59"/>
        <v>0.38461538461538464</v>
      </c>
      <c r="AC313" s="48">
        <f t="shared" si="55"/>
        <v>0.47619047619047622</v>
      </c>
    </row>
    <row r="314" spans="1:29" ht="15" customHeight="1" thickBot="1" x14ac:dyDescent="0.4">
      <c r="A314" s="185"/>
      <c r="B314" s="18" t="s">
        <v>22</v>
      </c>
      <c r="C314" s="19" t="s">
        <v>16</v>
      </c>
      <c r="D314" s="19">
        <v>2</v>
      </c>
      <c r="E314" s="18" t="s">
        <v>17</v>
      </c>
      <c r="F314" s="40">
        <f>'GT Input'!C9</f>
        <v>9</v>
      </c>
      <c r="G314" s="40">
        <f>'GT Input'!D9</f>
        <v>13</v>
      </c>
      <c r="H314" s="40">
        <f>'GT Input'!E9</f>
        <v>9</v>
      </c>
      <c r="I314" s="40">
        <f>'GT Input'!F9</f>
        <v>13</v>
      </c>
      <c r="J314" s="41">
        <f>'Detailed Results'!G314</f>
        <v>5</v>
      </c>
      <c r="K314" s="41">
        <f>'Detailed Results'!H314</f>
        <v>5</v>
      </c>
      <c r="L314" s="42">
        <f t="shared" si="48"/>
        <v>1</v>
      </c>
      <c r="M314" s="42">
        <f t="shared" si="56"/>
        <v>0.55555555555555558</v>
      </c>
      <c r="N314" s="42">
        <f t="shared" si="49"/>
        <v>0.7142857142857143</v>
      </c>
      <c r="O314" s="43">
        <f>'Detailed Results'!I314</f>
        <v>8</v>
      </c>
      <c r="P314" s="43">
        <f>'Detailed Results'!J314</f>
        <v>8</v>
      </c>
      <c r="Q314" s="44">
        <f t="shared" si="50"/>
        <v>1</v>
      </c>
      <c r="R314" s="44">
        <f t="shared" si="57"/>
        <v>0.61538461538461542</v>
      </c>
      <c r="S314" s="44">
        <f t="shared" si="51"/>
        <v>0.76190476190476197</v>
      </c>
      <c r="T314" s="45">
        <f>'Detailed Results'!K314</f>
        <v>5</v>
      </c>
      <c r="U314" s="45">
        <f>'Detailed Results'!L314</f>
        <v>3</v>
      </c>
      <c r="V314" s="46">
        <f t="shared" si="52"/>
        <v>0.6</v>
      </c>
      <c r="W314" s="46">
        <f t="shared" si="58"/>
        <v>0.33333333333333331</v>
      </c>
      <c r="X314" s="46">
        <f t="shared" si="53"/>
        <v>0.42857142857142855</v>
      </c>
      <c r="Y314" s="47">
        <f>'Detailed Results'!M314</f>
        <v>8</v>
      </c>
      <c r="Z314" s="47">
        <f>'Detailed Results'!N314</f>
        <v>5</v>
      </c>
      <c r="AA314" s="48">
        <f t="shared" si="54"/>
        <v>0.625</v>
      </c>
      <c r="AB314" s="48">
        <f t="shared" si="59"/>
        <v>0.38461538461538464</v>
      </c>
      <c r="AC314" s="48">
        <f t="shared" si="55"/>
        <v>0.47619047619047622</v>
      </c>
    </row>
    <row r="315" spans="1:29" ht="15" customHeight="1" thickBot="1" x14ac:dyDescent="0.4">
      <c r="A315" s="185"/>
      <c r="B315" s="18" t="s">
        <v>22</v>
      </c>
      <c r="C315" s="19" t="s">
        <v>16</v>
      </c>
      <c r="D315" s="19">
        <v>2</v>
      </c>
      <c r="E315" s="18" t="s">
        <v>109</v>
      </c>
      <c r="F315" s="40">
        <f>'GT Input'!C9</f>
        <v>9</v>
      </c>
      <c r="G315" s="40">
        <f>'GT Input'!D9</f>
        <v>13</v>
      </c>
      <c r="H315" s="40">
        <f>'GT Input'!E9</f>
        <v>9</v>
      </c>
      <c r="I315" s="40">
        <f>'GT Input'!F9</f>
        <v>13</v>
      </c>
      <c r="J315" s="41">
        <f>'Detailed Results'!G315</f>
        <v>5</v>
      </c>
      <c r="K315" s="41">
        <f>'Detailed Results'!H315</f>
        <v>5</v>
      </c>
      <c r="L315" s="42">
        <f t="shared" si="48"/>
        <v>1</v>
      </c>
      <c r="M315" s="42">
        <f t="shared" si="56"/>
        <v>0.55555555555555558</v>
      </c>
      <c r="N315" s="42">
        <f t="shared" si="49"/>
        <v>0.7142857142857143</v>
      </c>
      <c r="O315" s="43">
        <f>'Detailed Results'!I315</f>
        <v>8</v>
      </c>
      <c r="P315" s="43">
        <f>'Detailed Results'!J315</f>
        <v>8</v>
      </c>
      <c r="Q315" s="44">
        <f t="shared" si="50"/>
        <v>1</v>
      </c>
      <c r="R315" s="44">
        <f t="shared" si="57"/>
        <v>0.61538461538461542</v>
      </c>
      <c r="S315" s="44">
        <f t="shared" si="51"/>
        <v>0.76190476190476197</v>
      </c>
      <c r="T315" s="45">
        <f>'Detailed Results'!K315</f>
        <v>5</v>
      </c>
      <c r="U315" s="45">
        <f>'Detailed Results'!L315</f>
        <v>3</v>
      </c>
      <c r="V315" s="46">
        <f t="shared" si="52"/>
        <v>0.6</v>
      </c>
      <c r="W315" s="46">
        <f t="shared" si="58"/>
        <v>0.33333333333333331</v>
      </c>
      <c r="X315" s="46">
        <f t="shared" si="53"/>
        <v>0.42857142857142855</v>
      </c>
      <c r="Y315" s="47">
        <f>'Detailed Results'!M315</f>
        <v>8</v>
      </c>
      <c r="Z315" s="47">
        <f>'Detailed Results'!N315</f>
        <v>5</v>
      </c>
      <c r="AA315" s="48">
        <f t="shared" si="54"/>
        <v>0.625</v>
      </c>
      <c r="AB315" s="48">
        <f t="shared" si="59"/>
        <v>0.38461538461538464</v>
      </c>
      <c r="AC315" s="48">
        <f t="shared" si="55"/>
        <v>0.47619047619047622</v>
      </c>
    </row>
    <row r="316" spans="1:29" ht="15" customHeight="1" thickBot="1" x14ac:dyDescent="0.4">
      <c r="A316" s="185"/>
      <c r="B316" s="16" t="s">
        <v>22</v>
      </c>
      <c r="C316" s="17" t="s">
        <v>16</v>
      </c>
      <c r="D316" s="17">
        <v>3</v>
      </c>
      <c r="E316" s="16" t="s">
        <v>17</v>
      </c>
      <c r="F316" s="40">
        <f>'GT Input'!C9</f>
        <v>9</v>
      </c>
      <c r="G316" s="40">
        <f>'GT Input'!D9</f>
        <v>13</v>
      </c>
      <c r="H316" s="40">
        <f>'GT Input'!E9</f>
        <v>9</v>
      </c>
      <c r="I316" s="40">
        <f>'GT Input'!F9</f>
        <v>13</v>
      </c>
      <c r="J316" s="41">
        <f>'Detailed Results'!G316</f>
        <v>5</v>
      </c>
      <c r="K316" s="41">
        <f>'Detailed Results'!H316</f>
        <v>5</v>
      </c>
      <c r="L316" s="42">
        <f t="shared" si="48"/>
        <v>1</v>
      </c>
      <c r="M316" s="42">
        <f t="shared" si="56"/>
        <v>0.55555555555555558</v>
      </c>
      <c r="N316" s="42">
        <f t="shared" si="49"/>
        <v>0.7142857142857143</v>
      </c>
      <c r="O316" s="43">
        <f>'Detailed Results'!I316</f>
        <v>8</v>
      </c>
      <c r="P316" s="43">
        <f>'Detailed Results'!J316</f>
        <v>8</v>
      </c>
      <c r="Q316" s="44">
        <f t="shared" si="50"/>
        <v>1</v>
      </c>
      <c r="R316" s="44">
        <f t="shared" si="57"/>
        <v>0.61538461538461542</v>
      </c>
      <c r="S316" s="44">
        <f t="shared" si="51"/>
        <v>0.76190476190476197</v>
      </c>
      <c r="T316" s="45">
        <f>'Detailed Results'!K316</f>
        <v>5</v>
      </c>
      <c r="U316" s="45">
        <f>'Detailed Results'!L316</f>
        <v>3</v>
      </c>
      <c r="V316" s="46">
        <f t="shared" si="52"/>
        <v>0.6</v>
      </c>
      <c r="W316" s="46">
        <f t="shared" si="58"/>
        <v>0.33333333333333331</v>
      </c>
      <c r="X316" s="46">
        <f t="shared" si="53"/>
        <v>0.42857142857142855</v>
      </c>
      <c r="Y316" s="47">
        <f>'Detailed Results'!M316</f>
        <v>8</v>
      </c>
      <c r="Z316" s="47">
        <f>'Detailed Results'!N316</f>
        <v>5</v>
      </c>
      <c r="AA316" s="48">
        <f t="shared" si="54"/>
        <v>0.625</v>
      </c>
      <c r="AB316" s="48">
        <f t="shared" si="59"/>
        <v>0.38461538461538464</v>
      </c>
      <c r="AC316" s="48">
        <f t="shared" si="55"/>
        <v>0.47619047619047622</v>
      </c>
    </row>
    <row r="317" spans="1:29" ht="15" customHeight="1" thickBot="1" x14ac:dyDescent="0.4">
      <c r="A317" s="185"/>
      <c r="B317" s="16" t="s">
        <v>22</v>
      </c>
      <c r="C317" s="17" t="s">
        <v>16</v>
      </c>
      <c r="D317" s="17">
        <v>3</v>
      </c>
      <c r="E317" s="16" t="s">
        <v>109</v>
      </c>
      <c r="F317" s="40">
        <f>'GT Input'!C9</f>
        <v>9</v>
      </c>
      <c r="G317" s="40">
        <f>'GT Input'!D9</f>
        <v>13</v>
      </c>
      <c r="H317" s="40">
        <f>'GT Input'!E9</f>
        <v>9</v>
      </c>
      <c r="I317" s="40">
        <f>'GT Input'!F9</f>
        <v>13</v>
      </c>
      <c r="J317" s="41">
        <f>'Detailed Results'!G317</f>
        <v>5</v>
      </c>
      <c r="K317" s="41">
        <f>'Detailed Results'!H317</f>
        <v>5</v>
      </c>
      <c r="L317" s="42">
        <f t="shared" si="48"/>
        <v>1</v>
      </c>
      <c r="M317" s="42">
        <f t="shared" si="56"/>
        <v>0.55555555555555558</v>
      </c>
      <c r="N317" s="42">
        <f t="shared" si="49"/>
        <v>0.7142857142857143</v>
      </c>
      <c r="O317" s="43">
        <f>'Detailed Results'!I317</f>
        <v>8</v>
      </c>
      <c r="P317" s="43">
        <f>'Detailed Results'!J317</f>
        <v>8</v>
      </c>
      <c r="Q317" s="44">
        <f t="shared" si="50"/>
        <v>1</v>
      </c>
      <c r="R317" s="44">
        <f t="shared" si="57"/>
        <v>0.61538461538461542</v>
      </c>
      <c r="S317" s="44">
        <f t="shared" si="51"/>
        <v>0.76190476190476197</v>
      </c>
      <c r="T317" s="45">
        <f>'Detailed Results'!K317</f>
        <v>5</v>
      </c>
      <c r="U317" s="45">
        <f>'Detailed Results'!L317</f>
        <v>3</v>
      </c>
      <c r="V317" s="46">
        <f t="shared" si="52"/>
        <v>0.6</v>
      </c>
      <c r="W317" s="46">
        <f t="shared" si="58"/>
        <v>0.33333333333333331</v>
      </c>
      <c r="X317" s="46">
        <f t="shared" si="53"/>
        <v>0.42857142857142855</v>
      </c>
      <c r="Y317" s="47">
        <f>'Detailed Results'!M317</f>
        <v>8</v>
      </c>
      <c r="Z317" s="47">
        <f>'Detailed Results'!N317</f>
        <v>5</v>
      </c>
      <c r="AA317" s="48">
        <f t="shared" si="54"/>
        <v>0.625</v>
      </c>
      <c r="AB317" s="48">
        <f t="shared" si="59"/>
        <v>0.38461538461538464</v>
      </c>
      <c r="AC317" s="48">
        <f t="shared" si="55"/>
        <v>0.47619047619047622</v>
      </c>
    </row>
    <row r="318" spans="1:29" ht="15" customHeight="1" thickBot="1" x14ac:dyDescent="0.4">
      <c r="A318" s="185"/>
      <c r="B318" s="18" t="s">
        <v>22</v>
      </c>
      <c r="C318" s="19" t="s">
        <v>19</v>
      </c>
      <c r="D318" s="19">
        <v>1</v>
      </c>
      <c r="E318" s="18" t="s">
        <v>17</v>
      </c>
      <c r="F318" s="40">
        <f>'GT Input'!C9</f>
        <v>9</v>
      </c>
      <c r="G318" s="40">
        <f>'GT Input'!D9</f>
        <v>13</v>
      </c>
      <c r="H318" s="40">
        <f>'GT Input'!E9</f>
        <v>9</v>
      </c>
      <c r="I318" s="40">
        <f>'GT Input'!F9</f>
        <v>13</v>
      </c>
      <c r="J318" s="41">
        <f>'Detailed Results'!G318</f>
        <v>5</v>
      </c>
      <c r="K318" s="41">
        <f>'Detailed Results'!H318</f>
        <v>5</v>
      </c>
      <c r="L318" s="42">
        <f t="shared" si="48"/>
        <v>1</v>
      </c>
      <c r="M318" s="42">
        <f t="shared" si="56"/>
        <v>0.55555555555555558</v>
      </c>
      <c r="N318" s="42">
        <f t="shared" si="49"/>
        <v>0.7142857142857143</v>
      </c>
      <c r="O318" s="43">
        <f>'Detailed Results'!I318</f>
        <v>8</v>
      </c>
      <c r="P318" s="43">
        <f>'Detailed Results'!J318</f>
        <v>8</v>
      </c>
      <c r="Q318" s="44">
        <f t="shared" si="50"/>
        <v>1</v>
      </c>
      <c r="R318" s="44">
        <f t="shared" si="57"/>
        <v>0.61538461538461542</v>
      </c>
      <c r="S318" s="44">
        <f t="shared" si="51"/>
        <v>0.76190476190476197</v>
      </c>
      <c r="T318" s="45">
        <f>'Detailed Results'!K318</f>
        <v>5</v>
      </c>
      <c r="U318" s="45">
        <f>'Detailed Results'!L318</f>
        <v>3</v>
      </c>
      <c r="V318" s="46">
        <f t="shared" si="52"/>
        <v>0.6</v>
      </c>
      <c r="W318" s="46">
        <f t="shared" si="58"/>
        <v>0.33333333333333331</v>
      </c>
      <c r="X318" s="46">
        <f t="shared" si="53"/>
        <v>0.42857142857142855</v>
      </c>
      <c r="Y318" s="47">
        <f>'Detailed Results'!M318</f>
        <v>8</v>
      </c>
      <c r="Z318" s="47">
        <f>'Detailed Results'!N318</f>
        <v>5</v>
      </c>
      <c r="AA318" s="48">
        <f t="shared" si="54"/>
        <v>0.625</v>
      </c>
      <c r="AB318" s="48">
        <f t="shared" si="59"/>
        <v>0.38461538461538464</v>
      </c>
      <c r="AC318" s="48">
        <f t="shared" si="55"/>
        <v>0.47619047619047622</v>
      </c>
    </row>
    <row r="319" spans="1:29" ht="15" customHeight="1" thickBot="1" x14ac:dyDescent="0.4">
      <c r="A319" s="185"/>
      <c r="B319" s="18" t="s">
        <v>22</v>
      </c>
      <c r="C319" s="19" t="s">
        <v>19</v>
      </c>
      <c r="D319" s="19">
        <v>1</v>
      </c>
      <c r="E319" s="18" t="s">
        <v>109</v>
      </c>
      <c r="F319" s="40">
        <f>'GT Input'!C9</f>
        <v>9</v>
      </c>
      <c r="G319" s="40">
        <f>'GT Input'!D9</f>
        <v>13</v>
      </c>
      <c r="H319" s="40">
        <f>'GT Input'!E9</f>
        <v>9</v>
      </c>
      <c r="I319" s="40">
        <f>'GT Input'!F9</f>
        <v>13</v>
      </c>
      <c r="J319" s="41">
        <f>'Detailed Results'!G319</f>
        <v>5</v>
      </c>
      <c r="K319" s="41">
        <f>'Detailed Results'!H319</f>
        <v>5</v>
      </c>
      <c r="L319" s="42">
        <f t="shared" si="48"/>
        <v>1</v>
      </c>
      <c r="M319" s="42">
        <f t="shared" si="56"/>
        <v>0.55555555555555558</v>
      </c>
      <c r="N319" s="42">
        <f t="shared" si="49"/>
        <v>0.7142857142857143</v>
      </c>
      <c r="O319" s="43">
        <f>'Detailed Results'!I319</f>
        <v>8</v>
      </c>
      <c r="P319" s="43">
        <f>'Detailed Results'!J319</f>
        <v>8</v>
      </c>
      <c r="Q319" s="44">
        <f t="shared" si="50"/>
        <v>1</v>
      </c>
      <c r="R319" s="44">
        <f t="shared" si="57"/>
        <v>0.61538461538461542</v>
      </c>
      <c r="S319" s="44">
        <f t="shared" si="51"/>
        <v>0.76190476190476197</v>
      </c>
      <c r="T319" s="45">
        <f>'Detailed Results'!K319</f>
        <v>5</v>
      </c>
      <c r="U319" s="45">
        <f>'Detailed Results'!L319</f>
        <v>3</v>
      </c>
      <c r="V319" s="46">
        <f t="shared" si="52"/>
        <v>0.6</v>
      </c>
      <c r="W319" s="46">
        <f t="shared" si="58"/>
        <v>0.33333333333333331</v>
      </c>
      <c r="X319" s="46">
        <f t="shared" si="53"/>
        <v>0.42857142857142855</v>
      </c>
      <c r="Y319" s="47">
        <f>'Detailed Results'!M319</f>
        <v>8</v>
      </c>
      <c r="Z319" s="47">
        <f>'Detailed Results'!N319</f>
        <v>5</v>
      </c>
      <c r="AA319" s="48">
        <f t="shared" si="54"/>
        <v>0.625</v>
      </c>
      <c r="AB319" s="48">
        <f t="shared" si="59"/>
        <v>0.38461538461538464</v>
      </c>
      <c r="AC319" s="48">
        <f t="shared" si="55"/>
        <v>0.47619047619047622</v>
      </c>
    </row>
    <row r="320" spans="1:29" ht="15" customHeight="1" thickBot="1" x14ac:dyDescent="0.4">
      <c r="A320" s="185"/>
      <c r="B320" s="16" t="s">
        <v>22</v>
      </c>
      <c r="C320" s="17" t="s">
        <v>19</v>
      </c>
      <c r="D320" s="17">
        <v>2</v>
      </c>
      <c r="E320" s="16" t="s">
        <v>17</v>
      </c>
      <c r="F320" s="40">
        <f>'GT Input'!C9</f>
        <v>9</v>
      </c>
      <c r="G320" s="40">
        <f>'GT Input'!D9</f>
        <v>13</v>
      </c>
      <c r="H320" s="40">
        <f>'GT Input'!E9</f>
        <v>9</v>
      </c>
      <c r="I320" s="40">
        <f>'GT Input'!F9</f>
        <v>13</v>
      </c>
      <c r="J320" s="41">
        <f>'Detailed Results'!G320</f>
        <v>5</v>
      </c>
      <c r="K320" s="41">
        <f>'Detailed Results'!H320</f>
        <v>5</v>
      </c>
      <c r="L320" s="42">
        <f t="shared" si="48"/>
        <v>1</v>
      </c>
      <c r="M320" s="42">
        <f t="shared" si="56"/>
        <v>0.55555555555555558</v>
      </c>
      <c r="N320" s="42">
        <f t="shared" si="49"/>
        <v>0.7142857142857143</v>
      </c>
      <c r="O320" s="43">
        <f>'Detailed Results'!I320</f>
        <v>8</v>
      </c>
      <c r="P320" s="43">
        <f>'Detailed Results'!J320</f>
        <v>8</v>
      </c>
      <c r="Q320" s="44">
        <f t="shared" si="50"/>
        <v>1</v>
      </c>
      <c r="R320" s="44">
        <f t="shared" si="57"/>
        <v>0.61538461538461542</v>
      </c>
      <c r="S320" s="44">
        <f t="shared" si="51"/>
        <v>0.76190476190476197</v>
      </c>
      <c r="T320" s="45">
        <f>'Detailed Results'!K320</f>
        <v>5</v>
      </c>
      <c r="U320" s="45">
        <f>'Detailed Results'!L320</f>
        <v>3</v>
      </c>
      <c r="V320" s="46">
        <f t="shared" si="52"/>
        <v>0.6</v>
      </c>
      <c r="W320" s="46">
        <f t="shared" si="58"/>
        <v>0.33333333333333331</v>
      </c>
      <c r="X320" s="46">
        <f t="shared" si="53"/>
        <v>0.42857142857142855</v>
      </c>
      <c r="Y320" s="47">
        <f>'Detailed Results'!M320</f>
        <v>8</v>
      </c>
      <c r="Z320" s="47">
        <f>'Detailed Results'!N320</f>
        <v>5</v>
      </c>
      <c r="AA320" s="48">
        <f t="shared" si="54"/>
        <v>0.625</v>
      </c>
      <c r="AB320" s="48">
        <f t="shared" si="59"/>
        <v>0.38461538461538464</v>
      </c>
      <c r="AC320" s="48">
        <f t="shared" si="55"/>
        <v>0.47619047619047622</v>
      </c>
    </row>
    <row r="321" spans="1:29" ht="15" customHeight="1" thickBot="1" x14ac:dyDescent="0.4">
      <c r="A321" s="185"/>
      <c r="B321" s="16" t="s">
        <v>22</v>
      </c>
      <c r="C321" s="17" t="s">
        <v>19</v>
      </c>
      <c r="D321" s="17">
        <v>2</v>
      </c>
      <c r="E321" s="16" t="s">
        <v>109</v>
      </c>
      <c r="F321" s="40">
        <f>'GT Input'!C9</f>
        <v>9</v>
      </c>
      <c r="G321" s="40">
        <f>'GT Input'!D9</f>
        <v>13</v>
      </c>
      <c r="H321" s="40">
        <f>'GT Input'!E9</f>
        <v>9</v>
      </c>
      <c r="I321" s="40">
        <f>'GT Input'!F9</f>
        <v>13</v>
      </c>
      <c r="J321" s="41">
        <f>'Detailed Results'!G321</f>
        <v>5</v>
      </c>
      <c r="K321" s="41">
        <f>'Detailed Results'!H321</f>
        <v>5</v>
      </c>
      <c r="L321" s="42">
        <f t="shared" si="48"/>
        <v>1</v>
      </c>
      <c r="M321" s="42">
        <f t="shared" si="56"/>
        <v>0.55555555555555558</v>
      </c>
      <c r="N321" s="42">
        <f t="shared" si="49"/>
        <v>0.7142857142857143</v>
      </c>
      <c r="O321" s="43">
        <f>'Detailed Results'!I321</f>
        <v>8</v>
      </c>
      <c r="P321" s="43">
        <f>'Detailed Results'!J321</f>
        <v>8</v>
      </c>
      <c r="Q321" s="44">
        <f t="shared" si="50"/>
        <v>1</v>
      </c>
      <c r="R321" s="44">
        <f t="shared" si="57"/>
        <v>0.61538461538461542</v>
      </c>
      <c r="S321" s="44">
        <f t="shared" si="51"/>
        <v>0.76190476190476197</v>
      </c>
      <c r="T321" s="45">
        <f>'Detailed Results'!K321</f>
        <v>5</v>
      </c>
      <c r="U321" s="45">
        <f>'Detailed Results'!L321</f>
        <v>3</v>
      </c>
      <c r="V321" s="46">
        <f t="shared" si="52"/>
        <v>0.6</v>
      </c>
      <c r="W321" s="46">
        <f t="shared" si="58"/>
        <v>0.33333333333333331</v>
      </c>
      <c r="X321" s="46">
        <f t="shared" si="53"/>
        <v>0.42857142857142855</v>
      </c>
      <c r="Y321" s="47">
        <f>'Detailed Results'!M321</f>
        <v>8</v>
      </c>
      <c r="Z321" s="47">
        <f>'Detailed Results'!N321</f>
        <v>5</v>
      </c>
      <c r="AA321" s="48">
        <f t="shared" si="54"/>
        <v>0.625</v>
      </c>
      <c r="AB321" s="48">
        <f t="shared" si="59"/>
        <v>0.38461538461538464</v>
      </c>
      <c r="AC321" s="48">
        <f t="shared" si="55"/>
        <v>0.47619047619047622</v>
      </c>
    </row>
    <row r="322" spans="1:29" ht="15" customHeight="1" thickBot="1" x14ac:dyDescent="0.4">
      <c r="A322" s="185"/>
      <c r="B322" s="18" t="s">
        <v>22</v>
      </c>
      <c r="C322" s="19" t="s">
        <v>19</v>
      </c>
      <c r="D322" s="19">
        <v>3</v>
      </c>
      <c r="E322" s="18" t="s">
        <v>17</v>
      </c>
      <c r="F322" s="40">
        <f>'GT Input'!C9</f>
        <v>9</v>
      </c>
      <c r="G322" s="40">
        <f>'GT Input'!D9</f>
        <v>13</v>
      </c>
      <c r="H322" s="40">
        <f>'GT Input'!E9</f>
        <v>9</v>
      </c>
      <c r="I322" s="40">
        <f>'GT Input'!F9</f>
        <v>13</v>
      </c>
      <c r="J322" s="41">
        <f>'Detailed Results'!G322</f>
        <v>5</v>
      </c>
      <c r="K322" s="41">
        <f>'Detailed Results'!H322</f>
        <v>5</v>
      </c>
      <c r="L322" s="42">
        <f t="shared" si="48"/>
        <v>1</v>
      </c>
      <c r="M322" s="42">
        <f t="shared" si="56"/>
        <v>0.55555555555555558</v>
      </c>
      <c r="N322" s="42">
        <f t="shared" si="49"/>
        <v>0.7142857142857143</v>
      </c>
      <c r="O322" s="43">
        <f>'Detailed Results'!I322</f>
        <v>8</v>
      </c>
      <c r="P322" s="43">
        <f>'Detailed Results'!J322</f>
        <v>8</v>
      </c>
      <c r="Q322" s="44">
        <f t="shared" si="50"/>
        <v>1</v>
      </c>
      <c r="R322" s="44">
        <f t="shared" si="57"/>
        <v>0.61538461538461542</v>
      </c>
      <c r="S322" s="44">
        <f t="shared" si="51"/>
        <v>0.76190476190476197</v>
      </c>
      <c r="T322" s="45">
        <f>'Detailed Results'!K322</f>
        <v>5</v>
      </c>
      <c r="U322" s="45">
        <f>'Detailed Results'!L322</f>
        <v>3</v>
      </c>
      <c r="V322" s="46">
        <f t="shared" si="52"/>
        <v>0.6</v>
      </c>
      <c r="W322" s="46">
        <f t="shared" si="58"/>
        <v>0.33333333333333331</v>
      </c>
      <c r="X322" s="46">
        <f t="shared" si="53"/>
        <v>0.42857142857142855</v>
      </c>
      <c r="Y322" s="47">
        <f>'Detailed Results'!M322</f>
        <v>8</v>
      </c>
      <c r="Z322" s="47">
        <f>'Detailed Results'!N322</f>
        <v>5</v>
      </c>
      <c r="AA322" s="48">
        <f t="shared" si="54"/>
        <v>0.625</v>
      </c>
      <c r="AB322" s="48">
        <f t="shared" si="59"/>
        <v>0.38461538461538464</v>
      </c>
      <c r="AC322" s="48">
        <f t="shared" si="55"/>
        <v>0.47619047619047622</v>
      </c>
    </row>
    <row r="323" spans="1:29" ht="15" customHeight="1" thickBot="1" x14ac:dyDescent="0.4">
      <c r="A323" s="185"/>
      <c r="B323" s="18" t="s">
        <v>22</v>
      </c>
      <c r="C323" s="19" t="s">
        <v>19</v>
      </c>
      <c r="D323" s="19">
        <v>3</v>
      </c>
      <c r="E323" s="18" t="s">
        <v>109</v>
      </c>
      <c r="F323" s="40">
        <f>'GT Input'!C9</f>
        <v>9</v>
      </c>
      <c r="G323" s="40">
        <f>'GT Input'!D9</f>
        <v>13</v>
      </c>
      <c r="H323" s="40">
        <f>'GT Input'!E9</f>
        <v>9</v>
      </c>
      <c r="I323" s="40">
        <f>'GT Input'!F9</f>
        <v>13</v>
      </c>
      <c r="J323" s="41">
        <f>'Detailed Results'!G323</f>
        <v>5</v>
      </c>
      <c r="K323" s="41">
        <f>'Detailed Results'!H323</f>
        <v>5</v>
      </c>
      <c r="L323" s="42">
        <f t="shared" si="48"/>
        <v>1</v>
      </c>
      <c r="M323" s="42">
        <f t="shared" si="56"/>
        <v>0.55555555555555558</v>
      </c>
      <c r="N323" s="42">
        <f t="shared" si="49"/>
        <v>0.7142857142857143</v>
      </c>
      <c r="O323" s="43">
        <f>'Detailed Results'!I323</f>
        <v>8</v>
      </c>
      <c r="P323" s="43">
        <f>'Detailed Results'!J323</f>
        <v>8</v>
      </c>
      <c r="Q323" s="44">
        <f t="shared" si="50"/>
        <v>1</v>
      </c>
      <c r="R323" s="44">
        <f t="shared" si="57"/>
        <v>0.61538461538461542</v>
      </c>
      <c r="S323" s="44">
        <f t="shared" si="51"/>
        <v>0.76190476190476197</v>
      </c>
      <c r="T323" s="45">
        <f>'Detailed Results'!K323</f>
        <v>5</v>
      </c>
      <c r="U323" s="45">
        <f>'Detailed Results'!L323</f>
        <v>3</v>
      </c>
      <c r="V323" s="46">
        <f t="shared" si="52"/>
        <v>0.6</v>
      </c>
      <c r="W323" s="46">
        <f t="shared" si="58"/>
        <v>0.33333333333333331</v>
      </c>
      <c r="X323" s="46">
        <f t="shared" si="53"/>
        <v>0.42857142857142855</v>
      </c>
      <c r="Y323" s="47">
        <f>'Detailed Results'!M323</f>
        <v>8</v>
      </c>
      <c r="Z323" s="47">
        <f>'Detailed Results'!N323</f>
        <v>5</v>
      </c>
      <c r="AA323" s="48">
        <f t="shared" si="54"/>
        <v>0.625</v>
      </c>
      <c r="AB323" s="48">
        <f t="shared" si="59"/>
        <v>0.38461538461538464</v>
      </c>
      <c r="AC323" s="48">
        <f t="shared" si="55"/>
        <v>0.47619047619047622</v>
      </c>
    </row>
    <row r="324" spans="1:29" ht="15" customHeight="1" thickBot="1" x14ac:dyDescent="0.4">
      <c r="A324" s="185"/>
      <c r="B324" s="16" t="s">
        <v>22</v>
      </c>
      <c r="C324" s="17" t="s">
        <v>20</v>
      </c>
      <c r="D324" s="17">
        <v>1</v>
      </c>
      <c r="E324" s="16" t="s">
        <v>17</v>
      </c>
      <c r="F324" s="40">
        <f>'GT Input'!C9</f>
        <v>9</v>
      </c>
      <c r="G324" s="40">
        <f>'GT Input'!D9</f>
        <v>13</v>
      </c>
      <c r="H324" s="40">
        <f>'GT Input'!E9</f>
        <v>9</v>
      </c>
      <c r="I324" s="40">
        <f>'GT Input'!F9</f>
        <v>13</v>
      </c>
      <c r="J324" s="41">
        <f>'Detailed Results'!G324</f>
        <v>5</v>
      </c>
      <c r="K324" s="41">
        <f>'Detailed Results'!H324</f>
        <v>5</v>
      </c>
      <c r="L324" s="42">
        <f t="shared" si="48"/>
        <v>1</v>
      </c>
      <c r="M324" s="42">
        <f t="shared" si="56"/>
        <v>0.55555555555555558</v>
      </c>
      <c r="N324" s="42">
        <f t="shared" si="49"/>
        <v>0.7142857142857143</v>
      </c>
      <c r="O324" s="43">
        <f>'Detailed Results'!I324</f>
        <v>8</v>
      </c>
      <c r="P324" s="43">
        <f>'Detailed Results'!J324</f>
        <v>8</v>
      </c>
      <c r="Q324" s="44">
        <f t="shared" si="50"/>
        <v>1</v>
      </c>
      <c r="R324" s="44">
        <f t="shared" si="57"/>
        <v>0.61538461538461542</v>
      </c>
      <c r="S324" s="44">
        <f t="shared" si="51"/>
        <v>0.76190476190476197</v>
      </c>
      <c r="T324" s="45">
        <f>'Detailed Results'!K324</f>
        <v>5</v>
      </c>
      <c r="U324" s="45">
        <f>'Detailed Results'!L324</f>
        <v>3</v>
      </c>
      <c r="V324" s="46">
        <f t="shared" si="52"/>
        <v>0.6</v>
      </c>
      <c r="W324" s="46">
        <f t="shared" si="58"/>
        <v>0.33333333333333331</v>
      </c>
      <c r="X324" s="46">
        <f t="shared" si="53"/>
        <v>0.42857142857142855</v>
      </c>
      <c r="Y324" s="47">
        <f>'Detailed Results'!M324</f>
        <v>8</v>
      </c>
      <c r="Z324" s="47">
        <f>'Detailed Results'!N324</f>
        <v>5</v>
      </c>
      <c r="AA324" s="48">
        <f t="shared" si="54"/>
        <v>0.625</v>
      </c>
      <c r="AB324" s="48">
        <f t="shared" si="59"/>
        <v>0.38461538461538464</v>
      </c>
      <c r="AC324" s="48">
        <f t="shared" si="55"/>
        <v>0.47619047619047622</v>
      </c>
    </row>
    <row r="325" spans="1:29" ht="15" customHeight="1" thickBot="1" x14ac:dyDescent="0.4">
      <c r="A325" s="185"/>
      <c r="B325" s="16" t="s">
        <v>22</v>
      </c>
      <c r="C325" s="17" t="s">
        <v>20</v>
      </c>
      <c r="D325" s="17">
        <v>1</v>
      </c>
      <c r="E325" s="16" t="s">
        <v>109</v>
      </c>
      <c r="F325" s="40">
        <f>'GT Input'!C9</f>
        <v>9</v>
      </c>
      <c r="G325" s="40">
        <f>'GT Input'!D9</f>
        <v>13</v>
      </c>
      <c r="H325" s="40">
        <f>'GT Input'!E9</f>
        <v>9</v>
      </c>
      <c r="I325" s="40">
        <f>'GT Input'!F9</f>
        <v>13</v>
      </c>
      <c r="J325" s="41">
        <f>'Detailed Results'!G325</f>
        <v>5</v>
      </c>
      <c r="K325" s="41">
        <f>'Detailed Results'!H325</f>
        <v>5</v>
      </c>
      <c r="L325" s="42">
        <f t="shared" si="48"/>
        <v>1</v>
      </c>
      <c r="M325" s="42">
        <f t="shared" si="56"/>
        <v>0.55555555555555558</v>
      </c>
      <c r="N325" s="42">
        <f t="shared" si="49"/>
        <v>0.7142857142857143</v>
      </c>
      <c r="O325" s="43">
        <f>'Detailed Results'!I325</f>
        <v>8</v>
      </c>
      <c r="P325" s="43">
        <f>'Detailed Results'!J325</f>
        <v>8</v>
      </c>
      <c r="Q325" s="44">
        <f t="shared" si="50"/>
        <v>1</v>
      </c>
      <c r="R325" s="44">
        <f t="shared" si="57"/>
        <v>0.61538461538461542</v>
      </c>
      <c r="S325" s="44">
        <f t="shared" si="51"/>
        <v>0.76190476190476197</v>
      </c>
      <c r="T325" s="45">
        <f>'Detailed Results'!K325</f>
        <v>5</v>
      </c>
      <c r="U325" s="45">
        <f>'Detailed Results'!L325</f>
        <v>3</v>
      </c>
      <c r="V325" s="46">
        <f t="shared" si="52"/>
        <v>0.6</v>
      </c>
      <c r="W325" s="46">
        <f t="shared" si="58"/>
        <v>0.33333333333333331</v>
      </c>
      <c r="X325" s="46">
        <f t="shared" si="53"/>
        <v>0.42857142857142855</v>
      </c>
      <c r="Y325" s="47">
        <f>'Detailed Results'!M325</f>
        <v>8</v>
      </c>
      <c r="Z325" s="47">
        <f>'Detailed Results'!N325</f>
        <v>5</v>
      </c>
      <c r="AA325" s="48">
        <f t="shared" si="54"/>
        <v>0.625</v>
      </c>
      <c r="AB325" s="48">
        <f t="shared" si="59"/>
        <v>0.38461538461538464</v>
      </c>
      <c r="AC325" s="48">
        <f t="shared" si="55"/>
        <v>0.47619047619047622</v>
      </c>
    </row>
    <row r="326" spans="1:29" ht="15" customHeight="1" thickBot="1" x14ac:dyDescent="0.4">
      <c r="A326" s="185"/>
      <c r="B326" s="18" t="s">
        <v>22</v>
      </c>
      <c r="C326" s="19" t="s">
        <v>20</v>
      </c>
      <c r="D326" s="19">
        <v>2</v>
      </c>
      <c r="E326" s="18" t="s">
        <v>17</v>
      </c>
      <c r="F326" s="40">
        <f>'GT Input'!C9</f>
        <v>9</v>
      </c>
      <c r="G326" s="40">
        <f>'GT Input'!D9</f>
        <v>13</v>
      </c>
      <c r="H326" s="40">
        <f>'GT Input'!E9</f>
        <v>9</v>
      </c>
      <c r="I326" s="40">
        <f>'GT Input'!F9</f>
        <v>13</v>
      </c>
      <c r="J326" s="41">
        <f>'Detailed Results'!G326</f>
        <v>5</v>
      </c>
      <c r="K326" s="41">
        <f>'Detailed Results'!H326</f>
        <v>5</v>
      </c>
      <c r="L326" s="42">
        <f t="shared" ref="L326:L389" si="60">IFERROR(K326/J326,"")</f>
        <v>1</v>
      </c>
      <c r="M326" s="42">
        <f t="shared" si="56"/>
        <v>0.55555555555555558</v>
      </c>
      <c r="N326" s="42">
        <f t="shared" ref="N326:N389" si="61">IFERROR(2*L326*M326/(L326+M326),"")</f>
        <v>0.7142857142857143</v>
      </c>
      <c r="O326" s="43">
        <f>'Detailed Results'!I326</f>
        <v>8</v>
      </c>
      <c r="P326" s="43">
        <f>'Detailed Results'!J326</f>
        <v>8</v>
      </c>
      <c r="Q326" s="44">
        <f t="shared" ref="Q326:Q389" si="62">IFERROR(P326/O326,"")</f>
        <v>1</v>
      </c>
      <c r="R326" s="44">
        <f t="shared" si="57"/>
        <v>0.61538461538461542</v>
      </c>
      <c r="S326" s="44">
        <f t="shared" ref="S326:S389" si="63">IFERROR(2*Q326*R326/(Q326+R326),"")</f>
        <v>0.76190476190476197</v>
      </c>
      <c r="T326" s="45">
        <f>'Detailed Results'!K326</f>
        <v>5</v>
      </c>
      <c r="U326" s="45">
        <f>'Detailed Results'!L326</f>
        <v>3</v>
      </c>
      <c r="V326" s="46">
        <f t="shared" ref="V326:V389" si="64">IFERROR(U326/T326,"")</f>
        <v>0.6</v>
      </c>
      <c r="W326" s="46">
        <f t="shared" si="58"/>
        <v>0.33333333333333331</v>
      </c>
      <c r="X326" s="46">
        <f t="shared" ref="X326:X389" si="65">IFERROR(2*V326*W326/(V326+W326),"")</f>
        <v>0.42857142857142855</v>
      </c>
      <c r="Y326" s="47">
        <f>'Detailed Results'!M326</f>
        <v>8</v>
      </c>
      <c r="Z326" s="47">
        <f>'Detailed Results'!N326</f>
        <v>5</v>
      </c>
      <c r="AA326" s="48">
        <f t="shared" ref="AA326:AA389" si="66">IFERROR(Z326/Y326,"")</f>
        <v>0.625</v>
      </c>
      <c r="AB326" s="48">
        <f t="shared" si="59"/>
        <v>0.38461538461538464</v>
      </c>
      <c r="AC326" s="48">
        <f t="shared" ref="AC326:AC389" si="67">IFERROR(2*AA326*AB326/(AA326+AB326),"")</f>
        <v>0.47619047619047622</v>
      </c>
    </row>
    <row r="327" spans="1:29" ht="15" customHeight="1" thickBot="1" x14ac:dyDescent="0.4">
      <c r="A327" s="185"/>
      <c r="B327" s="18" t="s">
        <v>22</v>
      </c>
      <c r="C327" s="19" t="s">
        <v>20</v>
      </c>
      <c r="D327" s="19">
        <v>2</v>
      </c>
      <c r="E327" s="18" t="s">
        <v>109</v>
      </c>
      <c r="F327" s="40">
        <f>'GT Input'!C9</f>
        <v>9</v>
      </c>
      <c r="G327" s="40">
        <f>'GT Input'!D9</f>
        <v>13</v>
      </c>
      <c r="H327" s="40">
        <f>'GT Input'!E9</f>
        <v>9</v>
      </c>
      <c r="I327" s="40">
        <f>'GT Input'!F9</f>
        <v>13</v>
      </c>
      <c r="J327" s="41">
        <f>'Detailed Results'!G327</f>
        <v>5</v>
      </c>
      <c r="K327" s="41">
        <f>'Detailed Results'!H327</f>
        <v>5</v>
      </c>
      <c r="L327" s="42">
        <f t="shared" si="60"/>
        <v>1</v>
      </c>
      <c r="M327" s="42">
        <f t="shared" ref="M327:M390" si="68">IFERROR(K327/F327,"")</f>
        <v>0.55555555555555558</v>
      </c>
      <c r="N327" s="42">
        <f t="shared" si="61"/>
        <v>0.7142857142857143</v>
      </c>
      <c r="O327" s="43">
        <f>'Detailed Results'!I327</f>
        <v>8</v>
      </c>
      <c r="P327" s="43">
        <f>'Detailed Results'!J327</f>
        <v>8</v>
      </c>
      <c r="Q327" s="44">
        <f t="shared" si="62"/>
        <v>1</v>
      </c>
      <c r="R327" s="44">
        <f t="shared" ref="R327:R390" si="69">IFERROR(P327/G327,"")</f>
        <v>0.61538461538461542</v>
      </c>
      <c r="S327" s="44">
        <f t="shared" si="63"/>
        <v>0.76190476190476197</v>
      </c>
      <c r="T327" s="45">
        <f>'Detailed Results'!K327</f>
        <v>5</v>
      </c>
      <c r="U327" s="45">
        <f>'Detailed Results'!L327</f>
        <v>3</v>
      </c>
      <c r="V327" s="46">
        <f t="shared" si="64"/>
        <v>0.6</v>
      </c>
      <c r="W327" s="46">
        <f t="shared" ref="W327:W390" si="70">IFERROR(U327/H327,"")</f>
        <v>0.33333333333333331</v>
      </c>
      <c r="X327" s="46">
        <f t="shared" si="65"/>
        <v>0.42857142857142855</v>
      </c>
      <c r="Y327" s="47">
        <f>'Detailed Results'!M327</f>
        <v>8</v>
      </c>
      <c r="Z327" s="47">
        <f>'Detailed Results'!N327</f>
        <v>5</v>
      </c>
      <c r="AA327" s="48">
        <f t="shared" si="66"/>
        <v>0.625</v>
      </c>
      <c r="AB327" s="48">
        <f t="shared" ref="AB327:AB390" si="71">IFERROR(Z327/I327,"")</f>
        <v>0.38461538461538464</v>
      </c>
      <c r="AC327" s="48">
        <f t="shared" si="67"/>
        <v>0.47619047619047622</v>
      </c>
    </row>
    <row r="328" spans="1:29" ht="15" customHeight="1" thickBot="1" x14ac:dyDescent="0.4">
      <c r="A328" s="185"/>
      <c r="B328" s="16" t="s">
        <v>22</v>
      </c>
      <c r="C328" s="17" t="s">
        <v>20</v>
      </c>
      <c r="D328" s="17">
        <v>3</v>
      </c>
      <c r="E328" s="16" t="s">
        <v>17</v>
      </c>
      <c r="F328" s="40">
        <f>'GT Input'!C9</f>
        <v>9</v>
      </c>
      <c r="G328" s="40">
        <f>'GT Input'!D9</f>
        <v>13</v>
      </c>
      <c r="H328" s="40">
        <f>'GT Input'!E9</f>
        <v>9</v>
      </c>
      <c r="I328" s="40">
        <f>'GT Input'!F9</f>
        <v>13</v>
      </c>
      <c r="J328" s="41">
        <f>'Detailed Results'!G328</f>
        <v>5</v>
      </c>
      <c r="K328" s="41">
        <f>'Detailed Results'!H328</f>
        <v>5</v>
      </c>
      <c r="L328" s="42">
        <f t="shared" si="60"/>
        <v>1</v>
      </c>
      <c r="M328" s="42">
        <f t="shared" si="68"/>
        <v>0.55555555555555558</v>
      </c>
      <c r="N328" s="42">
        <f t="shared" si="61"/>
        <v>0.7142857142857143</v>
      </c>
      <c r="O328" s="43">
        <f>'Detailed Results'!I328</f>
        <v>8</v>
      </c>
      <c r="P328" s="43">
        <f>'Detailed Results'!J328</f>
        <v>8</v>
      </c>
      <c r="Q328" s="44">
        <f t="shared" si="62"/>
        <v>1</v>
      </c>
      <c r="R328" s="44">
        <f t="shared" si="69"/>
        <v>0.61538461538461542</v>
      </c>
      <c r="S328" s="44">
        <f t="shared" si="63"/>
        <v>0.76190476190476197</v>
      </c>
      <c r="T328" s="45">
        <f>'Detailed Results'!K328</f>
        <v>5</v>
      </c>
      <c r="U328" s="45">
        <f>'Detailed Results'!L328</f>
        <v>3</v>
      </c>
      <c r="V328" s="46">
        <f t="shared" si="64"/>
        <v>0.6</v>
      </c>
      <c r="W328" s="46">
        <f t="shared" si="70"/>
        <v>0.33333333333333331</v>
      </c>
      <c r="X328" s="46">
        <f t="shared" si="65"/>
        <v>0.42857142857142855</v>
      </c>
      <c r="Y328" s="47">
        <f>'Detailed Results'!M328</f>
        <v>8</v>
      </c>
      <c r="Z328" s="47">
        <f>'Detailed Results'!N328</f>
        <v>5</v>
      </c>
      <c r="AA328" s="48">
        <f t="shared" si="66"/>
        <v>0.625</v>
      </c>
      <c r="AB328" s="48">
        <f t="shared" si="71"/>
        <v>0.38461538461538464</v>
      </c>
      <c r="AC328" s="48">
        <f t="shared" si="67"/>
        <v>0.47619047619047622</v>
      </c>
    </row>
    <row r="329" spans="1:29" s="64" customFormat="1" ht="15" customHeight="1" thickBot="1" x14ac:dyDescent="0.4">
      <c r="A329" s="185"/>
      <c r="B329" s="53" t="s">
        <v>22</v>
      </c>
      <c r="C329" s="54" t="s">
        <v>20</v>
      </c>
      <c r="D329" s="54">
        <v>3</v>
      </c>
      <c r="E329" s="53" t="s">
        <v>109</v>
      </c>
      <c r="F329" s="55">
        <f>'GT Input'!C9</f>
        <v>9</v>
      </c>
      <c r="G329" s="55">
        <f>'GT Input'!D9</f>
        <v>13</v>
      </c>
      <c r="H329" s="55">
        <f>'GT Input'!E9</f>
        <v>9</v>
      </c>
      <c r="I329" s="55">
        <f>'GT Input'!F9</f>
        <v>13</v>
      </c>
      <c r="J329" s="56">
        <f>'Detailed Results'!G329</f>
        <v>5</v>
      </c>
      <c r="K329" s="56">
        <f>'Detailed Results'!H329</f>
        <v>5</v>
      </c>
      <c r="L329" s="57">
        <f t="shared" si="60"/>
        <v>1</v>
      </c>
      <c r="M329" s="57">
        <f t="shared" si="68"/>
        <v>0.55555555555555558</v>
      </c>
      <c r="N329" s="57">
        <f t="shared" si="61"/>
        <v>0.7142857142857143</v>
      </c>
      <c r="O329" s="58">
        <f>'Detailed Results'!I329</f>
        <v>8</v>
      </c>
      <c r="P329" s="58">
        <f>'Detailed Results'!J329</f>
        <v>8</v>
      </c>
      <c r="Q329" s="59">
        <f t="shared" si="62"/>
        <v>1</v>
      </c>
      <c r="R329" s="59">
        <f t="shared" si="69"/>
        <v>0.61538461538461542</v>
      </c>
      <c r="S329" s="59">
        <f t="shared" si="63"/>
        <v>0.76190476190476197</v>
      </c>
      <c r="T329" s="60">
        <f>'Detailed Results'!K329</f>
        <v>5</v>
      </c>
      <c r="U329" s="60">
        <f>'Detailed Results'!L329</f>
        <v>3</v>
      </c>
      <c r="V329" s="61">
        <f t="shared" si="64"/>
        <v>0.6</v>
      </c>
      <c r="W329" s="61">
        <f t="shared" si="70"/>
        <v>0.33333333333333331</v>
      </c>
      <c r="X329" s="61">
        <f t="shared" si="65"/>
        <v>0.42857142857142855</v>
      </c>
      <c r="Y329" s="62">
        <f>'Detailed Results'!M329</f>
        <v>8</v>
      </c>
      <c r="Z329" s="62">
        <f>'Detailed Results'!N329</f>
        <v>5</v>
      </c>
      <c r="AA329" s="63">
        <f t="shared" si="66"/>
        <v>0.625</v>
      </c>
      <c r="AB329" s="63">
        <f t="shared" si="71"/>
        <v>0.38461538461538464</v>
      </c>
      <c r="AC329" s="63">
        <f t="shared" si="67"/>
        <v>0.47619047619047622</v>
      </c>
    </row>
    <row r="330" spans="1:29" ht="15" customHeight="1" thickBot="1" x14ac:dyDescent="0.4">
      <c r="A330" s="185" t="s">
        <v>28</v>
      </c>
      <c r="B330" s="65" t="s">
        <v>15</v>
      </c>
      <c r="C330" s="66" t="s">
        <v>16</v>
      </c>
      <c r="D330" s="66">
        <v>1</v>
      </c>
      <c r="E330" s="65" t="s">
        <v>17</v>
      </c>
      <c r="F330" s="67">
        <f>'GT Input'!C10</f>
        <v>7</v>
      </c>
      <c r="G330" s="67">
        <f>'GT Input'!D10</f>
        <v>18</v>
      </c>
      <c r="H330" s="67">
        <f>'GT Input'!E10</f>
        <v>7</v>
      </c>
      <c r="I330" s="67">
        <f>'GT Input'!F10</f>
        <v>18</v>
      </c>
      <c r="J330" s="68">
        <f>'Detailed Results'!G330</f>
        <v>7</v>
      </c>
      <c r="K330" s="68">
        <f>'Detailed Results'!H330</f>
        <v>7</v>
      </c>
      <c r="L330" s="69">
        <f t="shared" si="60"/>
        <v>1</v>
      </c>
      <c r="M330" s="69">
        <f t="shared" si="68"/>
        <v>1</v>
      </c>
      <c r="N330" s="69">
        <f t="shared" si="61"/>
        <v>1</v>
      </c>
      <c r="O330" s="70">
        <f>'Detailed Results'!I330</f>
        <v>13</v>
      </c>
      <c r="P330" s="70">
        <f>'Detailed Results'!J330</f>
        <v>13</v>
      </c>
      <c r="Q330" s="71">
        <f t="shared" si="62"/>
        <v>1</v>
      </c>
      <c r="R330" s="71">
        <f t="shared" si="69"/>
        <v>0.72222222222222221</v>
      </c>
      <c r="S330" s="71">
        <f t="shared" si="63"/>
        <v>0.83870967741935476</v>
      </c>
      <c r="T330" s="72">
        <f>'Detailed Results'!K330</f>
        <v>7</v>
      </c>
      <c r="U330" s="72">
        <f>'Detailed Results'!L330</f>
        <v>7</v>
      </c>
      <c r="V330" s="73">
        <f t="shared" si="64"/>
        <v>1</v>
      </c>
      <c r="W330" s="73">
        <f t="shared" si="70"/>
        <v>1</v>
      </c>
      <c r="X330" s="73">
        <f t="shared" si="65"/>
        <v>1</v>
      </c>
      <c r="Y330" s="74">
        <f>'Detailed Results'!M330</f>
        <v>13</v>
      </c>
      <c r="Z330" s="74">
        <f>'Detailed Results'!N330</f>
        <v>13</v>
      </c>
      <c r="AA330" s="75">
        <f t="shared" si="66"/>
        <v>1</v>
      </c>
      <c r="AB330" s="75">
        <f t="shared" si="71"/>
        <v>0.72222222222222221</v>
      </c>
      <c r="AC330" s="75">
        <f t="shared" si="67"/>
        <v>0.83870967741935476</v>
      </c>
    </row>
    <row r="331" spans="1:29" ht="15" customHeight="1" thickBot="1" x14ac:dyDescent="0.4">
      <c r="A331" s="185"/>
      <c r="B331" s="7" t="s">
        <v>15</v>
      </c>
      <c r="C331" s="8" t="s">
        <v>16</v>
      </c>
      <c r="D331" s="8">
        <v>1</v>
      </c>
      <c r="E331" s="7" t="s">
        <v>109</v>
      </c>
      <c r="F331" s="40">
        <f>'GT Input'!C10</f>
        <v>7</v>
      </c>
      <c r="G331" s="40">
        <f>'GT Input'!D10</f>
        <v>18</v>
      </c>
      <c r="H331" s="40">
        <f>'GT Input'!E10</f>
        <v>7</v>
      </c>
      <c r="I331" s="40">
        <f>'GT Input'!F10</f>
        <v>18</v>
      </c>
      <c r="J331" s="41">
        <f>'Detailed Results'!G331</f>
        <v>7</v>
      </c>
      <c r="K331" s="41">
        <f>'Detailed Results'!H331</f>
        <v>7</v>
      </c>
      <c r="L331" s="42">
        <f t="shared" si="60"/>
        <v>1</v>
      </c>
      <c r="M331" s="42">
        <f t="shared" si="68"/>
        <v>1</v>
      </c>
      <c r="N331" s="42">
        <f t="shared" si="61"/>
        <v>1</v>
      </c>
      <c r="O331" s="43">
        <f>'Detailed Results'!I331</f>
        <v>14</v>
      </c>
      <c r="P331" s="43">
        <f>'Detailed Results'!J331</f>
        <v>14</v>
      </c>
      <c r="Q331" s="44">
        <f t="shared" si="62"/>
        <v>1</v>
      </c>
      <c r="R331" s="44">
        <f t="shared" si="69"/>
        <v>0.77777777777777779</v>
      </c>
      <c r="S331" s="44">
        <f t="shared" si="63"/>
        <v>0.87500000000000011</v>
      </c>
      <c r="T331" s="45">
        <f>'Detailed Results'!K331</f>
        <v>7</v>
      </c>
      <c r="U331" s="45">
        <f>'Detailed Results'!L331</f>
        <v>7</v>
      </c>
      <c r="V331" s="46">
        <f t="shared" si="64"/>
        <v>1</v>
      </c>
      <c r="W331" s="46">
        <f t="shared" si="70"/>
        <v>1</v>
      </c>
      <c r="X331" s="46">
        <f t="shared" si="65"/>
        <v>1</v>
      </c>
      <c r="Y331" s="47">
        <f>'Detailed Results'!M331</f>
        <v>14</v>
      </c>
      <c r="Z331" s="47">
        <f>'Detailed Results'!N331</f>
        <v>14</v>
      </c>
      <c r="AA331" s="48">
        <f t="shared" si="66"/>
        <v>1</v>
      </c>
      <c r="AB331" s="48">
        <f t="shared" si="71"/>
        <v>0.77777777777777779</v>
      </c>
      <c r="AC331" s="48">
        <f t="shared" si="67"/>
        <v>0.87500000000000011</v>
      </c>
    </row>
    <row r="332" spans="1:29" ht="15" customHeight="1" thickBot="1" x14ac:dyDescent="0.4">
      <c r="A332" s="185"/>
      <c r="B332" s="10" t="s">
        <v>15</v>
      </c>
      <c r="C332" s="11" t="s">
        <v>16</v>
      </c>
      <c r="D332" s="11">
        <v>2</v>
      </c>
      <c r="E332" s="10" t="s">
        <v>17</v>
      </c>
      <c r="F332" s="40">
        <f>'GT Input'!C10</f>
        <v>7</v>
      </c>
      <c r="G332" s="40">
        <f>'GT Input'!D10</f>
        <v>18</v>
      </c>
      <c r="H332" s="40">
        <f>'GT Input'!E10</f>
        <v>7</v>
      </c>
      <c r="I332" s="40">
        <f>'GT Input'!F10</f>
        <v>18</v>
      </c>
      <c r="J332" s="41">
        <f>'Detailed Results'!G332</f>
        <v>7</v>
      </c>
      <c r="K332" s="41">
        <f>'Detailed Results'!H332</f>
        <v>7</v>
      </c>
      <c r="L332" s="42">
        <f t="shared" si="60"/>
        <v>1</v>
      </c>
      <c r="M332" s="42">
        <f t="shared" si="68"/>
        <v>1</v>
      </c>
      <c r="N332" s="42">
        <f t="shared" si="61"/>
        <v>1</v>
      </c>
      <c r="O332" s="43">
        <f>'Detailed Results'!I332</f>
        <v>13</v>
      </c>
      <c r="P332" s="43">
        <f>'Detailed Results'!J332</f>
        <v>13</v>
      </c>
      <c r="Q332" s="44">
        <f t="shared" si="62"/>
        <v>1</v>
      </c>
      <c r="R332" s="44">
        <f t="shared" si="69"/>
        <v>0.72222222222222221</v>
      </c>
      <c r="S332" s="44">
        <f t="shared" si="63"/>
        <v>0.83870967741935476</v>
      </c>
      <c r="T332" s="45">
        <f>'Detailed Results'!K332</f>
        <v>7</v>
      </c>
      <c r="U332" s="45">
        <f>'Detailed Results'!L332</f>
        <v>7</v>
      </c>
      <c r="V332" s="46">
        <f t="shared" si="64"/>
        <v>1</v>
      </c>
      <c r="W332" s="46">
        <f t="shared" si="70"/>
        <v>1</v>
      </c>
      <c r="X332" s="46">
        <f t="shared" si="65"/>
        <v>1</v>
      </c>
      <c r="Y332" s="47">
        <f>'Detailed Results'!M332</f>
        <v>13</v>
      </c>
      <c r="Z332" s="47">
        <f>'Detailed Results'!N332</f>
        <v>13</v>
      </c>
      <c r="AA332" s="48">
        <f t="shared" si="66"/>
        <v>1</v>
      </c>
      <c r="AB332" s="48">
        <f t="shared" si="71"/>
        <v>0.72222222222222221</v>
      </c>
      <c r="AC332" s="48">
        <f t="shared" si="67"/>
        <v>0.83870967741935476</v>
      </c>
    </row>
    <row r="333" spans="1:29" ht="15" customHeight="1" thickBot="1" x14ac:dyDescent="0.4">
      <c r="A333" s="185"/>
      <c r="B333" s="10" t="s">
        <v>15</v>
      </c>
      <c r="C333" s="11" t="s">
        <v>16</v>
      </c>
      <c r="D333" s="11">
        <v>2</v>
      </c>
      <c r="E333" s="10" t="s">
        <v>109</v>
      </c>
      <c r="F333" s="40">
        <f>'GT Input'!C10</f>
        <v>7</v>
      </c>
      <c r="G333" s="40">
        <f>'GT Input'!D10</f>
        <v>18</v>
      </c>
      <c r="H333" s="40">
        <f>'GT Input'!E10</f>
        <v>7</v>
      </c>
      <c r="I333" s="40">
        <f>'GT Input'!F10</f>
        <v>18</v>
      </c>
      <c r="J333" s="41">
        <f>'Detailed Results'!G333</f>
        <v>7</v>
      </c>
      <c r="K333" s="41">
        <f>'Detailed Results'!H333</f>
        <v>7</v>
      </c>
      <c r="L333" s="42">
        <f t="shared" si="60"/>
        <v>1</v>
      </c>
      <c r="M333" s="42">
        <f t="shared" si="68"/>
        <v>1</v>
      </c>
      <c r="N333" s="42">
        <f t="shared" si="61"/>
        <v>1</v>
      </c>
      <c r="O333" s="43">
        <f>'Detailed Results'!I333</f>
        <v>16</v>
      </c>
      <c r="P333" s="43">
        <f>'Detailed Results'!J333</f>
        <v>16</v>
      </c>
      <c r="Q333" s="44">
        <f t="shared" si="62"/>
        <v>1</v>
      </c>
      <c r="R333" s="44">
        <f t="shared" si="69"/>
        <v>0.88888888888888884</v>
      </c>
      <c r="S333" s="44">
        <f t="shared" si="63"/>
        <v>0.94117647058823528</v>
      </c>
      <c r="T333" s="45">
        <f>'Detailed Results'!K333</f>
        <v>7</v>
      </c>
      <c r="U333" s="45">
        <f>'Detailed Results'!L333</f>
        <v>7</v>
      </c>
      <c r="V333" s="46">
        <f t="shared" si="64"/>
        <v>1</v>
      </c>
      <c r="W333" s="46">
        <f t="shared" si="70"/>
        <v>1</v>
      </c>
      <c r="X333" s="46">
        <f t="shared" si="65"/>
        <v>1</v>
      </c>
      <c r="Y333" s="47">
        <f>'Detailed Results'!M333</f>
        <v>16</v>
      </c>
      <c r="Z333" s="47">
        <f>'Detailed Results'!N333</f>
        <v>16</v>
      </c>
      <c r="AA333" s="48">
        <f t="shared" si="66"/>
        <v>1</v>
      </c>
      <c r="AB333" s="48">
        <f t="shared" si="71"/>
        <v>0.88888888888888884</v>
      </c>
      <c r="AC333" s="48">
        <f t="shared" si="67"/>
        <v>0.94117647058823528</v>
      </c>
    </row>
    <row r="334" spans="1:29" ht="15" customHeight="1" thickBot="1" x14ac:dyDescent="0.4">
      <c r="A334" s="185"/>
      <c r="B334" s="7" t="s">
        <v>15</v>
      </c>
      <c r="C334" s="8" t="s">
        <v>16</v>
      </c>
      <c r="D334" s="8">
        <v>3</v>
      </c>
      <c r="E334" s="7" t="s">
        <v>17</v>
      </c>
      <c r="F334" s="40">
        <f>'GT Input'!C10</f>
        <v>7</v>
      </c>
      <c r="G334" s="40">
        <f>'GT Input'!D10</f>
        <v>18</v>
      </c>
      <c r="H334" s="40">
        <f>'GT Input'!E10</f>
        <v>7</v>
      </c>
      <c r="I334" s="40">
        <f>'GT Input'!F10</f>
        <v>18</v>
      </c>
      <c r="J334" s="41">
        <f>'Detailed Results'!G334</f>
        <v>7</v>
      </c>
      <c r="K334" s="41">
        <f>'Detailed Results'!H334</f>
        <v>7</v>
      </c>
      <c r="L334" s="42">
        <f t="shared" si="60"/>
        <v>1</v>
      </c>
      <c r="M334" s="42">
        <f t="shared" si="68"/>
        <v>1</v>
      </c>
      <c r="N334" s="42">
        <f t="shared" si="61"/>
        <v>1</v>
      </c>
      <c r="O334" s="43">
        <f>'Detailed Results'!I334</f>
        <v>13</v>
      </c>
      <c r="P334" s="43">
        <f>'Detailed Results'!J334</f>
        <v>13</v>
      </c>
      <c r="Q334" s="44">
        <f t="shared" si="62"/>
        <v>1</v>
      </c>
      <c r="R334" s="44">
        <f t="shared" si="69"/>
        <v>0.72222222222222221</v>
      </c>
      <c r="S334" s="44">
        <f t="shared" si="63"/>
        <v>0.83870967741935476</v>
      </c>
      <c r="T334" s="45">
        <f>'Detailed Results'!K334</f>
        <v>7</v>
      </c>
      <c r="U334" s="45">
        <f>'Detailed Results'!L334</f>
        <v>7</v>
      </c>
      <c r="V334" s="46">
        <f t="shared" si="64"/>
        <v>1</v>
      </c>
      <c r="W334" s="46">
        <f t="shared" si="70"/>
        <v>1</v>
      </c>
      <c r="X334" s="46">
        <f t="shared" si="65"/>
        <v>1</v>
      </c>
      <c r="Y334" s="47">
        <f>'Detailed Results'!M334</f>
        <v>13</v>
      </c>
      <c r="Z334" s="47">
        <f>'Detailed Results'!N334</f>
        <v>13</v>
      </c>
      <c r="AA334" s="48">
        <f t="shared" si="66"/>
        <v>1</v>
      </c>
      <c r="AB334" s="48">
        <f t="shared" si="71"/>
        <v>0.72222222222222221</v>
      </c>
      <c r="AC334" s="48">
        <f t="shared" si="67"/>
        <v>0.83870967741935476</v>
      </c>
    </row>
    <row r="335" spans="1:29" ht="15" customHeight="1" thickBot="1" x14ac:dyDescent="0.4">
      <c r="A335" s="185"/>
      <c r="B335" s="7" t="s">
        <v>15</v>
      </c>
      <c r="C335" s="8" t="s">
        <v>16</v>
      </c>
      <c r="D335" s="8">
        <v>3</v>
      </c>
      <c r="E335" s="7" t="s">
        <v>109</v>
      </c>
      <c r="F335" s="40">
        <f>'GT Input'!C10</f>
        <v>7</v>
      </c>
      <c r="G335" s="40">
        <f>'GT Input'!D10</f>
        <v>18</v>
      </c>
      <c r="H335" s="40">
        <f>'GT Input'!E10</f>
        <v>7</v>
      </c>
      <c r="I335" s="40">
        <f>'GT Input'!F10</f>
        <v>18</v>
      </c>
      <c r="J335" s="41">
        <f>'Detailed Results'!G335</f>
        <v>7</v>
      </c>
      <c r="K335" s="41">
        <f>'Detailed Results'!H335</f>
        <v>7</v>
      </c>
      <c r="L335" s="42">
        <f t="shared" si="60"/>
        <v>1</v>
      </c>
      <c r="M335" s="42">
        <f t="shared" si="68"/>
        <v>1</v>
      </c>
      <c r="N335" s="42">
        <f t="shared" si="61"/>
        <v>1</v>
      </c>
      <c r="O335" s="43">
        <f>'Detailed Results'!I335</f>
        <v>18</v>
      </c>
      <c r="P335" s="43">
        <f>'Detailed Results'!J335</f>
        <v>18</v>
      </c>
      <c r="Q335" s="44">
        <f t="shared" si="62"/>
        <v>1</v>
      </c>
      <c r="R335" s="44">
        <f t="shared" si="69"/>
        <v>1</v>
      </c>
      <c r="S335" s="44">
        <f t="shared" si="63"/>
        <v>1</v>
      </c>
      <c r="T335" s="45">
        <f>'Detailed Results'!K335</f>
        <v>7</v>
      </c>
      <c r="U335" s="45">
        <f>'Detailed Results'!L335</f>
        <v>7</v>
      </c>
      <c r="V335" s="46">
        <f t="shared" si="64"/>
        <v>1</v>
      </c>
      <c r="W335" s="46">
        <f t="shared" si="70"/>
        <v>1</v>
      </c>
      <c r="X335" s="46">
        <f t="shared" si="65"/>
        <v>1</v>
      </c>
      <c r="Y335" s="47">
        <f>'Detailed Results'!M335</f>
        <v>18</v>
      </c>
      <c r="Z335" s="47">
        <f>'Detailed Results'!N335</f>
        <v>18</v>
      </c>
      <c r="AA335" s="48">
        <f t="shared" si="66"/>
        <v>1</v>
      </c>
      <c r="AB335" s="48">
        <f t="shared" si="71"/>
        <v>1</v>
      </c>
      <c r="AC335" s="48">
        <f t="shared" si="67"/>
        <v>1</v>
      </c>
    </row>
    <row r="336" spans="1:29" ht="15" customHeight="1" thickBot="1" x14ac:dyDescent="0.4">
      <c r="A336" s="185"/>
      <c r="B336" s="10" t="s">
        <v>15</v>
      </c>
      <c r="C336" s="11" t="s">
        <v>19</v>
      </c>
      <c r="D336" s="11">
        <v>1</v>
      </c>
      <c r="E336" s="10" t="s">
        <v>17</v>
      </c>
      <c r="F336" s="40">
        <f>'GT Input'!C10</f>
        <v>7</v>
      </c>
      <c r="G336" s="40">
        <f>'GT Input'!D10</f>
        <v>18</v>
      </c>
      <c r="H336" s="40">
        <f>'GT Input'!E10</f>
        <v>7</v>
      </c>
      <c r="I336" s="40">
        <f>'GT Input'!F10</f>
        <v>18</v>
      </c>
      <c r="J336" s="41">
        <f>'Detailed Results'!G336</f>
        <v>7</v>
      </c>
      <c r="K336" s="41">
        <f>'Detailed Results'!H336</f>
        <v>7</v>
      </c>
      <c r="L336" s="42">
        <f t="shared" si="60"/>
        <v>1</v>
      </c>
      <c r="M336" s="42">
        <f t="shared" si="68"/>
        <v>1</v>
      </c>
      <c r="N336" s="42">
        <f t="shared" si="61"/>
        <v>1</v>
      </c>
      <c r="O336" s="43">
        <f>'Detailed Results'!I336</f>
        <v>13</v>
      </c>
      <c r="P336" s="43">
        <f>'Detailed Results'!J336</f>
        <v>13</v>
      </c>
      <c r="Q336" s="44">
        <f t="shared" si="62"/>
        <v>1</v>
      </c>
      <c r="R336" s="44">
        <f t="shared" si="69"/>
        <v>0.72222222222222221</v>
      </c>
      <c r="S336" s="44">
        <f t="shared" si="63"/>
        <v>0.83870967741935476</v>
      </c>
      <c r="T336" s="45">
        <f>'Detailed Results'!K336</f>
        <v>7</v>
      </c>
      <c r="U336" s="45">
        <f>'Detailed Results'!L336</f>
        <v>7</v>
      </c>
      <c r="V336" s="46">
        <f t="shared" si="64"/>
        <v>1</v>
      </c>
      <c r="W336" s="46">
        <f t="shared" si="70"/>
        <v>1</v>
      </c>
      <c r="X336" s="46">
        <f t="shared" si="65"/>
        <v>1</v>
      </c>
      <c r="Y336" s="47">
        <f>'Detailed Results'!M336</f>
        <v>13</v>
      </c>
      <c r="Z336" s="47">
        <f>'Detailed Results'!N336</f>
        <v>13</v>
      </c>
      <c r="AA336" s="48">
        <f t="shared" si="66"/>
        <v>1</v>
      </c>
      <c r="AB336" s="48">
        <f t="shared" si="71"/>
        <v>0.72222222222222221</v>
      </c>
      <c r="AC336" s="48">
        <f t="shared" si="67"/>
        <v>0.83870967741935476</v>
      </c>
    </row>
    <row r="337" spans="1:29" ht="15" customHeight="1" thickBot="1" x14ac:dyDescent="0.4">
      <c r="A337" s="185"/>
      <c r="B337" s="10" t="s">
        <v>15</v>
      </c>
      <c r="C337" s="11" t="s">
        <v>19</v>
      </c>
      <c r="D337" s="11">
        <v>1</v>
      </c>
      <c r="E337" s="10" t="s">
        <v>109</v>
      </c>
      <c r="F337" s="40">
        <f>'GT Input'!C10</f>
        <v>7</v>
      </c>
      <c r="G337" s="40">
        <f>'GT Input'!D10</f>
        <v>18</v>
      </c>
      <c r="H337" s="40">
        <f>'GT Input'!E10</f>
        <v>7</v>
      </c>
      <c r="I337" s="40">
        <f>'GT Input'!F10</f>
        <v>18</v>
      </c>
      <c r="J337" s="41">
        <f>'Detailed Results'!G337</f>
        <v>7</v>
      </c>
      <c r="K337" s="41">
        <f>'Detailed Results'!H337</f>
        <v>7</v>
      </c>
      <c r="L337" s="42">
        <f t="shared" si="60"/>
        <v>1</v>
      </c>
      <c r="M337" s="42">
        <f t="shared" si="68"/>
        <v>1</v>
      </c>
      <c r="N337" s="42">
        <f t="shared" si="61"/>
        <v>1</v>
      </c>
      <c r="O337" s="43">
        <f>'Detailed Results'!I337</f>
        <v>18</v>
      </c>
      <c r="P337" s="43">
        <f>'Detailed Results'!J337</f>
        <v>18</v>
      </c>
      <c r="Q337" s="44">
        <f t="shared" si="62"/>
        <v>1</v>
      </c>
      <c r="R337" s="44">
        <f t="shared" si="69"/>
        <v>1</v>
      </c>
      <c r="S337" s="44">
        <f t="shared" si="63"/>
        <v>1</v>
      </c>
      <c r="T337" s="45">
        <f>'Detailed Results'!K337</f>
        <v>7</v>
      </c>
      <c r="U337" s="45">
        <f>'Detailed Results'!L337</f>
        <v>7</v>
      </c>
      <c r="V337" s="46">
        <f t="shared" si="64"/>
        <v>1</v>
      </c>
      <c r="W337" s="46">
        <f t="shared" si="70"/>
        <v>1</v>
      </c>
      <c r="X337" s="46">
        <f t="shared" si="65"/>
        <v>1</v>
      </c>
      <c r="Y337" s="47">
        <f>'Detailed Results'!M337</f>
        <v>18</v>
      </c>
      <c r="Z337" s="47">
        <f>'Detailed Results'!N337</f>
        <v>18</v>
      </c>
      <c r="AA337" s="48">
        <f t="shared" si="66"/>
        <v>1</v>
      </c>
      <c r="AB337" s="48">
        <f t="shared" si="71"/>
        <v>1</v>
      </c>
      <c r="AC337" s="48">
        <f t="shared" si="67"/>
        <v>1</v>
      </c>
    </row>
    <row r="338" spans="1:29" ht="15" customHeight="1" thickBot="1" x14ac:dyDescent="0.4">
      <c r="A338" s="185"/>
      <c r="B338" s="7" t="s">
        <v>15</v>
      </c>
      <c r="C338" s="8" t="s">
        <v>19</v>
      </c>
      <c r="D338" s="8">
        <v>2</v>
      </c>
      <c r="E338" s="7" t="s">
        <v>17</v>
      </c>
      <c r="F338" s="40">
        <f>'GT Input'!C10</f>
        <v>7</v>
      </c>
      <c r="G338" s="40">
        <f>'GT Input'!D10</f>
        <v>18</v>
      </c>
      <c r="H338" s="40">
        <f>'GT Input'!E10</f>
        <v>7</v>
      </c>
      <c r="I338" s="40">
        <f>'GT Input'!F10</f>
        <v>18</v>
      </c>
      <c r="J338" s="41">
        <f>'Detailed Results'!G338</f>
        <v>7</v>
      </c>
      <c r="K338" s="41">
        <f>'Detailed Results'!H338</f>
        <v>7</v>
      </c>
      <c r="L338" s="42">
        <f t="shared" si="60"/>
        <v>1</v>
      </c>
      <c r="M338" s="42">
        <f t="shared" si="68"/>
        <v>1</v>
      </c>
      <c r="N338" s="42">
        <f t="shared" si="61"/>
        <v>1</v>
      </c>
      <c r="O338" s="43">
        <f>'Detailed Results'!I338</f>
        <v>13</v>
      </c>
      <c r="P338" s="43">
        <f>'Detailed Results'!J338</f>
        <v>13</v>
      </c>
      <c r="Q338" s="44">
        <f t="shared" si="62"/>
        <v>1</v>
      </c>
      <c r="R338" s="44">
        <f t="shared" si="69"/>
        <v>0.72222222222222221</v>
      </c>
      <c r="S338" s="44">
        <f t="shared" si="63"/>
        <v>0.83870967741935476</v>
      </c>
      <c r="T338" s="45">
        <f>'Detailed Results'!K338</f>
        <v>7</v>
      </c>
      <c r="U338" s="45">
        <f>'Detailed Results'!L338</f>
        <v>7</v>
      </c>
      <c r="V338" s="46">
        <f t="shared" si="64"/>
        <v>1</v>
      </c>
      <c r="W338" s="46">
        <f t="shared" si="70"/>
        <v>1</v>
      </c>
      <c r="X338" s="46">
        <f t="shared" si="65"/>
        <v>1</v>
      </c>
      <c r="Y338" s="47">
        <f>'Detailed Results'!M338</f>
        <v>13</v>
      </c>
      <c r="Z338" s="47">
        <f>'Detailed Results'!N338</f>
        <v>13</v>
      </c>
      <c r="AA338" s="48">
        <f t="shared" si="66"/>
        <v>1</v>
      </c>
      <c r="AB338" s="48">
        <f t="shared" si="71"/>
        <v>0.72222222222222221</v>
      </c>
      <c r="AC338" s="48">
        <f t="shared" si="67"/>
        <v>0.83870967741935476</v>
      </c>
    </row>
    <row r="339" spans="1:29" ht="15" customHeight="1" thickBot="1" x14ac:dyDescent="0.4">
      <c r="A339" s="185"/>
      <c r="B339" s="7" t="s">
        <v>15</v>
      </c>
      <c r="C339" s="8" t="s">
        <v>19</v>
      </c>
      <c r="D339" s="8">
        <v>2</v>
      </c>
      <c r="E339" s="7" t="s">
        <v>109</v>
      </c>
      <c r="F339" s="40">
        <f>'GT Input'!C10</f>
        <v>7</v>
      </c>
      <c r="G339" s="40">
        <f>'GT Input'!D10</f>
        <v>18</v>
      </c>
      <c r="H339" s="40">
        <f>'GT Input'!E10</f>
        <v>7</v>
      </c>
      <c r="I339" s="40">
        <f>'GT Input'!F10</f>
        <v>18</v>
      </c>
      <c r="J339" s="41">
        <f>'Detailed Results'!G339</f>
        <v>7</v>
      </c>
      <c r="K339" s="41">
        <f>'Detailed Results'!H339</f>
        <v>7</v>
      </c>
      <c r="L339" s="42">
        <f t="shared" si="60"/>
        <v>1</v>
      </c>
      <c r="M339" s="42">
        <f t="shared" si="68"/>
        <v>1</v>
      </c>
      <c r="N339" s="42">
        <f t="shared" si="61"/>
        <v>1</v>
      </c>
      <c r="O339" s="43">
        <f>'Detailed Results'!I339</f>
        <v>18</v>
      </c>
      <c r="P339" s="43">
        <f>'Detailed Results'!J339</f>
        <v>18</v>
      </c>
      <c r="Q339" s="44">
        <f t="shared" si="62"/>
        <v>1</v>
      </c>
      <c r="R339" s="44">
        <f t="shared" si="69"/>
        <v>1</v>
      </c>
      <c r="S339" s="44">
        <f t="shared" si="63"/>
        <v>1</v>
      </c>
      <c r="T339" s="45">
        <f>'Detailed Results'!K339</f>
        <v>7</v>
      </c>
      <c r="U339" s="45">
        <f>'Detailed Results'!L339</f>
        <v>7</v>
      </c>
      <c r="V339" s="46">
        <f t="shared" si="64"/>
        <v>1</v>
      </c>
      <c r="W339" s="46">
        <f t="shared" si="70"/>
        <v>1</v>
      </c>
      <c r="X339" s="46">
        <f t="shared" si="65"/>
        <v>1</v>
      </c>
      <c r="Y339" s="47">
        <f>'Detailed Results'!M339</f>
        <v>18</v>
      </c>
      <c r="Z339" s="47">
        <f>'Detailed Results'!N339</f>
        <v>18</v>
      </c>
      <c r="AA339" s="48">
        <f t="shared" si="66"/>
        <v>1</v>
      </c>
      <c r="AB339" s="48">
        <f t="shared" si="71"/>
        <v>1</v>
      </c>
      <c r="AC339" s="48">
        <f t="shared" si="67"/>
        <v>1</v>
      </c>
    </row>
    <row r="340" spans="1:29" ht="15" customHeight="1" thickBot="1" x14ac:dyDescent="0.4">
      <c r="A340" s="185"/>
      <c r="B340" s="10" t="s">
        <v>15</v>
      </c>
      <c r="C340" s="11" t="s">
        <v>19</v>
      </c>
      <c r="D340" s="11">
        <v>3</v>
      </c>
      <c r="E340" s="10" t="s">
        <v>17</v>
      </c>
      <c r="F340" s="40">
        <f>'GT Input'!C10</f>
        <v>7</v>
      </c>
      <c r="G340" s="40">
        <f>'GT Input'!D10</f>
        <v>18</v>
      </c>
      <c r="H340" s="40">
        <f>'GT Input'!E10</f>
        <v>7</v>
      </c>
      <c r="I340" s="40">
        <f>'GT Input'!F10</f>
        <v>18</v>
      </c>
      <c r="J340" s="41">
        <f>'Detailed Results'!G340</f>
        <v>7</v>
      </c>
      <c r="K340" s="41">
        <f>'Detailed Results'!H340</f>
        <v>7</v>
      </c>
      <c r="L340" s="42">
        <f t="shared" si="60"/>
        <v>1</v>
      </c>
      <c r="M340" s="42">
        <f t="shared" si="68"/>
        <v>1</v>
      </c>
      <c r="N340" s="42">
        <f t="shared" si="61"/>
        <v>1</v>
      </c>
      <c r="O340" s="43">
        <f>'Detailed Results'!I340</f>
        <v>13</v>
      </c>
      <c r="P340" s="43">
        <f>'Detailed Results'!J340</f>
        <v>13</v>
      </c>
      <c r="Q340" s="44">
        <f t="shared" si="62"/>
        <v>1</v>
      </c>
      <c r="R340" s="44">
        <f t="shared" si="69"/>
        <v>0.72222222222222221</v>
      </c>
      <c r="S340" s="44">
        <f t="shared" si="63"/>
        <v>0.83870967741935476</v>
      </c>
      <c r="T340" s="45">
        <f>'Detailed Results'!K340</f>
        <v>7</v>
      </c>
      <c r="U340" s="45">
        <f>'Detailed Results'!L340</f>
        <v>7</v>
      </c>
      <c r="V340" s="46">
        <f t="shared" si="64"/>
        <v>1</v>
      </c>
      <c r="W340" s="46">
        <f t="shared" si="70"/>
        <v>1</v>
      </c>
      <c r="X340" s="46">
        <f t="shared" si="65"/>
        <v>1</v>
      </c>
      <c r="Y340" s="47">
        <f>'Detailed Results'!M340</f>
        <v>13</v>
      </c>
      <c r="Z340" s="47">
        <f>'Detailed Results'!N340</f>
        <v>13</v>
      </c>
      <c r="AA340" s="48">
        <f t="shared" si="66"/>
        <v>1</v>
      </c>
      <c r="AB340" s="48">
        <f t="shared" si="71"/>
        <v>0.72222222222222221</v>
      </c>
      <c r="AC340" s="48">
        <f t="shared" si="67"/>
        <v>0.83870967741935476</v>
      </c>
    </row>
    <row r="341" spans="1:29" ht="15" customHeight="1" thickBot="1" x14ac:dyDescent="0.4">
      <c r="A341" s="185"/>
      <c r="B341" s="10" t="s">
        <v>15</v>
      </c>
      <c r="C341" s="11" t="s">
        <v>19</v>
      </c>
      <c r="D341" s="11">
        <v>3</v>
      </c>
      <c r="E341" s="10" t="s">
        <v>109</v>
      </c>
      <c r="F341" s="40">
        <f>'GT Input'!C10</f>
        <v>7</v>
      </c>
      <c r="G341" s="40">
        <f>'GT Input'!D10</f>
        <v>18</v>
      </c>
      <c r="H341" s="40">
        <f>'GT Input'!E10</f>
        <v>7</v>
      </c>
      <c r="I341" s="40">
        <f>'GT Input'!F10</f>
        <v>18</v>
      </c>
      <c r="J341" s="41">
        <f>'Detailed Results'!G341</f>
        <v>7</v>
      </c>
      <c r="K341" s="41">
        <f>'Detailed Results'!H341</f>
        <v>7</v>
      </c>
      <c r="L341" s="42">
        <f t="shared" si="60"/>
        <v>1</v>
      </c>
      <c r="M341" s="42">
        <f t="shared" si="68"/>
        <v>1</v>
      </c>
      <c r="N341" s="42">
        <f t="shared" si="61"/>
        <v>1</v>
      </c>
      <c r="O341" s="43">
        <f>'Detailed Results'!I341</f>
        <v>18</v>
      </c>
      <c r="P341" s="43">
        <f>'Detailed Results'!J341</f>
        <v>18</v>
      </c>
      <c r="Q341" s="44">
        <f t="shared" si="62"/>
        <v>1</v>
      </c>
      <c r="R341" s="44">
        <f t="shared" si="69"/>
        <v>1</v>
      </c>
      <c r="S341" s="44">
        <f t="shared" si="63"/>
        <v>1</v>
      </c>
      <c r="T341" s="45">
        <f>'Detailed Results'!K341</f>
        <v>7</v>
      </c>
      <c r="U341" s="45">
        <f>'Detailed Results'!L341</f>
        <v>7</v>
      </c>
      <c r="V341" s="46">
        <f t="shared" si="64"/>
        <v>1</v>
      </c>
      <c r="W341" s="46">
        <f t="shared" si="70"/>
        <v>1</v>
      </c>
      <c r="X341" s="46">
        <f t="shared" si="65"/>
        <v>1</v>
      </c>
      <c r="Y341" s="47">
        <f>'Detailed Results'!M341</f>
        <v>18</v>
      </c>
      <c r="Z341" s="47">
        <f>'Detailed Results'!N341</f>
        <v>18</v>
      </c>
      <c r="AA341" s="48">
        <f t="shared" si="66"/>
        <v>1</v>
      </c>
      <c r="AB341" s="48">
        <f t="shared" si="71"/>
        <v>1</v>
      </c>
      <c r="AC341" s="48">
        <f t="shared" si="67"/>
        <v>1</v>
      </c>
    </row>
    <row r="342" spans="1:29" ht="15" customHeight="1" thickBot="1" x14ac:dyDescent="0.4">
      <c r="A342" s="185"/>
      <c r="B342" s="7" t="s">
        <v>15</v>
      </c>
      <c r="C342" s="8" t="s">
        <v>20</v>
      </c>
      <c r="D342" s="8">
        <v>1</v>
      </c>
      <c r="E342" s="7" t="s">
        <v>17</v>
      </c>
      <c r="F342" s="40">
        <f>'GT Input'!C10</f>
        <v>7</v>
      </c>
      <c r="G342" s="40">
        <f>'GT Input'!D10</f>
        <v>18</v>
      </c>
      <c r="H342" s="40">
        <f>'GT Input'!E10</f>
        <v>7</v>
      </c>
      <c r="I342" s="40">
        <f>'GT Input'!F10</f>
        <v>18</v>
      </c>
      <c r="J342" s="41">
        <f>'Detailed Results'!G342</f>
        <v>7</v>
      </c>
      <c r="K342" s="41">
        <f>'Detailed Results'!H342</f>
        <v>7</v>
      </c>
      <c r="L342" s="42">
        <f t="shared" si="60"/>
        <v>1</v>
      </c>
      <c r="M342" s="42">
        <f t="shared" si="68"/>
        <v>1</v>
      </c>
      <c r="N342" s="42">
        <f t="shared" si="61"/>
        <v>1</v>
      </c>
      <c r="O342" s="43">
        <f>'Detailed Results'!I342</f>
        <v>13</v>
      </c>
      <c r="P342" s="43">
        <f>'Detailed Results'!J342</f>
        <v>13</v>
      </c>
      <c r="Q342" s="44">
        <f t="shared" si="62"/>
        <v>1</v>
      </c>
      <c r="R342" s="44">
        <f t="shared" si="69"/>
        <v>0.72222222222222221</v>
      </c>
      <c r="S342" s="44">
        <f t="shared" si="63"/>
        <v>0.83870967741935476</v>
      </c>
      <c r="T342" s="45">
        <f>'Detailed Results'!K342</f>
        <v>7</v>
      </c>
      <c r="U342" s="45">
        <f>'Detailed Results'!L342</f>
        <v>7</v>
      </c>
      <c r="V342" s="46">
        <f t="shared" si="64"/>
        <v>1</v>
      </c>
      <c r="W342" s="46">
        <f t="shared" si="70"/>
        <v>1</v>
      </c>
      <c r="X342" s="46">
        <f t="shared" si="65"/>
        <v>1</v>
      </c>
      <c r="Y342" s="47">
        <f>'Detailed Results'!M342</f>
        <v>13</v>
      </c>
      <c r="Z342" s="47">
        <f>'Detailed Results'!N342</f>
        <v>13</v>
      </c>
      <c r="AA342" s="48">
        <f t="shared" si="66"/>
        <v>1</v>
      </c>
      <c r="AB342" s="48">
        <f t="shared" si="71"/>
        <v>0.72222222222222221</v>
      </c>
      <c r="AC342" s="48">
        <f t="shared" si="67"/>
        <v>0.83870967741935476</v>
      </c>
    </row>
    <row r="343" spans="1:29" ht="15" customHeight="1" thickBot="1" x14ac:dyDescent="0.4">
      <c r="A343" s="185"/>
      <c r="B343" s="7" t="s">
        <v>15</v>
      </c>
      <c r="C343" s="8" t="s">
        <v>20</v>
      </c>
      <c r="D343" s="8">
        <v>1</v>
      </c>
      <c r="E343" s="7" t="s">
        <v>109</v>
      </c>
      <c r="F343" s="40">
        <f>'GT Input'!C10</f>
        <v>7</v>
      </c>
      <c r="G343" s="40">
        <f>'GT Input'!D10</f>
        <v>18</v>
      </c>
      <c r="H343" s="40">
        <f>'GT Input'!E10</f>
        <v>7</v>
      </c>
      <c r="I343" s="40">
        <f>'GT Input'!F10</f>
        <v>18</v>
      </c>
      <c r="J343" s="41">
        <f>'Detailed Results'!G343</f>
        <v>7</v>
      </c>
      <c r="K343" s="41">
        <f>'Detailed Results'!H343</f>
        <v>7</v>
      </c>
      <c r="L343" s="42">
        <f t="shared" si="60"/>
        <v>1</v>
      </c>
      <c r="M343" s="42">
        <f t="shared" si="68"/>
        <v>1</v>
      </c>
      <c r="N343" s="42">
        <f t="shared" si="61"/>
        <v>1</v>
      </c>
      <c r="O343" s="43">
        <f>'Detailed Results'!I343</f>
        <v>18</v>
      </c>
      <c r="P343" s="43">
        <f>'Detailed Results'!J343</f>
        <v>18</v>
      </c>
      <c r="Q343" s="44">
        <f t="shared" si="62"/>
        <v>1</v>
      </c>
      <c r="R343" s="44">
        <f t="shared" si="69"/>
        <v>1</v>
      </c>
      <c r="S343" s="44">
        <f t="shared" si="63"/>
        <v>1</v>
      </c>
      <c r="T343" s="45">
        <f>'Detailed Results'!K343</f>
        <v>7</v>
      </c>
      <c r="U343" s="45">
        <f>'Detailed Results'!L343</f>
        <v>7</v>
      </c>
      <c r="V343" s="46">
        <f t="shared" si="64"/>
        <v>1</v>
      </c>
      <c r="W343" s="46">
        <f t="shared" si="70"/>
        <v>1</v>
      </c>
      <c r="X343" s="46">
        <f t="shared" si="65"/>
        <v>1</v>
      </c>
      <c r="Y343" s="47">
        <f>'Detailed Results'!M343</f>
        <v>18</v>
      </c>
      <c r="Z343" s="47">
        <f>'Detailed Results'!N343</f>
        <v>18</v>
      </c>
      <c r="AA343" s="48">
        <f t="shared" si="66"/>
        <v>1</v>
      </c>
      <c r="AB343" s="48">
        <f t="shared" si="71"/>
        <v>1</v>
      </c>
      <c r="AC343" s="48">
        <f t="shared" si="67"/>
        <v>1</v>
      </c>
    </row>
    <row r="344" spans="1:29" ht="15" customHeight="1" thickBot="1" x14ac:dyDescent="0.4">
      <c r="A344" s="185"/>
      <c r="B344" s="10" t="s">
        <v>15</v>
      </c>
      <c r="C344" s="11" t="s">
        <v>20</v>
      </c>
      <c r="D344" s="11">
        <v>2</v>
      </c>
      <c r="E344" s="10" t="s">
        <v>17</v>
      </c>
      <c r="F344" s="40">
        <f>'GT Input'!C10</f>
        <v>7</v>
      </c>
      <c r="G344" s="40">
        <f>'GT Input'!D10</f>
        <v>18</v>
      </c>
      <c r="H344" s="40">
        <f>'GT Input'!E10</f>
        <v>7</v>
      </c>
      <c r="I344" s="40">
        <f>'GT Input'!F10</f>
        <v>18</v>
      </c>
      <c r="J344" s="41">
        <f>'Detailed Results'!G344</f>
        <v>7</v>
      </c>
      <c r="K344" s="41">
        <f>'Detailed Results'!H344</f>
        <v>7</v>
      </c>
      <c r="L344" s="42">
        <f t="shared" si="60"/>
        <v>1</v>
      </c>
      <c r="M344" s="42">
        <f t="shared" si="68"/>
        <v>1</v>
      </c>
      <c r="N344" s="42">
        <f t="shared" si="61"/>
        <v>1</v>
      </c>
      <c r="O344" s="43">
        <f>'Detailed Results'!I344</f>
        <v>14</v>
      </c>
      <c r="P344" s="43">
        <f>'Detailed Results'!J344</f>
        <v>14</v>
      </c>
      <c r="Q344" s="44">
        <f t="shared" si="62"/>
        <v>1</v>
      </c>
      <c r="R344" s="44">
        <f t="shared" si="69"/>
        <v>0.77777777777777779</v>
      </c>
      <c r="S344" s="44">
        <f t="shared" si="63"/>
        <v>0.87500000000000011</v>
      </c>
      <c r="T344" s="45">
        <f>'Detailed Results'!K344</f>
        <v>7</v>
      </c>
      <c r="U344" s="45">
        <f>'Detailed Results'!L344</f>
        <v>7</v>
      </c>
      <c r="V344" s="46">
        <f t="shared" si="64"/>
        <v>1</v>
      </c>
      <c r="W344" s="46">
        <f t="shared" si="70"/>
        <v>1</v>
      </c>
      <c r="X344" s="46">
        <f t="shared" si="65"/>
        <v>1</v>
      </c>
      <c r="Y344" s="47">
        <f>'Detailed Results'!M344</f>
        <v>14</v>
      </c>
      <c r="Z344" s="47">
        <f>'Detailed Results'!N344</f>
        <v>14</v>
      </c>
      <c r="AA344" s="48">
        <f t="shared" si="66"/>
        <v>1</v>
      </c>
      <c r="AB344" s="48">
        <f t="shared" si="71"/>
        <v>0.77777777777777779</v>
      </c>
      <c r="AC344" s="48">
        <f t="shared" si="67"/>
        <v>0.87500000000000011</v>
      </c>
    </row>
    <row r="345" spans="1:29" ht="15" customHeight="1" thickBot="1" x14ac:dyDescent="0.4">
      <c r="A345" s="185"/>
      <c r="B345" s="10" t="s">
        <v>15</v>
      </c>
      <c r="C345" s="11" t="s">
        <v>20</v>
      </c>
      <c r="D345" s="11">
        <v>2</v>
      </c>
      <c r="E345" s="10" t="s">
        <v>109</v>
      </c>
      <c r="F345" s="40">
        <f>'GT Input'!C10</f>
        <v>7</v>
      </c>
      <c r="G345" s="40">
        <f>'GT Input'!D10</f>
        <v>18</v>
      </c>
      <c r="H345" s="40">
        <f>'GT Input'!E10</f>
        <v>7</v>
      </c>
      <c r="I345" s="40">
        <f>'GT Input'!F10</f>
        <v>18</v>
      </c>
      <c r="J345" s="41">
        <f>'Detailed Results'!G345</f>
        <v>7</v>
      </c>
      <c r="K345" s="41">
        <f>'Detailed Results'!H345</f>
        <v>7</v>
      </c>
      <c r="L345" s="42">
        <f t="shared" si="60"/>
        <v>1</v>
      </c>
      <c r="M345" s="42">
        <f t="shared" si="68"/>
        <v>1</v>
      </c>
      <c r="N345" s="42">
        <f t="shared" si="61"/>
        <v>1</v>
      </c>
      <c r="O345" s="43">
        <f>'Detailed Results'!I345</f>
        <v>14</v>
      </c>
      <c r="P345" s="43">
        <f>'Detailed Results'!J345</f>
        <v>14</v>
      </c>
      <c r="Q345" s="44">
        <f t="shared" si="62"/>
        <v>1</v>
      </c>
      <c r="R345" s="44">
        <f t="shared" si="69"/>
        <v>0.77777777777777779</v>
      </c>
      <c r="S345" s="44">
        <f t="shared" si="63"/>
        <v>0.87500000000000011</v>
      </c>
      <c r="T345" s="45">
        <f>'Detailed Results'!K345</f>
        <v>7</v>
      </c>
      <c r="U345" s="45">
        <f>'Detailed Results'!L345</f>
        <v>7</v>
      </c>
      <c r="V345" s="46">
        <f t="shared" si="64"/>
        <v>1</v>
      </c>
      <c r="W345" s="46">
        <f t="shared" si="70"/>
        <v>1</v>
      </c>
      <c r="X345" s="46">
        <f t="shared" si="65"/>
        <v>1</v>
      </c>
      <c r="Y345" s="47">
        <f>'Detailed Results'!M345</f>
        <v>14</v>
      </c>
      <c r="Z345" s="47">
        <f>'Detailed Results'!N345</f>
        <v>14</v>
      </c>
      <c r="AA345" s="48">
        <f t="shared" si="66"/>
        <v>1</v>
      </c>
      <c r="AB345" s="48">
        <f t="shared" si="71"/>
        <v>0.77777777777777779</v>
      </c>
      <c r="AC345" s="48">
        <f t="shared" si="67"/>
        <v>0.87500000000000011</v>
      </c>
    </row>
    <row r="346" spans="1:29" ht="15" customHeight="1" thickBot="1" x14ac:dyDescent="0.4">
      <c r="A346" s="185"/>
      <c r="B346" s="7" t="s">
        <v>15</v>
      </c>
      <c r="C346" s="8" t="s">
        <v>20</v>
      </c>
      <c r="D346" s="8">
        <v>3</v>
      </c>
      <c r="E346" s="7" t="s">
        <v>17</v>
      </c>
      <c r="F346" s="40">
        <f>'GT Input'!C10</f>
        <v>7</v>
      </c>
      <c r="G346" s="40">
        <f>'GT Input'!D10</f>
        <v>18</v>
      </c>
      <c r="H346" s="40">
        <f>'GT Input'!E10</f>
        <v>7</v>
      </c>
      <c r="I346" s="40">
        <f>'GT Input'!F10</f>
        <v>18</v>
      </c>
      <c r="J346" s="41">
        <f>'Detailed Results'!G346</f>
        <v>7</v>
      </c>
      <c r="K346" s="41">
        <f>'Detailed Results'!H346</f>
        <v>7</v>
      </c>
      <c r="L346" s="42">
        <f t="shared" si="60"/>
        <v>1</v>
      </c>
      <c r="M346" s="42">
        <f t="shared" si="68"/>
        <v>1</v>
      </c>
      <c r="N346" s="42">
        <f t="shared" si="61"/>
        <v>1</v>
      </c>
      <c r="O346" s="43">
        <f>'Detailed Results'!I346</f>
        <v>13</v>
      </c>
      <c r="P346" s="43">
        <f>'Detailed Results'!J346</f>
        <v>13</v>
      </c>
      <c r="Q346" s="44">
        <f t="shared" si="62"/>
        <v>1</v>
      </c>
      <c r="R346" s="44">
        <f t="shared" si="69"/>
        <v>0.72222222222222221</v>
      </c>
      <c r="S346" s="44">
        <f t="shared" si="63"/>
        <v>0.83870967741935476</v>
      </c>
      <c r="T346" s="45">
        <f>'Detailed Results'!K346</f>
        <v>7</v>
      </c>
      <c r="U346" s="45">
        <f>'Detailed Results'!L346</f>
        <v>7</v>
      </c>
      <c r="V346" s="46">
        <f t="shared" si="64"/>
        <v>1</v>
      </c>
      <c r="W346" s="46">
        <f t="shared" si="70"/>
        <v>1</v>
      </c>
      <c r="X346" s="46">
        <f t="shared" si="65"/>
        <v>1</v>
      </c>
      <c r="Y346" s="47">
        <f>'Detailed Results'!M346</f>
        <v>13</v>
      </c>
      <c r="Z346" s="47">
        <f>'Detailed Results'!N346</f>
        <v>13</v>
      </c>
      <c r="AA346" s="48">
        <f t="shared" si="66"/>
        <v>1</v>
      </c>
      <c r="AB346" s="48">
        <f t="shared" si="71"/>
        <v>0.72222222222222221</v>
      </c>
      <c r="AC346" s="48">
        <f t="shared" si="67"/>
        <v>0.83870967741935476</v>
      </c>
    </row>
    <row r="347" spans="1:29" ht="15" customHeight="1" thickBot="1" x14ac:dyDescent="0.4">
      <c r="A347" s="185"/>
      <c r="B347" s="7" t="s">
        <v>15</v>
      </c>
      <c r="C347" s="8" t="s">
        <v>20</v>
      </c>
      <c r="D347" s="8">
        <v>3</v>
      </c>
      <c r="E347" s="7" t="s">
        <v>109</v>
      </c>
      <c r="F347" s="40">
        <f>'GT Input'!C10</f>
        <v>7</v>
      </c>
      <c r="G347" s="40">
        <f>'GT Input'!D10</f>
        <v>18</v>
      </c>
      <c r="H347" s="40">
        <f>'GT Input'!E10</f>
        <v>7</v>
      </c>
      <c r="I347" s="40">
        <f>'GT Input'!F10</f>
        <v>18</v>
      </c>
      <c r="J347" s="41">
        <f>'Detailed Results'!G347</f>
        <v>7</v>
      </c>
      <c r="K347" s="41">
        <f>'Detailed Results'!H347</f>
        <v>7</v>
      </c>
      <c r="L347" s="42">
        <f t="shared" si="60"/>
        <v>1</v>
      </c>
      <c r="M347" s="42">
        <f t="shared" si="68"/>
        <v>1</v>
      </c>
      <c r="N347" s="42">
        <f t="shared" si="61"/>
        <v>1</v>
      </c>
      <c r="O347" s="43">
        <f>'Detailed Results'!I347</f>
        <v>18</v>
      </c>
      <c r="P347" s="43">
        <f>'Detailed Results'!J347</f>
        <v>18</v>
      </c>
      <c r="Q347" s="44">
        <f t="shared" si="62"/>
        <v>1</v>
      </c>
      <c r="R347" s="44">
        <f t="shared" si="69"/>
        <v>1</v>
      </c>
      <c r="S347" s="44">
        <f t="shared" si="63"/>
        <v>1</v>
      </c>
      <c r="T347" s="45">
        <f>'Detailed Results'!K347</f>
        <v>7</v>
      </c>
      <c r="U347" s="45">
        <f>'Detailed Results'!L347</f>
        <v>7</v>
      </c>
      <c r="V347" s="46">
        <f t="shared" si="64"/>
        <v>1</v>
      </c>
      <c r="W347" s="46">
        <f t="shared" si="70"/>
        <v>1</v>
      </c>
      <c r="X347" s="46">
        <f t="shared" si="65"/>
        <v>1</v>
      </c>
      <c r="Y347" s="47">
        <f>'Detailed Results'!M347</f>
        <v>18</v>
      </c>
      <c r="Z347" s="47">
        <f>'Detailed Results'!N347</f>
        <v>18</v>
      </c>
      <c r="AA347" s="48">
        <f t="shared" si="66"/>
        <v>1</v>
      </c>
      <c r="AB347" s="48">
        <f t="shared" si="71"/>
        <v>1</v>
      </c>
      <c r="AC347" s="48">
        <f t="shared" si="67"/>
        <v>1</v>
      </c>
    </row>
    <row r="348" spans="1:29" ht="15" customHeight="1" thickBot="1" x14ac:dyDescent="0.4">
      <c r="A348" s="185"/>
      <c r="B348" s="12" t="s">
        <v>21</v>
      </c>
      <c r="C348" s="13" t="s">
        <v>16</v>
      </c>
      <c r="D348" s="13">
        <v>1</v>
      </c>
      <c r="E348" s="12" t="s">
        <v>17</v>
      </c>
      <c r="F348" s="40">
        <f>'GT Input'!C10</f>
        <v>7</v>
      </c>
      <c r="G348" s="40">
        <f>'GT Input'!D10</f>
        <v>18</v>
      </c>
      <c r="H348" s="40">
        <f>'GT Input'!E10</f>
        <v>7</v>
      </c>
      <c r="I348" s="40">
        <f>'GT Input'!F10</f>
        <v>18</v>
      </c>
      <c r="J348" s="41">
        <f>'Detailed Results'!G348</f>
        <v>7</v>
      </c>
      <c r="K348" s="41">
        <f>'Detailed Results'!H348</f>
        <v>7</v>
      </c>
      <c r="L348" s="42">
        <f t="shared" si="60"/>
        <v>1</v>
      </c>
      <c r="M348" s="42">
        <f t="shared" si="68"/>
        <v>1</v>
      </c>
      <c r="N348" s="42">
        <f t="shared" si="61"/>
        <v>1</v>
      </c>
      <c r="O348" s="43">
        <f>'Detailed Results'!I348</f>
        <v>11</v>
      </c>
      <c r="P348" s="43">
        <f>'Detailed Results'!J348</f>
        <v>11</v>
      </c>
      <c r="Q348" s="44">
        <f t="shared" si="62"/>
        <v>1</v>
      </c>
      <c r="R348" s="44">
        <f t="shared" si="69"/>
        <v>0.61111111111111116</v>
      </c>
      <c r="S348" s="44">
        <f t="shared" si="63"/>
        <v>0.75862068965517249</v>
      </c>
      <c r="T348" s="45">
        <f>'Detailed Results'!K348</f>
        <v>7</v>
      </c>
      <c r="U348" s="45">
        <f>'Detailed Results'!L348</f>
        <v>7</v>
      </c>
      <c r="V348" s="46">
        <f t="shared" si="64"/>
        <v>1</v>
      </c>
      <c r="W348" s="46">
        <f t="shared" si="70"/>
        <v>1</v>
      </c>
      <c r="X348" s="46">
        <f t="shared" si="65"/>
        <v>1</v>
      </c>
      <c r="Y348" s="47">
        <f>'Detailed Results'!M348</f>
        <v>11</v>
      </c>
      <c r="Z348" s="47">
        <f>'Detailed Results'!N348</f>
        <v>9</v>
      </c>
      <c r="AA348" s="48">
        <f t="shared" si="66"/>
        <v>0.81818181818181823</v>
      </c>
      <c r="AB348" s="48">
        <f t="shared" si="71"/>
        <v>0.5</v>
      </c>
      <c r="AC348" s="48">
        <f t="shared" si="67"/>
        <v>0.6206896551724137</v>
      </c>
    </row>
    <row r="349" spans="1:29" ht="15" customHeight="1" thickBot="1" x14ac:dyDescent="0.4">
      <c r="A349" s="185"/>
      <c r="B349" s="12" t="s">
        <v>21</v>
      </c>
      <c r="C349" s="13" t="s">
        <v>16</v>
      </c>
      <c r="D349" s="13">
        <v>1</v>
      </c>
      <c r="E349" s="12" t="s">
        <v>109</v>
      </c>
      <c r="F349" s="40">
        <f>'GT Input'!C10</f>
        <v>7</v>
      </c>
      <c r="G349" s="40">
        <f>'GT Input'!D10</f>
        <v>18</v>
      </c>
      <c r="H349" s="40">
        <f>'GT Input'!E10</f>
        <v>7</v>
      </c>
      <c r="I349" s="40">
        <f>'GT Input'!F10</f>
        <v>18</v>
      </c>
      <c r="J349" s="41">
        <f>'Detailed Results'!G349</f>
        <v>7</v>
      </c>
      <c r="K349" s="41">
        <f>'Detailed Results'!H349</f>
        <v>7</v>
      </c>
      <c r="L349" s="42">
        <f t="shared" si="60"/>
        <v>1</v>
      </c>
      <c r="M349" s="42">
        <f t="shared" si="68"/>
        <v>1</v>
      </c>
      <c r="N349" s="42">
        <f t="shared" si="61"/>
        <v>1</v>
      </c>
      <c r="O349" s="43">
        <f>'Detailed Results'!I349</f>
        <v>11</v>
      </c>
      <c r="P349" s="43">
        <f>'Detailed Results'!J349</f>
        <v>11</v>
      </c>
      <c r="Q349" s="44">
        <f t="shared" si="62"/>
        <v>1</v>
      </c>
      <c r="R349" s="44">
        <f t="shared" si="69"/>
        <v>0.61111111111111116</v>
      </c>
      <c r="S349" s="44">
        <f t="shared" si="63"/>
        <v>0.75862068965517249</v>
      </c>
      <c r="T349" s="45">
        <f>'Detailed Results'!K349</f>
        <v>7</v>
      </c>
      <c r="U349" s="45">
        <f>'Detailed Results'!L349</f>
        <v>7</v>
      </c>
      <c r="V349" s="46">
        <f t="shared" si="64"/>
        <v>1</v>
      </c>
      <c r="W349" s="46">
        <f t="shared" si="70"/>
        <v>1</v>
      </c>
      <c r="X349" s="46">
        <f t="shared" si="65"/>
        <v>1</v>
      </c>
      <c r="Y349" s="47">
        <f>'Detailed Results'!M349</f>
        <v>11</v>
      </c>
      <c r="Z349" s="47">
        <f>'Detailed Results'!N349</f>
        <v>9</v>
      </c>
      <c r="AA349" s="48">
        <f t="shared" si="66"/>
        <v>0.81818181818181823</v>
      </c>
      <c r="AB349" s="48">
        <f t="shared" si="71"/>
        <v>0.5</v>
      </c>
      <c r="AC349" s="48">
        <f t="shared" si="67"/>
        <v>0.6206896551724137</v>
      </c>
    </row>
    <row r="350" spans="1:29" ht="15" customHeight="1" thickBot="1" x14ac:dyDescent="0.4">
      <c r="A350" s="185"/>
      <c r="B350" s="14" t="s">
        <v>21</v>
      </c>
      <c r="C350" s="15" t="s">
        <v>16</v>
      </c>
      <c r="D350" s="15">
        <v>2</v>
      </c>
      <c r="E350" s="14" t="s">
        <v>17</v>
      </c>
      <c r="F350" s="40">
        <f>'GT Input'!C10</f>
        <v>7</v>
      </c>
      <c r="G350" s="40">
        <f>'GT Input'!D10</f>
        <v>18</v>
      </c>
      <c r="H350" s="40">
        <f>'GT Input'!E10</f>
        <v>7</v>
      </c>
      <c r="I350" s="40">
        <f>'GT Input'!F10</f>
        <v>18</v>
      </c>
      <c r="J350" s="41">
        <f>'Detailed Results'!G350</f>
        <v>7</v>
      </c>
      <c r="K350" s="41">
        <f>'Detailed Results'!H350</f>
        <v>7</v>
      </c>
      <c r="L350" s="42">
        <f t="shared" si="60"/>
        <v>1</v>
      </c>
      <c r="M350" s="42">
        <f t="shared" si="68"/>
        <v>1</v>
      </c>
      <c r="N350" s="42">
        <f t="shared" si="61"/>
        <v>1</v>
      </c>
      <c r="O350" s="43">
        <f>'Detailed Results'!I350</f>
        <v>11</v>
      </c>
      <c r="P350" s="43">
        <f>'Detailed Results'!J350</f>
        <v>11</v>
      </c>
      <c r="Q350" s="44">
        <f t="shared" si="62"/>
        <v>1</v>
      </c>
      <c r="R350" s="44">
        <f t="shared" si="69"/>
        <v>0.61111111111111116</v>
      </c>
      <c r="S350" s="44">
        <f t="shared" si="63"/>
        <v>0.75862068965517249</v>
      </c>
      <c r="T350" s="45">
        <f>'Detailed Results'!K350</f>
        <v>7</v>
      </c>
      <c r="U350" s="45">
        <f>'Detailed Results'!L350</f>
        <v>7</v>
      </c>
      <c r="V350" s="46">
        <f t="shared" si="64"/>
        <v>1</v>
      </c>
      <c r="W350" s="46">
        <f t="shared" si="70"/>
        <v>1</v>
      </c>
      <c r="X350" s="46">
        <f t="shared" si="65"/>
        <v>1</v>
      </c>
      <c r="Y350" s="47">
        <f>'Detailed Results'!M350</f>
        <v>11</v>
      </c>
      <c r="Z350" s="47">
        <f>'Detailed Results'!N350</f>
        <v>9</v>
      </c>
      <c r="AA350" s="48">
        <f t="shared" si="66"/>
        <v>0.81818181818181823</v>
      </c>
      <c r="AB350" s="48">
        <f t="shared" si="71"/>
        <v>0.5</v>
      </c>
      <c r="AC350" s="48">
        <f t="shared" si="67"/>
        <v>0.6206896551724137</v>
      </c>
    </row>
    <row r="351" spans="1:29" ht="15" customHeight="1" thickBot="1" x14ac:dyDescent="0.4">
      <c r="A351" s="185"/>
      <c r="B351" s="14" t="s">
        <v>21</v>
      </c>
      <c r="C351" s="15" t="s">
        <v>16</v>
      </c>
      <c r="D351" s="15">
        <v>2</v>
      </c>
      <c r="E351" s="14" t="s">
        <v>109</v>
      </c>
      <c r="F351" s="40">
        <f>'GT Input'!C10</f>
        <v>7</v>
      </c>
      <c r="G351" s="40">
        <f>'GT Input'!D10</f>
        <v>18</v>
      </c>
      <c r="H351" s="40">
        <f>'GT Input'!E10</f>
        <v>7</v>
      </c>
      <c r="I351" s="40">
        <f>'GT Input'!F10</f>
        <v>18</v>
      </c>
      <c r="J351" s="41">
        <f>'Detailed Results'!G351</f>
        <v>7</v>
      </c>
      <c r="K351" s="41">
        <f>'Detailed Results'!H351</f>
        <v>7</v>
      </c>
      <c r="L351" s="42">
        <f t="shared" si="60"/>
        <v>1</v>
      </c>
      <c r="M351" s="42">
        <f t="shared" si="68"/>
        <v>1</v>
      </c>
      <c r="N351" s="42">
        <f t="shared" si="61"/>
        <v>1</v>
      </c>
      <c r="O351" s="43">
        <f>'Detailed Results'!I351</f>
        <v>10</v>
      </c>
      <c r="P351" s="43">
        <f>'Detailed Results'!J351</f>
        <v>10</v>
      </c>
      <c r="Q351" s="44">
        <f t="shared" si="62"/>
        <v>1</v>
      </c>
      <c r="R351" s="44">
        <f t="shared" si="69"/>
        <v>0.55555555555555558</v>
      </c>
      <c r="S351" s="44">
        <f t="shared" si="63"/>
        <v>0.7142857142857143</v>
      </c>
      <c r="T351" s="45">
        <f>'Detailed Results'!K351</f>
        <v>7</v>
      </c>
      <c r="U351" s="45">
        <f>'Detailed Results'!L351</f>
        <v>7</v>
      </c>
      <c r="V351" s="46">
        <f t="shared" si="64"/>
        <v>1</v>
      </c>
      <c r="W351" s="46">
        <f t="shared" si="70"/>
        <v>1</v>
      </c>
      <c r="X351" s="46">
        <f t="shared" si="65"/>
        <v>1</v>
      </c>
      <c r="Y351" s="47">
        <f>'Detailed Results'!M351</f>
        <v>10</v>
      </c>
      <c r="Z351" s="47">
        <f>'Detailed Results'!N351</f>
        <v>9</v>
      </c>
      <c r="AA351" s="48">
        <f t="shared" si="66"/>
        <v>0.9</v>
      </c>
      <c r="AB351" s="48">
        <f t="shared" si="71"/>
        <v>0.5</v>
      </c>
      <c r="AC351" s="48">
        <f t="shared" si="67"/>
        <v>0.6428571428571429</v>
      </c>
    </row>
    <row r="352" spans="1:29" ht="15" customHeight="1" thickBot="1" x14ac:dyDescent="0.4">
      <c r="A352" s="185"/>
      <c r="B352" s="12" t="s">
        <v>21</v>
      </c>
      <c r="C352" s="13" t="s">
        <v>16</v>
      </c>
      <c r="D352" s="13">
        <v>3</v>
      </c>
      <c r="E352" s="12" t="s">
        <v>17</v>
      </c>
      <c r="F352" s="40">
        <f>'GT Input'!C10</f>
        <v>7</v>
      </c>
      <c r="G352" s="40">
        <f>'GT Input'!D10</f>
        <v>18</v>
      </c>
      <c r="H352" s="40">
        <f>'GT Input'!E10</f>
        <v>7</v>
      </c>
      <c r="I352" s="40">
        <f>'GT Input'!F10</f>
        <v>18</v>
      </c>
      <c r="J352" s="41">
        <f>'Detailed Results'!G352</f>
        <v>7</v>
      </c>
      <c r="K352" s="41">
        <f>'Detailed Results'!H352</f>
        <v>7</v>
      </c>
      <c r="L352" s="42">
        <f t="shared" si="60"/>
        <v>1</v>
      </c>
      <c r="M352" s="42">
        <f t="shared" si="68"/>
        <v>1</v>
      </c>
      <c r="N352" s="42">
        <f t="shared" si="61"/>
        <v>1</v>
      </c>
      <c r="O352" s="43">
        <f>'Detailed Results'!I352</f>
        <v>11</v>
      </c>
      <c r="P352" s="43">
        <f>'Detailed Results'!J352</f>
        <v>11</v>
      </c>
      <c r="Q352" s="44">
        <f t="shared" si="62"/>
        <v>1</v>
      </c>
      <c r="R352" s="44">
        <f t="shared" si="69"/>
        <v>0.61111111111111116</v>
      </c>
      <c r="S352" s="44">
        <f t="shared" si="63"/>
        <v>0.75862068965517249</v>
      </c>
      <c r="T352" s="45">
        <f>'Detailed Results'!K352</f>
        <v>7</v>
      </c>
      <c r="U352" s="45">
        <f>'Detailed Results'!L352</f>
        <v>7</v>
      </c>
      <c r="V352" s="46">
        <f t="shared" si="64"/>
        <v>1</v>
      </c>
      <c r="W352" s="46">
        <f t="shared" si="70"/>
        <v>1</v>
      </c>
      <c r="X352" s="46">
        <f t="shared" si="65"/>
        <v>1</v>
      </c>
      <c r="Y352" s="47">
        <f>'Detailed Results'!M352</f>
        <v>11</v>
      </c>
      <c r="Z352" s="47">
        <f>'Detailed Results'!N352</f>
        <v>9</v>
      </c>
      <c r="AA352" s="48">
        <f t="shared" si="66"/>
        <v>0.81818181818181823</v>
      </c>
      <c r="AB352" s="48">
        <f t="shared" si="71"/>
        <v>0.5</v>
      </c>
      <c r="AC352" s="48">
        <f t="shared" si="67"/>
        <v>0.6206896551724137</v>
      </c>
    </row>
    <row r="353" spans="1:29" ht="15" customHeight="1" thickBot="1" x14ac:dyDescent="0.4">
      <c r="A353" s="185"/>
      <c r="B353" s="12" t="s">
        <v>21</v>
      </c>
      <c r="C353" s="13" t="s">
        <v>16</v>
      </c>
      <c r="D353" s="13">
        <v>3</v>
      </c>
      <c r="E353" s="12" t="s">
        <v>109</v>
      </c>
      <c r="F353" s="40">
        <f>'GT Input'!C10</f>
        <v>7</v>
      </c>
      <c r="G353" s="40">
        <f>'GT Input'!D10</f>
        <v>18</v>
      </c>
      <c r="H353" s="40">
        <f>'GT Input'!E10</f>
        <v>7</v>
      </c>
      <c r="I353" s="40">
        <f>'GT Input'!F10</f>
        <v>18</v>
      </c>
      <c r="J353" s="41">
        <f>'Detailed Results'!G353</f>
        <v>7</v>
      </c>
      <c r="K353" s="41">
        <f>'Detailed Results'!H353</f>
        <v>7</v>
      </c>
      <c r="L353" s="42">
        <f t="shared" si="60"/>
        <v>1</v>
      </c>
      <c r="M353" s="42">
        <f t="shared" si="68"/>
        <v>1</v>
      </c>
      <c r="N353" s="42">
        <f t="shared" si="61"/>
        <v>1</v>
      </c>
      <c r="O353" s="43">
        <f>'Detailed Results'!I353</f>
        <v>11</v>
      </c>
      <c r="P353" s="43">
        <f>'Detailed Results'!J353</f>
        <v>11</v>
      </c>
      <c r="Q353" s="44">
        <f t="shared" si="62"/>
        <v>1</v>
      </c>
      <c r="R353" s="44">
        <f t="shared" si="69"/>
        <v>0.61111111111111116</v>
      </c>
      <c r="S353" s="44">
        <f t="shared" si="63"/>
        <v>0.75862068965517249</v>
      </c>
      <c r="T353" s="45">
        <f>'Detailed Results'!K353</f>
        <v>7</v>
      </c>
      <c r="U353" s="45">
        <f>'Detailed Results'!L353</f>
        <v>7</v>
      </c>
      <c r="V353" s="46">
        <f t="shared" si="64"/>
        <v>1</v>
      </c>
      <c r="W353" s="46">
        <f t="shared" si="70"/>
        <v>1</v>
      </c>
      <c r="X353" s="46">
        <f t="shared" si="65"/>
        <v>1</v>
      </c>
      <c r="Y353" s="47">
        <f>'Detailed Results'!M353</f>
        <v>11</v>
      </c>
      <c r="Z353" s="47">
        <f>'Detailed Results'!N353</f>
        <v>9</v>
      </c>
      <c r="AA353" s="48">
        <f t="shared" si="66"/>
        <v>0.81818181818181823</v>
      </c>
      <c r="AB353" s="48">
        <f t="shared" si="71"/>
        <v>0.5</v>
      </c>
      <c r="AC353" s="48">
        <f t="shared" si="67"/>
        <v>0.6206896551724137</v>
      </c>
    </row>
    <row r="354" spans="1:29" ht="15" customHeight="1" thickBot="1" x14ac:dyDescent="0.4">
      <c r="A354" s="185"/>
      <c r="B354" s="14" t="s">
        <v>21</v>
      </c>
      <c r="C354" s="15" t="s">
        <v>19</v>
      </c>
      <c r="D354" s="15">
        <v>1</v>
      </c>
      <c r="E354" s="14" t="s">
        <v>17</v>
      </c>
      <c r="F354" s="40">
        <f>'GT Input'!C10</f>
        <v>7</v>
      </c>
      <c r="G354" s="40">
        <f>'GT Input'!D10</f>
        <v>18</v>
      </c>
      <c r="H354" s="40">
        <f>'GT Input'!E10</f>
        <v>7</v>
      </c>
      <c r="I354" s="40">
        <f>'GT Input'!F10</f>
        <v>18</v>
      </c>
      <c r="J354" s="41">
        <f>'Detailed Results'!G354</f>
        <v>7</v>
      </c>
      <c r="K354" s="41">
        <f>'Detailed Results'!H354</f>
        <v>7</v>
      </c>
      <c r="L354" s="42">
        <f t="shared" si="60"/>
        <v>1</v>
      </c>
      <c r="M354" s="42">
        <f t="shared" si="68"/>
        <v>1</v>
      </c>
      <c r="N354" s="42">
        <f t="shared" si="61"/>
        <v>1</v>
      </c>
      <c r="O354" s="43">
        <f>'Detailed Results'!I354</f>
        <v>11</v>
      </c>
      <c r="P354" s="43">
        <f>'Detailed Results'!J354</f>
        <v>11</v>
      </c>
      <c r="Q354" s="44">
        <f t="shared" si="62"/>
        <v>1</v>
      </c>
      <c r="R354" s="44">
        <f t="shared" si="69"/>
        <v>0.61111111111111116</v>
      </c>
      <c r="S354" s="44">
        <f t="shared" si="63"/>
        <v>0.75862068965517249</v>
      </c>
      <c r="T354" s="45">
        <f>'Detailed Results'!K354</f>
        <v>7</v>
      </c>
      <c r="U354" s="45">
        <f>'Detailed Results'!L354</f>
        <v>7</v>
      </c>
      <c r="V354" s="46">
        <f t="shared" si="64"/>
        <v>1</v>
      </c>
      <c r="W354" s="46">
        <f t="shared" si="70"/>
        <v>1</v>
      </c>
      <c r="X354" s="46">
        <f t="shared" si="65"/>
        <v>1</v>
      </c>
      <c r="Y354" s="47">
        <f>'Detailed Results'!M354</f>
        <v>11</v>
      </c>
      <c r="Z354" s="47">
        <f>'Detailed Results'!N354</f>
        <v>9</v>
      </c>
      <c r="AA354" s="48">
        <f t="shared" si="66"/>
        <v>0.81818181818181823</v>
      </c>
      <c r="AB354" s="48">
        <f t="shared" si="71"/>
        <v>0.5</v>
      </c>
      <c r="AC354" s="48">
        <f t="shared" si="67"/>
        <v>0.6206896551724137</v>
      </c>
    </row>
    <row r="355" spans="1:29" ht="15" customHeight="1" thickBot="1" x14ac:dyDescent="0.4">
      <c r="A355" s="185"/>
      <c r="B355" s="14" t="s">
        <v>21</v>
      </c>
      <c r="C355" s="15" t="s">
        <v>19</v>
      </c>
      <c r="D355" s="15">
        <v>1</v>
      </c>
      <c r="E355" s="14" t="s">
        <v>109</v>
      </c>
      <c r="F355" s="40">
        <f>'GT Input'!C10</f>
        <v>7</v>
      </c>
      <c r="G355" s="40">
        <f>'GT Input'!D10</f>
        <v>18</v>
      </c>
      <c r="H355" s="40">
        <f>'GT Input'!E10</f>
        <v>7</v>
      </c>
      <c r="I355" s="40">
        <f>'GT Input'!F10</f>
        <v>18</v>
      </c>
      <c r="J355" s="41">
        <f>'Detailed Results'!G355</f>
        <v>7</v>
      </c>
      <c r="K355" s="41">
        <f>'Detailed Results'!H355</f>
        <v>7</v>
      </c>
      <c r="L355" s="42">
        <f t="shared" si="60"/>
        <v>1</v>
      </c>
      <c r="M355" s="42">
        <f t="shared" si="68"/>
        <v>1</v>
      </c>
      <c r="N355" s="42">
        <f t="shared" si="61"/>
        <v>1</v>
      </c>
      <c r="O355" s="43">
        <f>'Detailed Results'!I355</f>
        <v>11</v>
      </c>
      <c r="P355" s="43">
        <f>'Detailed Results'!J355</f>
        <v>11</v>
      </c>
      <c r="Q355" s="44">
        <f t="shared" si="62"/>
        <v>1</v>
      </c>
      <c r="R355" s="44">
        <f t="shared" si="69"/>
        <v>0.61111111111111116</v>
      </c>
      <c r="S355" s="44">
        <f t="shared" si="63"/>
        <v>0.75862068965517249</v>
      </c>
      <c r="T355" s="45">
        <f>'Detailed Results'!K355</f>
        <v>7</v>
      </c>
      <c r="U355" s="45">
        <f>'Detailed Results'!L355</f>
        <v>7</v>
      </c>
      <c r="V355" s="46">
        <f t="shared" si="64"/>
        <v>1</v>
      </c>
      <c r="W355" s="46">
        <f t="shared" si="70"/>
        <v>1</v>
      </c>
      <c r="X355" s="46">
        <f t="shared" si="65"/>
        <v>1</v>
      </c>
      <c r="Y355" s="47">
        <f>'Detailed Results'!M355</f>
        <v>11</v>
      </c>
      <c r="Z355" s="47">
        <f>'Detailed Results'!N355</f>
        <v>9</v>
      </c>
      <c r="AA355" s="48">
        <f t="shared" si="66"/>
        <v>0.81818181818181823</v>
      </c>
      <c r="AB355" s="48">
        <f t="shared" si="71"/>
        <v>0.5</v>
      </c>
      <c r="AC355" s="48">
        <f t="shared" si="67"/>
        <v>0.6206896551724137</v>
      </c>
    </row>
    <row r="356" spans="1:29" ht="15" customHeight="1" thickBot="1" x14ac:dyDescent="0.4">
      <c r="A356" s="185"/>
      <c r="B356" s="12" t="s">
        <v>21</v>
      </c>
      <c r="C356" s="13" t="s">
        <v>19</v>
      </c>
      <c r="D356" s="13">
        <v>2</v>
      </c>
      <c r="E356" s="12" t="s">
        <v>17</v>
      </c>
      <c r="F356" s="40">
        <f>'GT Input'!C10</f>
        <v>7</v>
      </c>
      <c r="G356" s="40">
        <f>'GT Input'!D10</f>
        <v>18</v>
      </c>
      <c r="H356" s="40">
        <f>'GT Input'!E10</f>
        <v>7</v>
      </c>
      <c r="I356" s="40">
        <f>'GT Input'!F10</f>
        <v>18</v>
      </c>
      <c r="J356" s="41">
        <f>'Detailed Results'!G356</f>
        <v>7</v>
      </c>
      <c r="K356" s="41">
        <f>'Detailed Results'!H356</f>
        <v>7</v>
      </c>
      <c r="L356" s="42">
        <f t="shared" si="60"/>
        <v>1</v>
      </c>
      <c r="M356" s="42">
        <f t="shared" si="68"/>
        <v>1</v>
      </c>
      <c r="N356" s="42">
        <f t="shared" si="61"/>
        <v>1</v>
      </c>
      <c r="O356" s="43">
        <f>'Detailed Results'!I356</f>
        <v>11</v>
      </c>
      <c r="P356" s="43">
        <f>'Detailed Results'!J356</f>
        <v>11</v>
      </c>
      <c r="Q356" s="44">
        <f t="shared" si="62"/>
        <v>1</v>
      </c>
      <c r="R356" s="44">
        <f t="shared" si="69"/>
        <v>0.61111111111111116</v>
      </c>
      <c r="S356" s="44">
        <f t="shared" si="63"/>
        <v>0.75862068965517249</v>
      </c>
      <c r="T356" s="45">
        <f>'Detailed Results'!K356</f>
        <v>7</v>
      </c>
      <c r="U356" s="45">
        <f>'Detailed Results'!L356</f>
        <v>7</v>
      </c>
      <c r="V356" s="46">
        <f t="shared" si="64"/>
        <v>1</v>
      </c>
      <c r="W356" s="46">
        <f t="shared" si="70"/>
        <v>1</v>
      </c>
      <c r="X356" s="46">
        <f t="shared" si="65"/>
        <v>1</v>
      </c>
      <c r="Y356" s="47">
        <f>'Detailed Results'!M356</f>
        <v>11</v>
      </c>
      <c r="Z356" s="47">
        <f>'Detailed Results'!N356</f>
        <v>9</v>
      </c>
      <c r="AA356" s="48">
        <f t="shared" si="66"/>
        <v>0.81818181818181823</v>
      </c>
      <c r="AB356" s="48">
        <f t="shared" si="71"/>
        <v>0.5</v>
      </c>
      <c r="AC356" s="48">
        <f t="shared" si="67"/>
        <v>0.6206896551724137</v>
      </c>
    </row>
    <row r="357" spans="1:29" ht="15" customHeight="1" thickBot="1" x14ac:dyDescent="0.4">
      <c r="A357" s="185"/>
      <c r="B357" s="12" t="s">
        <v>21</v>
      </c>
      <c r="C357" s="13" t="s">
        <v>19</v>
      </c>
      <c r="D357" s="13">
        <v>2</v>
      </c>
      <c r="E357" s="12" t="s">
        <v>109</v>
      </c>
      <c r="F357" s="40">
        <f>'GT Input'!C10</f>
        <v>7</v>
      </c>
      <c r="G357" s="40">
        <f>'GT Input'!D10</f>
        <v>18</v>
      </c>
      <c r="H357" s="40">
        <f>'GT Input'!E10</f>
        <v>7</v>
      </c>
      <c r="I357" s="40">
        <f>'GT Input'!F10</f>
        <v>18</v>
      </c>
      <c r="J357" s="41">
        <f>'Detailed Results'!G357</f>
        <v>7</v>
      </c>
      <c r="K357" s="41">
        <f>'Detailed Results'!H357</f>
        <v>7</v>
      </c>
      <c r="L357" s="42">
        <f t="shared" si="60"/>
        <v>1</v>
      </c>
      <c r="M357" s="42">
        <f t="shared" si="68"/>
        <v>1</v>
      </c>
      <c r="N357" s="42">
        <f t="shared" si="61"/>
        <v>1</v>
      </c>
      <c r="O357" s="43">
        <f>'Detailed Results'!I357</f>
        <v>11</v>
      </c>
      <c r="P357" s="43">
        <f>'Detailed Results'!J357</f>
        <v>11</v>
      </c>
      <c r="Q357" s="44">
        <f t="shared" si="62"/>
        <v>1</v>
      </c>
      <c r="R357" s="44">
        <f t="shared" si="69"/>
        <v>0.61111111111111116</v>
      </c>
      <c r="S357" s="44">
        <f t="shared" si="63"/>
        <v>0.75862068965517249</v>
      </c>
      <c r="T357" s="45">
        <f>'Detailed Results'!K357</f>
        <v>7</v>
      </c>
      <c r="U357" s="45">
        <f>'Detailed Results'!L357</f>
        <v>7</v>
      </c>
      <c r="V357" s="46">
        <f t="shared" si="64"/>
        <v>1</v>
      </c>
      <c r="W357" s="46">
        <f t="shared" si="70"/>
        <v>1</v>
      </c>
      <c r="X357" s="46">
        <f t="shared" si="65"/>
        <v>1</v>
      </c>
      <c r="Y357" s="47">
        <f>'Detailed Results'!M357</f>
        <v>11</v>
      </c>
      <c r="Z357" s="47">
        <f>'Detailed Results'!N357</f>
        <v>9</v>
      </c>
      <c r="AA357" s="48">
        <f t="shared" si="66"/>
        <v>0.81818181818181823</v>
      </c>
      <c r="AB357" s="48">
        <f t="shared" si="71"/>
        <v>0.5</v>
      </c>
      <c r="AC357" s="48">
        <f t="shared" si="67"/>
        <v>0.6206896551724137</v>
      </c>
    </row>
    <row r="358" spans="1:29" ht="15" customHeight="1" thickBot="1" x14ac:dyDescent="0.4">
      <c r="A358" s="185"/>
      <c r="B358" s="14" t="s">
        <v>21</v>
      </c>
      <c r="C358" s="15" t="s">
        <v>19</v>
      </c>
      <c r="D358" s="15">
        <v>3</v>
      </c>
      <c r="E358" s="14" t="s">
        <v>17</v>
      </c>
      <c r="F358" s="40">
        <f>'GT Input'!C10</f>
        <v>7</v>
      </c>
      <c r="G358" s="40">
        <f>'GT Input'!D10</f>
        <v>18</v>
      </c>
      <c r="H358" s="40">
        <f>'GT Input'!E10</f>
        <v>7</v>
      </c>
      <c r="I358" s="40">
        <f>'GT Input'!F10</f>
        <v>18</v>
      </c>
      <c r="J358" s="41">
        <f>'Detailed Results'!G358</f>
        <v>7</v>
      </c>
      <c r="K358" s="41">
        <f>'Detailed Results'!H358</f>
        <v>7</v>
      </c>
      <c r="L358" s="42">
        <f t="shared" si="60"/>
        <v>1</v>
      </c>
      <c r="M358" s="42">
        <f t="shared" si="68"/>
        <v>1</v>
      </c>
      <c r="N358" s="42">
        <f t="shared" si="61"/>
        <v>1</v>
      </c>
      <c r="O358" s="43">
        <f>'Detailed Results'!I358</f>
        <v>11</v>
      </c>
      <c r="P358" s="43">
        <f>'Detailed Results'!J358</f>
        <v>11</v>
      </c>
      <c r="Q358" s="44">
        <f t="shared" si="62"/>
        <v>1</v>
      </c>
      <c r="R358" s="44">
        <f t="shared" si="69"/>
        <v>0.61111111111111116</v>
      </c>
      <c r="S358" s="44">
        <f t="shared" si="63"/>
        <v>0.75862068965517249</v>
      </c>
      <c r="T358" s="45">
        <f>'Detailed Results'!K358</f>
        <v>7</v>
      </c>
      <c r="U358" s="45">
        <f>'Detailed Results'!L358</f>
        <v>7</v>
      </c>
      <c r="V358" s="46">
        <f t="shared" si="64"/>
        <v>1</v>
      </c>
      <c r="W358" s="46">
        <f t="shared" si="70"/>
        <v>1</v>
      </c>
      <c r="X358" s="46">
        <f t="shared" si="65"/>
        <v>1</v>
      </c>
      <c r="Y358" s="47">
        <f>'Detailed Results'!M358</f>
        <v>11</v>
      </c>
      <c r="Z358" s="47">
        <f>'Detailed Results'!N358</f>
        <v>9</v>
      </c>
      <c r="AA358" s="48">
        <f t="shared" si="66"/>
        <v>0.81818181818181823</v>
      </c>
      <c r="AB358" s="48">
        <f t="shared" si="71"/>
        <v>0.5</v>
      </c>
      <c r="AC358" s="48">
        <f t="shared" si="67"/>
        <v>0.6206896551724137</v>
      </c>
    </row>
    <row r="359" spans="1:29" ht="15" customHeight="1" thickBot="1" x14ac:dyDescent="0.4">
      <c r="A359" s="185"/>
      <c r="B359" s="14" t="s">
        <v>21</v>
      </c>
      <c r="C359" s="15" t="s">
        <v>19</v>
      </c>
      <c r="D359" s="15">
        <v>3</v>
      </c>
      <c r="E359" s="14" t="s">
        <v>109</v>
      </c>
      <c r="F359" s="40">
        <f>'GT Input'!C10</f>
        <v>7</v>
      </c>
      <c r="G359" s="40">
        <f>'GT Input'!D10</f>
        <v>18</v>
      </c>
      <c r="H359" s="40">
        <f>'GT Input'!E10</f>
        <v>7</v>
      </c>
      <c r="I359" s="40">
        <f>'GT Input'!F10</f>
        <v>18</v>
      </c>
      <c r="J359" s="41">
        <f>'Detailed Results'!G359</f>
        <v>7</v>
      </c>
      <c r="K359" s="41">
        <f>'Detailed Results'!H359</f>
        <v>7</v>
      </c>
      <c r="L359" s="42">
        <f t="shared" si="60"/>
        <v>1</v>
      </c>
      <c r="M359" s="42">
        <f t="shared" si="68"/>
        <v>1</v>
      </c>
      <c r="N359" s="42">
        <f t="shared" si="61"/>
        <v>1</v>
      </c>
      <c r="O359" s="43">
        <f>'Detailed Results'!I359</f>
        <v>11</v>
      </c>
      <c r="P359" s="43">
        <f>'Detailed Results'!J359</f>
        <v>11</v>
      </c>
      <c r="Q359" s="44">
        <f t="shared" si="62"/>
        <v>1</v>
      </c>
      <c r="R359" s="44">
        <f t="shared" si="69"/>
        <v>0.61111111111111116</v>
      </c>
      <c r="S359" s="44">
        <f t="shared" si="63"/>
        <v>0.75862068965517249</v>
      </c>
      <c r="T359" s="45">
        <f>'Detailed Results'!K359</f>
        <v>7</v>
      </c>
      <c r="U359" s="45">
        <f>'Detailed Results'!L359</f>
        <v>7</v>
      </c>
      <c r="V359" s="46">
        <f t="shared" si="64"/>
        <v>1</v>
      </c>
      <c r="W359" s="46">
        <f t="shared" si="70"/>
        <v>1</v>
      </c>
      <c r="X359" s="46">
        <f t="shared" si="65"/>
        <v>1</v>
      </c>
      <c r="Y359" s="47">
        <f>'Detailed Results'!M359</f>
        <v>11</v>
      </c>
      <c r="Z359" s="47">
        <f>'Detailed Results'!N359</f>
        <v>9</v>
      </c>
      <c r="AA359" s="48">
        <f t="shared" si="66"/>
        <v>0.81818181818181823</v>
      </c>
      <c r="AB359" s="48">
        <f t="shared" si="71"/>
        <v>0.5</v>
      </c>
      <c r="AC359" s="48">
        <f t="shared" si="67"/>
        <v>0.6206896551724137</v>
      </c>
    </row>
    <row r="360" spans="1:29" ht="15" customHeight="1" thickBot="1" x14ac:dyDescent="0.4">
      <c r="A360" s="185"/>
      <c r="B360" s="12" t="s">
        <v>21</v>
      </c>
      <c r="C360" s="13" t="s">
        <v>20</v>
      </c>
      <c r="D360" s="13">
        <v>1</v>
      </c>
      <c r="E360" s="12" t="s">
        <v>17</v>
      </c>
      <c r="F360" s="40">
        <f>'GT Input'!C10</f>
        <v>7</v>
      </c>
      <c r="G360" s="40">
        <f>'GT Input'!D10</f>
        <v>18</v>
      </c>
      <c r="H360" s="40">
        <f>'GT Input'!E10</f>
        <v>7</v>
      </c>
      <c r="I360" s="40">
        <f>'GT Input'!F10</f>
        <v>18</v>
      </c>
      <c r="J360" s="41">
        <f>'Detailed Results'!G360</f>
        <v>7</v>
      </c>
      <c r="K360" s="41">
        <f>'Detailed Results'!H360</f>
        <v>7</v>
      </c>
      <c r="L360" s="42">
        <f t="shared" si="60"/>
        <v>1</v>
      </c>
      <c r="M360" s="42">
        <f t="shared" si="68"/>
        <v>1</v>
      </c>
      <c r="N360" s="42">
        <f t="shared" si="61"/>
        <v>1</v>
      </c>
      <c r="O360" s="43">
        <f>'Detailed Results'!I360</f>
        <v>11</v>
      </c>
      <c r="P360" s="43">
        <f>'Detailed Results'!J360</f>
        <v>11</v>
      </c>
      <c r="Q360" s="44">
        <f t="shared" si="62"/>
        <v>1</v>
      </c>
      <c r="R360" s="44">
        <f t="shared" si="69"/>
        <v>0.61111111111111116</v>
      </c>
      <c r="S360" s="44">
        <f t="shared" si="63"/>
        <v>0.75862068965517249</v>
      </c>
      <c r="T360" s="45">
        <f>'Detailed Results'!K360</f>
        <v>7</v>
      </c>
      <c r="U360" s="45">
        <f>'Detailed Results'!L360</f>
        <v>7</v>
      </c>
      <c r="V360" s="46">
        <f t="shared" si="64"/>
        <v>1</v>
      </c>
      <c r="W360" s="46">
        <f t="shared" si="70"/>
        <v>1</v>
      </c>
      <c r="X360" s="46">
        <f t="shared" si="65"/>
        <v>1</v>
      </c>
      <c r="Y360" s="47">
        <f>'Detailed Results'!M360</f>
        <v>11</v>
      </c>
      <c r="Z360" s="47">
        <f>'Detailed Results'!N360</f>
        <v>8</v>
      </c>
      <c r="AA360" s="48">
        <f t="shared" si="66"/>
        <v>0.72727272727272729</v>
      </c>
      <c r="AB360" s="48">
        <f t="shared" si="71"/>
        <v>0.44444444444444442</v>
      </c>
      <c r="AC360" s="48">
        <f t="shared" si="67"/>
        <v>0.55172413793103448</v>
      </c>
    </row>
    <row r="361" spans="1:29" ht="15" customHeight="1" thickBot="1" x14ac:dyDescent="0.4">
      <c r="A361" s="185"/>
      <c r="B361" s="12" t="s">
        <v>21</v>
      </c>
      <c r="C361" s="13" t="s">
        <v>20</v>
      </c>
      <c r="D361" s="13">
        <v>1</v>
      </c>
      <c r="E361" s="12" t="s">
        <v>109</v>
      </c>
      <c r="F361" s="40">
        <f>'GT Input'!C10</f>
        <v>7</v>
      </c>
      <c r="G361" s="40">
        <f>'GT Input'!D10</f>
        <v>18</v>
      </c>
      <c r="H361" s="40">
        <f>'GT Input'!E10</f>
        <v>7</v>
      </c>
      <c r="I361" s="40">
        <f>'GT Input'!F10</f>
        <v>18</v>
      </c>
      <c r="J361" s="41">
        <f>'Detailed Results'!G361</f>
        <v>7</v>
      </c>
      <c r="K361" s="41">
        <f>'Detailed Results'!H361</f>
        <v>7</v>
      </c>
      <c r="L361" s="42">
        <f t="shared" si="60"/>
        <v>1</v>
      </c>
      <c r="M361" s="42">
        <f t="shared" si="68"/>
        <v>1</v>
      </c>
      <c r="N361" s="42">
        <f t="shared" si="61"/>
        <v>1</v>
      </c>
      <c r="O361" s="43">
        <f>'Detailed Results'!I361</f>
        <v>11</v>
      </c>
      <c r="P361" s="43">
        <f>'Detailed Results'!J361</f>
        <v>11</v>
      </c>
      <c r="Q361" s="44">
        <f t="shared" si="62"/>
        <v>1</v>
      </c>
      <c r="R361" s="44">
        <f t="shared" si="69"/>
        <v>0.61111111111111116</v>
      </c>
      <c r="S361" s="44">
        <f t="shared" si="63"/>
        <v>0.75862068965517249</v>
      </c>
      <c r="T361" s="45">
        <f>'Detailed Results'!K361</f>
        <v>7</v>
      </c>
      <c r="U361" s="45">
        <f>'Detailed Results'!L361</f>
        <v>7</v>
      </c>
      <c r="V361" s="46">
        <f t="shared" si="64"/>
        <v>1</v>
      </c>
      <c r="W361" s="46">
        <f t="shared" si="70"/>
        <v>1</v>
      </c>
      <c r="X361" s="46">
        <f t="shared" si="65"/>
        <v>1</v>
      </c>
      <c r="Y361" s="47">
        <f>'Detailed Results'!M361</f>
        <v>11</v>
      </c>
      <c r="Z361" s="47">
        <f>'Detailed Results'!N361</f>
        <v>9</v>
      </c>
      <c r="AA361" s="48">
        <f t="shared" si="66"/>
        <v>0.81818181818181823</v>
      </c>
      <c r="AB361" s="48">
        <f t="shared" si="71"/>
        <v>0.5</v>
      </c>
      <c r="AC361" s="48">
        <f t="shared" si="67"/>
        <v>0.6206896551724137</v>
      </c>
    </row>
    <row r="362" spans="1:29" ht="15" customHeight="1" thickBot="1" x14ac:dyDescent="0.4">
      <c r="A362" s="185"/>
      <c r="B362" s="14" t="s">
        <v>21</v>
      </c>
      <c r="C362" s="15" t="s">
        <v>20</v>
      </c>
      <c r="D362" s="15">
        <v>2</v>
      </c>
      <c r="E362" s="14" t="s">
        <v>17</v>
      </c>
      <c r="F362" s="40">
        <f>'GT Input'!C10</f>
        <v>7</v>
      </c>
      <c r="G362" s="40">
        <f>'GT Input'!D10</f>
        <v>18</v>
      </c>
      <c r="H362" s="40">
        <f>'GT Input'!E10</f>
        <v>7</v>
      </c>
      <c r="I362" s="40">
        <f>'GT Input'!F10</f>
        <v>18</v>
      </c>
      <c r="J362" s="41">
        <f>'Detailed Results'!G362</f>
        <v>7</v>
      </c>
      <c r="K362" s="41">
        <f>'Detailed Results'!H362</f>
        <v>7</v>
      </c>
      <c r="L362" s="42">
        <f t="shared" si="60"/>
        <v>1</v>
      </c>
      <c r="M362" s="42">
        <f t="shared" si="68"/>
        <v>1</v>
      </c>
      <c r="N362" s="42">
        <f t="shared" si="61"/>
        <v>1</v>
      </c>
      <c r="O362" s="43">
        <f>'Detailed Results'!I362</f>
        <v>11</v>
      </c>
      <c r="P362" s="43">
        <f>'Detailed Results'!J362</f>
        <v>11</v>
      </c>
      <c r="Q362" s="44">
        <f t="shared" si="62"/>
        <v>1</v>
      </c>
      <c r="R362" s="44">
        <f t="shared" si="69"/>
        <v>0.61111111111111116</v>
      </c>
      <c r="S362" s="44">
        <f t="shared" si="63"/>
        <v>0.75862068965517249</v>
      </c>
      <c r="T362" s="45">
        <f>'Detailed Results'!K362</f>
        <v>7</v>
      </c>
      <c r="U362" s="45">
        <f>'Detailed Results'!L362</f>
        <v>7</v>
      </c>
      <c r="V362" s="46">
        <f t="shared" si="64"/>
        <v>1</v>
      </c>
      <c r="W362" s="46">
        <f t="shared" si="70"/>
        <v>1</v>
      </c>
      <c r="X362" s="46">
        <f t="shared" si="65"/>
        <v>1</v>
      </c>
      <c r="Y362" s="47">
        <f>'Detailed Results'!M362</f>
        <v>11</v>
      </c>
      <c r="Z362" s="47">
        <f>'Detailed Results'!N362</f>
        <v>9</v>
      </c>
      <c r="AA362" s="48">
        <f t="shared" si="66"/>
        <v>0.81818181818181823</v>
      </c>
      <c r="AB362" s="48">
        <f t="shared" si="71"/>
        <v>0.5</v>
      </c>
      <c r="AC362" s="48">
        <f t="shared" si="67"/>
        <v>0.6206896551724137</v>
      </c>
    </row>
    <row r="363" spans="1:29" ht="15" customHeight="1" thickBot="1" x14ac:dyDescent="0.4">
      <c r="A363" s="185"/>
      <c r="B363" s="14" t="s">
        <v>21</v>
      </c>
      <c r="C363" s="15" t="s">
        <v>20</v>
      </c>
      <c r="D363" s="15">
        <v>2</v>
      </c>
      <c r="E363" s="14" t="s">
        <v>109</v>
      </c>
      <c r="F363" s="40">
        <f>'GT Input'!C10</f>
        <v>7</v>
      </c>
      <c r="G363" s="40">
        <f>'GT Input'!D10</f>
        <v>18</v>
      </c>
      <c r="H363" s="40">
        <f>'GT Input'!E10</f>
        <v>7</v>
      </c>
      <c r="I363" s="40">
        <f>'GT Input'!F10</f>
        <v>18</v>
      </c>
      <c r="J363" s="41">
        <f>'Detailed Results'!G363</f>
        <v>7</v>
      </c>
      <c r="K363" s="41">
        <f>'Detailed Results'!H363</f>
        <v>7</v>
      </c>
      <c r="L363" s="42">
        <f t="shared" si="60"/>
        <v>1</v>
      </c>
      <c r="M363" s="42">
        <f t="shared" si="68"/>
        <v>1</v>
      </c>
      <c r="N363" s="42">
        <f t="shared" si="61"/>
        <v>1</v>
      </c>
      <c r="O363" s="43">
        <f>'Detailed Results'!I363</f>
        <v>11</v>
      </c>
      <c r="P363" s="43">
        <f>'Detailed Results'!J363</f>
        <v>11</v>
      </c>
      <c r="Q363" s="44">
        <f t="shared" si="62"/>
        <v>1</v>
      </c>
      <c r="R363" s="44">
        <f t="shared" si="69"/>
        <v>0.61111111111111116</v>
      </c>
      <c r="S363" s="44">
        <f t="shared" si="63"/>
        <v>0.75862068965517249</v>
      </c>
      <c r="T363" s="45">
        <f>'Detailed Results'!K363</f>
        <v>7</v>
      </c>
      <c r="U363" s="45">
        <f>'Detailed Results'!L363</f>
        <v>7</v>
      </c>
      <c r="V363" s="46">
        <f t="shared" si="64"/>
        <v>1</v>
      </c>
      <c r="W363" s="46">
        <f t="shared" si="70"/>
        <v>1</v>
      </c>
      <c r="X363" s="46">
        <f t="shared" si="65"/>
        <v>1</v>
      </c>
      <c r="Y363" s="47">
        <f>'Detailed Results'!M363</f>
        <v>11</v>
      </c>
      <c r="Z363" s="47">
        <f>'Detailed Results'!N363</f>
        <v>9</v>
      </c>
      <c r="AA363" s="48">
        <f t="shared" si="66"/>
        <v>0.81818181818181823</v>
      </c>
      <c r="AB363" s="48">
        <f t="shared" si="71"/>
        <v>0.5</v>
      </c>
      <c r="AC363" s="48">
        <f t="shared" si="67"/>
        <v>0.6206896551724137</v>
      </c>
    </row>
    <row r="364" spans="1:29" ht="15" customHeight="1" thickBot="1" x14ac:dyDescent="0.4">
      <c r="A364" s="185"/>
      <c r="B364" s="12" t="s">
        <v>21</v>
      </c>
      <c r="C364" s="13" t="s">
        <v>20</v>
      </c>
      <c r="D364" s="13">
        <v>3</v>
      </c>
      <c r="E364" s="12" t="s">
        <v>17</v>
      </c>
      <c r="F364" s="40">
        <f>'GT Input'!C10</f>
        <v>7</v>
      </c>
      <c r="G364" s="40">
        <f>'GT Input'!D10</f>
        <v>18</v>
      </c>
      <c r="H364" s="40">
        <f>'GT Input'!E10</f>
        <v>7</v>
      </c>
      <c r="I364" s="40">
        <f>'GT Input'!F10</f>
        <v>18</v>
      </c>
      <c r="J364" s="41">
        <f>'Detailed Results'!G364</f>
        <v>7</v>
      </c>
      <c r="K364" s="41">
        <f>'Detailed Results'!H364</f>
        <v>7</v>
      </c>
      <c r="L364" s="42">
        <f t="shared" si="60"/>
        <v>1</v>
      </c>
      <c r="M364" s="42">
        <f t="shared" si="68"/>
        <v>1</v>
      </c>
      <c r="N364" s="42">
        <f t="shared" si="61"/>
        <v>1</v>
      </c>
      <c r="O364" s="43">
        <f>'Detailed Results'!I364</f>
        <v>11</v>
      </c>
      <c r="P364" s="43">
        <f>'Detailed Results'!J364</f>
        <v>11</v>
      </c>
      <c r="Q364" s="44">
        <f t="shared" si="62"/>
        <v>1</v>
      </c>
      <c r="R364" s="44">
        <f t="shared" si="69"/>
        <v>0.61111111111111116</v>
      </c>
      <c r="S364" s="44">
        <f t="shared" si="63"/>
        <v>0.75862068965517249</v>
      </c>
      <c r="T364" s="45">
        <f>'Detailed Results'!K364</f>
        <v>7</v>
      </c>
      <c r="U364" s="45">
        <f>'Detailed Results'!L364</f>
        <v>7</v>
      </c>
      <c r="V364" s="46">
        <f t="shared" si="64"/>
        <v>1</v>
      </c>
      <c r="W364" s="46">
        <f t="shared" si="70"/>
        <v>1</v>
      </c>
      <c r="X364" s="46">
        <f t="shared" si="65"/>
        <v>1</v>
      </c>
      <c r="Y364" s="47">
        <f>'Detailed Results'!M364</f>
        <v>11</v>
      </c>
      <c r="Z364" s="47">
        <f>'Detailed Results'!N364</f>
        <v>9</v>
      </c>
      <c r="AA364" s="48">
        <f t="shared" si="66"/>
        <v>0.81818181818181823</v>
      </c>
      <c r="AB364" s="48">
        <f t="shared" si="71"/>
        <v>0.5</v>
      </c>
      <c r="AC364" s="48">
        <f t="shared" si="67"/>
        <v>0.6206896551724137</v>
      </c>
    </row>
    <row r="365" spans="1:29" ht="15" customHeight="1" thickBot="1" x14ac:dyDescent="0.4">
      <c r="A365" s="185"/>
      <c r="B365" s="12" t="s">
        <v>21</v>
      </c>
      <c r="C365" s="13" t="s">
        <v>20</v>
      </c>
      <c r="D365" s="13">
        <v>3</v>
      </c>
      <c r="E365" s="12" t="s">
        <v>109</v>
      </c>
      <c r="F365" s="40">
        <f>'GT Input'!C10</f>
        <v>7</v>
      </c>
      <c r="G365" s="40">
        <f>'GT Input'!D10</f>
        <v>18</v>
      </c>
      <c r="H365" s="40">
        <f>'GT Input'!E10</f>
        <v>7</v>
      </c>
      <c r="I365" s="40">
        <f>'GT Input'!F10</f>
        <v>18</v>
      </c>
      <c r="J365" s="41">
        <f>'Detailed Results'!G365</f>
        <v>7</v>
      </c>
      <c r="K365" s="41">
        <f>'Detailed Results'!H365</f>
        <v>7</v>
      </c>
      <c r="L365" s="42">
        <f t="shared" si="60"/>
        <v>1</v>
      </c>
      <c r="M365" s="42">
        <f t="shared" si="68"/>
        <v>1</v>
      </c>
      <c r="N365" s="42">
        <f t="shared" si="61"/>
        <v>1</v>
      </c>
      <c r="O365" s="43">
        <f>'Detailed Results'!I365</f>
        <v>11</v>
      </c>
      <c r="P365" s="43">
        <f>'Detailed Results'!J365</f>
        <v>11</v>
      </c>
      <c r="Q365" s="44">
        <f t="shared" si="62"/>
        <v>1</v>
      </c>
      <c r="R365" s="44">
        <f t="shared" si="69"/>
        <v>0.61111111111111116</v>
      </c>
      <c r="S365" s="44">
        <f t="shared" si="63"/>
        <v>0.75862068965517249</v>
      </c>
      <c r="T365" s="45">
        <f>'Detailed Results'!K365</f>
        <v>7</v>
      </c>
      <c r="U365" s="45">
        <f>'Detailed Results'!L365</f>
        <v>7</v>
      </c>
      <c r="V365" s="46">
        <f t="shared" si="64"/>
        <v>1</v>
      </c>
      <c r="W365" s="46">
        <f t="shared" si="70"/>
        <v>1</v>
      </c>
      <c r="X365" s="46">
        <f t="shared" si="65"/>
        <v>1</v>
      </c>
      <c r="Y365" s="47">
        <f>'Detailed Results'!M365</f>
        <v>11</v>
      </c>
      <c r="Z365" s="47">
        <f>'Detailed Results'!N365</f>
        <v>9</v>
      </c>
      <c r="AA365" s="48">
        <f t="shared" si="66"/>
        <v>0.81818181818181823</v>
      </c>
      <c r="AB365" s="48">
        <f t="shared" si="71"/>
        <v>0.5</v>
      </c>
      <c r="AC365" s="48">
        <f t="shared" si="67"/>
        <v>0.6206896551724137</v>
      </c>
    </row>
    <row r="366" spans="1:29" ht="15" customHeight="1" thickBot="1" x14ac:dyDescent="0.4">
      <c r="A366" s="185"/>
      <c r="B366" s="16" t="s">
        <v>22</v>
      </c>
      <c r="C366" s="17" t="s">
        <v>16</v>
      </c>
      <c r="D366" s="17">
        <v>1</v>
      </c>
      <c r="E366" s="16" t="s">
        <v>17</v>
      </c>
      <c r="F366" s="40">
        <f>'GT Input'!C10</f>
        <v>7</v>
      </c>
      <c r="G366" s="40">
        <f>'GT Input'!D10</f>
        <v>18</v>
      </c>
      <c r="H366" s="40">
        <f>'GT Input'!E10</f>
        <v>7</v>
      </c>
      <c r="I366" s="40">
        <f>'GT Input'!F10</f>
        <v>18</v>
      </c>
      <c r="J366" s="41">
        <f>'Detailed Results'!G366</f>
        <v>7</v>
      </c>
      <c r="K366" s="41">
        <f>'Detailed Results'!H366</f>
        <v>7</v>
      </c>
      <c r="L366" s="42">
        <f t="shared" si="60"/>
        <v>1</v>
      </c>
      <c r="M366" s="42">
        <f t="shared" si="68"/>
        <v>1</v>
      </c>
      <c r="N366" s="42">
        <f t="shared" si="61"/>
        <v>1</v>
      </c>
      <c r="O366" s="43">
        <f>'Detailed Results'!I366</f>
        <v>11</v>
      </c>
      <c r="P366" s="43">
        <f>'Detailed Results'!J366</f>
        <v>11</v>
      </c>
      <c r="Q366" s="44">
        <f t="shared" si="62"/>
        <v>1</v>
      </c>
      <c r="R366" s="44">
        <f t="shared" si="69"/>
        <v>0.61111111111111116</v>
      </c>
      <c r="S366" s="44">
        <f t="shared" si="63"/>
        <v>0.75862068965517249</v>
      </c>
      <c r="T366" s="45">
        <f>'Detailed Results'!K366</f>
        <v>7</v>
      </c>
      <c r="U366" s="45">
        <f>'Detailed Results'!L366</f>
        <v>7</v>
      </c>
      <c r="V366" s="46">
        <f t="shared" si="64"/>
        <v>1</v>
      </c>
      <c r="W366" s="46">
        <f t="shared" si="70"/>
        <v>1</v>
      </c>
      <c r="X366" s="46">
        <f t="shared" si="65"/>
        <v>1</v>
      </c>
      <c r="Y366" s="47">
        <f>'Detailed Results'!M366</f>
        <v>11</v>
      </c>
      <c r="Z366" s="47">
        <f>'Detailed Results'!N366</f>
        <v>9</v>
      </c>
      <c r="AA366" s="48">
        <f t="shared" si="66"/>
        <v>0.81818181818181823</v>
      </c>
      <c r="AB366" s="48">
        <f t="shared" si="71"/>
        <v>0.5</v>
      </c>
      <c r="AC366" s="48">
        <f t="shared" si="67"/>
        <v>0.6206896551724137</v>
      </c>
    </row>
    <row r="367" spans="1:29" ht="15" customHeight="1" thickBot="1" x14ac:dyDescent="0.4">
      <c r="A367" s="185"/>
      <c r="B367" s="16" t="s">
        <v>22</v>
      </c>
      <c r="C367" s="17" t="s">
        <v>16</v>
      </c>
      <c r="D367" s="17">
        <v>1</v>
      </c>
      <c r="E367" s="16" t="s">
        <v>109</v>
      </c>
      <c r="F367" s="40">
        <f>'GT Input'!C10</f>
        <v>7</v>
      </c>
      <c r="G367" s="40">
        <f>'GT Input'!D10</f>
        <v>18</v>
      </c>
      <c r="H367" s="40">
        <f>'GT Input'!E10</f>
        <v>7</v>
      </c>
      <c r="I367" s="40">
        <f>'GT Input'!F10</f>
        <v>18</v>
      </c>
      <c r="J367" s="41">
        <f>'Detailed Results'!G367</f>
        <v>7</v>
      </c>
      <c r="K367" s="41">
        <f>'Detailed Results'!H367</f>
        <v>7</v>
      </c>
      <c r="L367" s="42">
        <f t="shared" si="60"/>
        <v>1</v>
      </c>
      <c r="M367" s="42">
        <f t="shared" si="68"/>
        <v>1</v>
      </c>
      <c r="N367" s="42">
        <f t="shared" si="61"/>
        <v>1</v>
      </c>
      <c r="O367" s="43">
        <f>'Detailed Results'!I367</f>
        <v>11</v>
      </c>
      <c r="P367" s="43">
        <f>'Detailed Results'!J367</f>
        <v>11</v>
      </c>
      <c r="Q367" s="44">
        <f t="shared" si="62"/>
        <v>1</v>
      </c>
      <c r="R367" s="44">
        <f t="shared" si="69"/>
        <v>0.61111111111111116</v>
      </c>
      <c r="S367" s="44">
        <f t="shared" si="63"/>
        <v>0.75862068965517249</v>
      </c>
      <c r="T367" s="45">
        <f>'Detailed Results'!K367</f>
        <v>7</v>
      </c>
      <c r="U367" s="45">
        <f>'Detailed Results'!L367</f>
        <v>7</v>
      </c>
      <c r="V367" s="46">
        <f t="shared" si="64"/>
        <v>1</v>
      </c>
      <c r="W367" s="46">
        <f t="shared" si="70"/>
        <v>1</v>
      </c>
      <c r="X367" s="46">
        <f t="shared" si="65"/>
        <v>1</v>
      </c>
      <c r="Y367" s="47">
        <f>'Detailed Results'!M367</f>
        <v>11</v>
      </c>
      <c r="Z367" s="47">
        <f>'Detailed Results'!N367</f>
        <v>8</v>
      </c>
      <c r="AA367" s="48">
        <f t="shared" si="66"/>
        <v>0.72727272727272729</v>
      </c>
      <c r="AB367" s="48">
        <f t="shared" si="71"/>
        <v>0.44444444444444442</v>
      </c>
      <c r="AC367" s="48">
        <f t="shared" si="67"/>
        <v>0.55172413793103448</v>
      </c>
    </row>
    <row r="368" spans="1:29" ht="15" customHeight="1" thickBot="1" x14ac:dyDescent="0.4">
      <c r="A368" s="185"/>
      <c r="B368" s="18" t="s">
        <v>22</v>
      </c>
      <c r="C368" s="19" t="s">
        <v>16</v>
      </c>
      <c r="D368" s="19">
        <v>2</v>
      </c>
      <c r="E368" s="18" t="s">
        <v>17</v>
      </c>
      <c r="F368" s="40">
        <f>'GT Input'!C10</f>
        <v>7</v>
      </c>
      <c r="G368" s="40">
        <f>'GT Input'!D10</f>
        <v>18</v>
      </c>
      <c r="H368" s="40">
        <f>'GT Input'!E10</f>
        <v>7</v>
      </c>
      <c r="I368" s="40">
        <f>'GT Input'!F10</f>
        <v>18</v>
      </c>
      <c r="J368" s="41">
        <f>'Detailed Results'!G368</f>
        <v>7</v>
      </c>
      <c r="K368" s="41">
        <f>'Detailed Results'!H368</f>
        <v>7</v>
      </c>
      <c r="L368" s="42">
        <f t="shared" si="60"/>
        <v>1</v>
      </c>
      <c r="M368" s="42">
        <f t="shared" si="68"/>
        <v>1</v>
      </c>
      <c r="N368" s="42">
        <f t="shared" si="61"/>
        <v>1</v>
      </c>
      <c r="O368" s="43">
        <f>'Detailed Results'!I368</f>
        <v>11</v>
      </c>
      <c r="P368" s="43">
        <f>'Detailed Results'!J368</f>
        <v>11</v>
      </c>
      <c r="Q368" s="44">
        <f t="shared" si="62"/>
        <v>1</v>
      </c>
      <c r="R368" s="44">
        <f t="shared" si="69"/>
        <v>0.61111111111111116</v>
      </c>
      <c r="S368" s="44">
        <f t="shared" si="63"/>
        <v>0.75862068965517249</v>
      </c>
      <c r="T368" s="45">
        <f>'Detailed Results'!K368</f>
        <v>7</v>
      </c>
      <c r="U368" s="45">
        <f>'Detailed Results'!L368</f>
        <v>7</v>
      </c>
      <c r="V368" s="46">
        <f t="shared" si="64"/>
        <v>1</v>
      </c>
      <c r="W368" s="46">
        <f t="shared" si="70"/>
        <v>1</v>
      </c>
      <c r="X368" s="46">
        <f t="shared" si="65"/>
        <v>1</v>
      </c>
      <c r="Y368" s="47">
        <f>'Detailed Results'!M368</f>
        <v>11</v>
      </c>
      <c r="Z368" s="47">
        <f>'Detailed Results'!N368</f>
        <v>9</v>
      </c>
      <c r="AA368" s="48">
        <f t="shared" si="66"/>
        <v>0.81818181818181823</v>
      </c>
      <c r="AB368" s="48">
        <f t="shared" si="71"/>
        <v>0.5</v>
      </c>
      <c r="AC368" s="48">
        <f t="shared" si="67"/>
        <v>0.6206896551724137</v>
      </c>
    </row>
    <row r="369" spans="1:29" ht="15" customHeight="1" thickBot="1" x14ac:dyDescent="0.4">
      <c r="A369" s="185"/>
      <c r="B369" s="18" t="s">
        <v>22</v>
      </c>
      <c r="C369" s="19" t="s">
        <v>16</v>
      </c>
      <c r="D369" s="19">
        <v>2</v>
      </c>
      <c r="E369" s="18" t="s">
        <v>109</v>
      </c>
      <c r="F369" s="40">
        <f>'GT Input'!C10</f>
        <v>7</v>
      </c>
      <c r="G369" s="40">
        <f>'GT Input'!D10</f>
        <v>18</v>
      </c>
      <c r="H369" s="40">
        <f>'GT Input'!E10</f>
        <v>7</v>
      </c>
      <c r="I369" s="40">
        <f>'GT Input'!F10</f>
        <v>18</v>
      </c>
      <c r="J369" s="41">
        <f>'Detailed Results'!G369</f>
        <v>7</v>
      </c>
      <c r="K369" s="41">
        <f>'Detailed Results'!H369</f>
        <v>7</v>
      </c>
      <c r="L369" s="42">
        <f t="shared" si="60"/>
        <v>1</v>
      </c>
      <c r="M369" s="42">
        <f t="shared" si="68"/>
        <v>1</v>
      </c>
      <c r="N369" s="42">
        <f t="shared" si="61"/>
        <v>1</v>
      </c>
      <c r="O369" s="43">
        <f>'Detailed Results'!I369</f>
        <v>12</v>
      </c>
      <c r="P369" s="43">
        <f>'Detailed Results'!J369</f>
        <v>12</v>
      </c>
      <c r="Q369" s="44">
        <f t="shared" si="62"/>
        <v>1</v>
      </c>
      <c r="R369" s="44">
        <f t="shared" si="69"/>
        <v>0.66666666666666663</v>
      </c>
      <c r="S369" s="44">
        <f t="shared" si="63"/>
        <v>0.8</v>
      </c>
      <c r="T369" s="45">
        <f>'Detailed Results'!K369</f>
        <v>7</v>
      </c>
      <c r="U369" s="45">
        <f>'Detailed Results'!L369</f>
        <v>7</v>
      </c>
      <c r="V369" s="46">
        <f t="shared" si="64"/>
        <v>1</v>
      </c>
      <c r="W369" s="46">
        <f t="shared" si="70"/>
        <v>1</v>
      </c>
      <c r="X369" s="46">
        <f t="shared" si="65"/>
        <v>1</v>
      </c>
      <c r="Y369" s="47">
        <f>'Detailed Results'!M369</f>
        <v>12</v>
      </c>
      <c r="Z369" s="47">
        <f>'Detailed Results'!N369</f>
        <v>11</v>
      </c>
      <c r="AA369" s="48">
        <f t="shared" si="66"/>
        <v>0.91666666666666663</v>
      </c>
      <c r="AB369" s="48">
        <f t="shared" si="71"/>
        <v>0.61111111111111116</v>
      </c>
      <c r="AC369" s="48">
        <f t="shared" si="67"/>
        <v>0.73333333333333339</v>
      </c>
    </row>
    <row r="370" spans="1:29" ht="15" customHeight="1" thickBot="1" x14ac:dyDescent="0.4">
      <c r="A370" s="185"/>
      <c r="B370" s="16" t="s">
        <v>22</v>
      </c>
      <c r="C370" s="17" t="s">
        <v>16</v>
      </c>
      <c r="D370" s="17">
        <v>3</v>
      </c>
      <c r="E370" s="16" t="s">
        <v>17</v>
      </c>
      <c r="F370" s="40">
        <f>'GT Input'!C10</f>
        <v>7</v>
      </c>
      <c r="G370" s="40">
        <f>'GT Input'!D10</f>
        <v>18</v>
      </c>
      <c r="H370" s="40">
        <f>'GT Input'!E10</f>
        <v>7</v>
      </c>
      <c r="I370" s="40">
        <f>'GT Input'!F10</f>
        <v>18</v>
      </c>
      <c r="J370" s="41">
        <f>'Detailed Results'!G370</f>
        <v>7</v>
      </c>
      <c r="K370" s="41">
        <f>'Detailed Results'!H370</f>
        <v>7</v>
      </c>
      <c r="L370" s="42">
        <f t="shared" si="60"/>
        <v>1</v>
      </c>
      <c r="M370" s="42">
        <f t="shared" si="68"/>
        <v>1</v>
      </c>
      <c r="N370" s="42">
        <f t="shared" si="61"/>
        <v>1</v>
      </c>
      <c r="O370" s="43">
        <f>'Detailed Results'!I370</f>
        <v>11</v>
      </c>
      <c r="P370" s="43">
        <f>'Detailed Results'!J370</f>
        <v>11</v>
      </c>
      <c r="Q370" s="44">
        <f t="shared" si="62"/>
        <v>1</v>
      </c>
      <c r="R370" s="44">
        <f t="shared" si="69"/>
        <v>0.61111111111111116</v>
      </c>
      <c r="S370" s="44">
        <f t="shared" si="63"/>
        <v>0.75862068965517249</v>
      </c>
      <c r="T370" s="45">
        <f>'Detailed Results'!K370</f>
        <v>7</v>
      </c>
      <c r="U370" s="45">
        <f>'Detailed Results'!L370</f>
        <v>7</v>
      </c>
      <c r="V370" s="46">
        <f t="shared" si="64"/>
        <v>1</v>
      </c>
      <c r="W370" s="46">
        <f t="shared" si="70"/>
        <v>1</v>
      </c>
      <c r="X370" s="46">
        <f t="shared" si="65"/>
        <v>1</v>
      </c>
      <c r="Y370" s="47">
        <f>'Detailed Results'!M370</f>
        <v>11</v>
      </c>
      <c r="Z370" s="47">
        <f>'Detailed Results'!N370</f>
        <v>9</v>
      </c>
      <c r="AA370" s="48">
        <f t="shared" si="66"/>
        <v>0.81818181818181823</v>
      </c>
      <c r="AB370" s="48">
        <f t="shared" si="71"/>
        <v>0.5</v>
      </c>
      <c r="AC370" s="48">
        <f t="shared" si="67"/>
        <v>0.6206896551724137</v>
      </c>
    </row>
    <row r="371" spans="1:29" ht="15" customHeight="1" thickBot="1" x14ac:dyDescent="0.4">
      <c r="A371" s="185"/>
      <c r="B371" s="16" t="s">
        <v>22</v>
      </c>
      <c r="C371" s="17" t="s">
        <v>16</v>
      </c>
      <c r="D371" s="17">
        <v>3</v>
      </c>
      <c r="E371" s="16" t="s">
        <v>109</v>
      </c>
      <c r="F371" s="40">
        <f>'GT Input'!C10</f>
        <v>7</v>
      </c>
      <c r="G371" s="40">
        <f>'GT Input'!D10</f>
        <v>18</v>
      </c>
      <c r="H371" s="40">
        <f>'GT Input'!E10</f>
        <v>7</v>
      </c>
      <c r="I371" s="40">
        <f>'GT Input'!F10</f>
        <v>18</v>
      </c>
      <c r="J371" s="41">
        <f>'Detailed Results'!G371</f>
        <v>7</v>
      </c>
      <c r="K371" s="41">
        <f>'Detailed Results'!H371</f>
        <v>7</v>
      </c>
      <c r="L371" s="42">
        <f t="shared" si="60"/>
        <v>1</v>
      </c>
      <c r="M371" s="42">
        <f t="shared" si="68"/>
        <v>1</v>
      </c>
      <c r="N371" s="42">
        <f t="shared" si="61"/>
        <v>1</v>
      </c>
      <c r="O371" s="43">
        <f>'Detailed Results'!I371</f>
        <v>11</v>
      </c>
      <c r="P371" s="43">
        <f>'Detailed Results'!J371</f>
        <v>11</v>
      </c>
      <c r="Q371" s="44">
        <f t="shared" si="62"/>
        <v>1</v>
      </c>
      <c r="R371" s="44">
        <f t="shared" si="69"/>
        <v>0.61111111111111116</v>
      </c>
      <c r="S371" s="44">
        <f t="shared" si="63"/>
        <v>0.75862068965517249</v>
      </c>
      <c r="T371" s="45">
        <f>'Detailed Results'!K371</f>
        <v>7</v>
      </c>
      <c r="U371" s="45">
        <f>'Detailed Results'!L371</f>
        <v>7</v>
      </c>
      <c r="V371" s="46">
        <f t="shared" si="64"/>
        <v>1</v>
      </c>
      <c r="W371" s="46">
        <f t="shared" si="70"/>
        <v>1</v>
      </c>
      <c r="X371" s="46">
        <f t="shared" si="65"/>
        <v>1</v>
      </c>
      <c r="Y371" s="47">
        <f>'Detailed Results'!M371</f>
        <v>11</v>
      </c>
      <c r="Z371" s="47">
        <f>'Detailed Results'!N371</f>
        <v>9</v>
      </c>
      <c r="AA371" s="48">
        <f t="shared" si="66"/>
        <v>0.81818181818181823</v>
      </c>
      <c r="AB371" s="48">
        <f t="shared" si="71"/>
        <v>0.5</v>
      </c>
      <c r="AC371" s="48">
        <f t="shared" si="67"/>
        <v>0.6206896551724137</v>
      </c>
    </row>
    <row r="372" spans="1:29" ht="15" customHeight="1" thickBot="1" x14ac:dyDescent="0.4">
      <c r="A372" s="185"/>
      <c r="B372" s="18" t="s">
        <v>22</v>
      </c>
      <c r="C372" s="19" t="s">
        <v>19</v>
      </c>
      <c r="D372" s="19">
        <v>1</v>
      </c>
      <c r="E372" s="18" t="s">
        <v>17</v>
      </c>
      <c r="F372" s="40">
        <f>'GT Input'!C10</f>
        <v>7</v>
      </c>
      <c r="G372" s="40">
        <f>'GT Input'!D10</f>
        <v>18</v>
      </c>
      <c r="H372" s="40">
        <f>'GT Input'!E10</f>
        <v>7</v>
      </c>
      <c r="I372" s="40">
        <f>'GT Input'!F10</f>
        <v>18</v>
      </c>
      <c r="J372" s="41">
        <f>'Detailed Results'!G372</f>
        <v>7</v>
      </c>
      <c r="K372" s="41">
        <f>'Detailed Results'!H372</f>
        <v>7</v>
      </c>
      <c r="L372" s="42">
        <f t="shared" si="60"/>
        <v>1</v>
      </c>
      <c r="M372" s="42">
        <f t="shared" si="68"/>
        <v>1</v>
      </c>
      <c r="N372" s="42">
        <f t="shared" si="61"/>
        <v>1</v>
      </c>
      <c r="O372" s="43">
        <f>'Detailed Results'!I372</f>
        <v>11</v>
      </c>
      <c r="P372" s="43">
        <f>'Detailed Results'!J372</f>
        <v>11</v>
      </c>
      <c r="Q372" s="44">
        <f t="shared" si="62"/>
        <v>1</v>
      </c>
      <c r="R372" s="44">
        <f t="shared" si="69"/>
        <v>0.61111111111111116</v>
      </c>
      <c r="S372" s="44">
        <f t="shared" si="63"/>
        <v>0.75862068965517249</v>
      </c>
      <c r="T372" s="45">
        <f>'Detailed Results'!K372</f>
        <v>7</v>
      </c>
      <c r="U372" s="45">
        <f>'Detailed Results'!L372</f>
        <v>7</v>
      </c>
      <c r="V372" s="46">
        <f t="shared" si="64"/>
        <v>1</v>
      </c>
      <c r="W372" s="46">
        <f t="shared" si="70"/>
        <v>1</v>
      </c>
      <c r="X372" s="46">
        <f t="shared" si="65"/>
        <v>1</v>
      </c>
      <c r="Y372" s="47">
        <f>'Detailed Results'!M372</f>
        <v>11</v>
      </c>
      <c r="Z372" s="47">
        <f>'Detailed Results'!N372</f>
        <v>9</v>
      </c>
      <c r="AA372" s="48">
        <f t="shared" si="66"/>
        <v>0.81818181818181823</v>
      </c>
      <c r="AB372" s="48">
        <f t="shared" si="71"/>
        <v>0.5</v>
      </c>
      <c r="AC372" s="48">
        <f t="shared" si="67"/>
        <v>0.6206896551724137</v>
      </c>
    </row>
    <row r="373" spans="1:29" ht="15" customHeight="1" thickBot="1" x14ac:dyDescent="0.4">
      <c r="A373" s="185"/>
      <c r="B373" s="18" t="s">
        <v>22</v>
      </c>
      <c r="C373" s="19" t="s">
        <v>19</v>
      </c>
      <c r="D373" s="19">
        <v>1</v>
      </c>
      <c r="E373" s="18" t="s">
        <v>109</v>
      </c>
      <c r="F373" s="40">
        <f>'GT Input'!C10</f>
        <v>7</v>
      </c>
      <c r="G373" s="40">
        <f>'GT Input'!D10</f>
        <v>18</v>
      </c>
      <c r="H373" s="40">
        <f>'GT Input'!E10</f>
        <v>7</v>
      </c>
      <c r="I373" s="40">
        <f>'GT Input'!F10</f>
        <v>18</v>
      </c>
      <c r="J373" s="41">
        <f>'Detailed Results'!G373</f>
        <v>7</v>
      </c>
      <c r="K373" s="41">
        <f>'Detailed Results'!H373</f>
        <v>7</v>
      </c>
      <c r="L373" s="42">
        <f t="shared" si="60"/>
        <v>1</v>
      </c>
      <c r="M373" s="42">
        <f t="shared" si="68"/>
        <v>1</v>
      </c>
      <c r="N373" s="42">
        <f t="shared" si="61"/>
        <v>1</v>
      </c>
      <c r="O373" s="43">
        <f>'Detailed Results'!I373</f>
        <v>11</v>
      </c>
      <c r="P373" s="43">
        <f>'Detailed Results'!J373</f>
        <v>11</v>
      </c>
      <c r="Q373" s="44">
        <f t="shared" si="62"/>
        <v>1</v>
      </c>
      <c r="R373" s="44">
        <f t="shared" si="69"/>
        <v>0.61111111111111116</v>
      </c>
      <c r="S373" s="44">
        <f t="shared" si="63"/>
        <v>0.75862068965517249</v>
      </c>
      <c r="T373" s="45">
        <f>'Detailed Results'!K373</f>
        <v>7</v>
      </c>
      <c r="U373" s="45">
        <f>'Detailed Results'!L373</f>
        <v>7</v>
      </c>
      <c r="V373" s="46">
        <f t="shared" si="64"/>
        <v>1</v>
      </c>
      <c r="W373" s="46">
        <f t="shared" si="70"/>
        <v>1</v>
      </c>
      <c r="X373" s="46">
        <f t="shared" si="65"/>
        <v>1</v>
      </c>
      <c r="Y373" s="47">
        <f>'Detailed Results'!M373</f>
        <v>11</v>
      </c>
      <c r="Z373" s="47">
        <f>'Detailed Results'!N373</f>
        <v>10</v>
      </c>
      <c r="AA373" s="48">
        <f t="shared" si="66"/>
        <v>0.90909090909090906</v>
      </c>
      <c r="AB373" s="48">
        <f t="shared" si="71"/>
        <v>0.55555555555555558</v>
      </c>
      <c r="AC373" s="48">
        <f t="shared" si="67"/>
        <v>0.68965517241379315</v>
      </c>
    </row>
    <row r="374" spans="1:29" ht="15" customHeight="1" thickBot="1" x14ac:dyDescent="0.4">
      <c r="A374" s="185"/>
      <c r="B374" s="16" t="s">
        <v>22</v>
      </c>
      <c r="C374" s="17" t="s">
        <v>19</v>
      </c>
      <c r="D374" s="17">
        <v>2</v>
      </c>
      <c r="E374" s="16" t="s">
        <v>17</v>
      </c>
      <c r="F374" s="40">
        <f>'GT Input'!C10</f>
        <v>7</v>
      </c>
      <c r="G374" s="40">
        <f>'GT Input'!D10</f>
        <v>18</v>
      </c>
      <c r="H374" s="40">
        <f>'GT Input'!E10</f>
        <v>7</v>
      </c>
      <c r="I374" s="40">
        <f>'GT Input'!F10</f>
        <v>18</v>
      </c>
      <c r="J374" s="41">
        <f>'Detailed Results'!G374</f>
        <v>7</v>
      </c>
      <c r="K374" s="41">
        <f>'Detailed Results'!H374</f>
        <v>7</v>
      </c>
      <c r="L374" s="42">
        <f t="shared" si="60"/>
        <v>1</v>
      </c>
      <c r="M374" s="42">
        <f t="shared" si="68"/>
        <v>1</v>
      </c>
      <c r="N374" s="42">
        <f t="shared" si="61"/>
        <v>1</v>
      </c>
      <c r="O374" s="43">
        <f>'Detailed Results'!I374</f>
        <v>11</v>
      </c>
      <c r="P374" s="43">
        <f>'Detailed Results'!J374</f>
        <v>11</v>
      </c>
      <c r="Q374" s="44">
        <f t="shared" si="62"/>
        <v>1</v>
      </c>
      <c r="R374" s="44">
        <f t="shared" si="69"/>
        <v>0.61111111111111116</v>
      </c>
      <c r="S374" s="44">
        <f t="shared" si="63"/>
        <v>0.75862068965517249</v>
      </c>
      <c r="T374" s="45">
        <f>'Detailed Results'!K374</f>
        <v>7</v>
      </c>
      <c r="U374" s="45">
        <f>'Detailed Results'!L374</f>
        <v>7</v>
      </c>
      <c r="V374" s="46">
        <f t="shared" si="64"/>
        <v>1</v>
      </c>
      <c r="W374" s="46">
        <f t="shared" si="70"/>
        <v>1</v>
      </c>
      <c r="X374" s="46">
        <f t="shared" si="65"/>
        <v>1</v>
      </c>
      <c r="Y374" s="47">
        <f>'Detailed Results'!M374</f>
        <v>11</v>
      </c>
      <c r="Z374" s="47">
        <f>'Detailed Results'!N374</f>
        <v>9</v>
      </c>
      <c r="AA374" s="48">
        <f t="shared" si="66"/>
        <v>0.81818181818181823</v>
      </c>
      <c r="AB374" s="48">
        <f t="shared" si="71"/>
        <v>0.5</v>
      </c>
      <c r="AC374" s="48">
        <f t="shared" si="67"/>
        <v>0.6206896551724137</v>
      </c>
    </row>
    <row r="375" spans="1:29" ht="15" customHeight="1" thickBot="1" x14ac:dyDescent="0.4">
      <c r="A375" s="185"/>
      <c r="B375" s="16" t="s">
        <v>22</v>
      </c>
      <c r="C375" s="17" t="s">
        <v>19</v>
      </c>
      <c r="D375" s="17">
        <v>2</v>
      </c>
      <c r="E375" s="16" t="s">
        <v>109</v>
      </c>
      <c r="F375" s="40">
        <f>'GT Input'!C10</f>
        <v>7</v>
      </c>
      <c r="G375" s="40">
        <f>'GT Input'!D10</f>
        <v>18</v>
      </c>
      <c r="H375" s="40">
        <f>'GT Input'!E10</f>
        <v>7</v>
      </c>
      <c r="I375" s="40">
        <f>'GT Input'!F10</f>
        <v>18</v>
      </c>
      <c r="J375" s="41">
        <f>'Detailed Results'!G375</f>
        <v>7</v>
      </c>
      <c r="K375" s="41">
        <f>'Detailed Results'!H375</f>
        <v>7</v>
      </c>
      <c r="L375" s="42">
        <f t="shared" si="60"/>
        <v>1</v>
      </c>
      <c r="M375" s="42">
        <f t="shared" si="68"/>
        <v>1</v>
      </c>
      <c r="N375" s="42">
        <f t="shared" si="61"/>
        <v>1</v>
      </c>
      <c r="O375" s="43">
        <f>'Detailed Results'!I375</f>
        <v>15</v>
      </c>
      <c r="P375" s="43">
        <f>'Detailed Results'!J375</f>
        <v>15</v>
      </c>
      <c r="Q375" s="44">
        <f t="shared" si="62"/>
        <v>1</v>
      </c>
      <c r="R375" s="44">
        <f t="shared" si="69"/>
        <v>0.83333333333333337</v>
      </c>
      <c r="S375" s="44">
        <f t="shared" si="63"/>
        <v>0.90909090909090906</v>
      </c>
      <c r="T375" s="45">
        <f>'Detailed Results'!K375</f>
        <v>7</v>
      </c>
      <c r="U375" s="45">
        <f>'Detailed Results'!L375</f>
        <v>7</v>
      </c>
      <c r="V375" s="46">
        <f t="shared" si="64"/>
        <v>1</v>
      </c>
      <c r="W375" s="46">
        <f t="shared" si="70"/>
        <v>1</v>
      </c>
      <c r="X375" s="46">
        <f t="shared" si="65"/>
        <v>1</v>
      </c>
      <c r="Y375" s="47">
        <f>'Detailed Results'!M375</f>
        <v>15</v>
      </c>
      <c r="Z375" s="47">
        <f>'Detailed Results'!N375</f>
        <v>15</v>
      </c>
      <c r="AA375" s="48">
        <f t="shared" si="66"/>
        <v>1</v>
      </c>
      <c r="AB375" s="48">
        <f t="shared" si="71"/>
        <v>0.83333333333333337</v>
      </c>
      <c r="AC375" s="48">
        <f t="shared" si="67"/>
        <v>0.90909090909090906</v>
      </c>
    </row>
    <row r="376" spans="1:29" ht="15" customHeight="1" thickBot="1" x14ac:dyDescent="0.4">
      <c r="A376" s="185"/>
      <c r="B376" s="18" t="s">
        <v>22</v>
      </c>
      <c r="C376" s="19" t="s">
        <v>19</v>
      </c>
      <c r="D376" s="19">
        <v>3</v>
      </c>
      <c r="E376" s="18" t="s">
        <v>17</v>
      </c>
      <c r="F376" s="40">
        <f>'GT Input'!C10</f>
        <v>7</v>
      </c>
      <c r="G376" s="40">
        <f>'GT Input'!D10</f>
        <v>18</v>
      </c>
      <c r="H376" s="40">
        <f>'GT Input'!E10</f>
        <v>7</v>
      </c>
      <c r="I376" s="40">
        <f>'GT Input'!F10</f>
        <v>18</v>
      </c>
      <c r="J376" s="41">
        <f>'Detailed Results'!G376</f>
        <v>7</v>
      </c>
      <c r="K376" s="41">
        <f>'Detailed Results'!H376</f>
        <v>7</v>
      </c>
      <c r="L376" s="42">
        <f t="shared" si="60"/>
        <v>1</v>
      </c>
      <c r="M376" s="42">
        <f t="shared" si="68"/>
        <v>1</v>
      </c>
      <c r="N376" s="42">
        <f t="shared" si="61"/>
        <v>1</v>
      </c>
      <c r="O376" s="43">
        <f>'Detailed Results'!I376</f>
        <v>11</v>
      </c>
      <c r="P376" s="43">
        <f>'Detailed Results'!J376</f>
        <v>11</v>
      </c>
      <c r="Q376" s="44">
        <f t="shared" si="62"/>
        <v>1</v>
      </c>
      <c r="R376" s="44">
        <f t="shared" si="69"/>
        <v>0.61111111111111116</v>
      </c>
      <c r="S376" s="44">
        <f t="shared" si="63"/>
        <v>0.75862068965517249</v>
      </c>
      <c r="T376" s="45">
        <f>'Detailed Results'!K376</f>
        <v>7</v>
      </c>
      <c r="U376" s="45">
        <f>'Detailed Results'!L376</f>
        <v>7</v>
      </c>
      <c r="V376" s="46">
        <f t="shared" si="64"/>
        <v>1</v>
      </c>
      <c r="W376" s="46">
        <f t="shared" si="70"/>
        <v>1</v>
      </c>
      <c r="X376" s="46">
        <f t="shared" si="65"/>
        <v>1</v>
      </c>
      <c r="Y376" s="47">
        <f>'Detailed Results'!M376</f>
        <v>11</v>
      </c>
      <c r="Z376" s="47">
        <f>'Detailed Results'!N376</f>
        <v>9</v>
      </c>
      <c r="AA376" s="48">
        <f t="shared" si="66"/>
        <v>0.81818181818181823</v>
      </c>
      <c r="AB376" s="48">
        <f t="shared" si="71"/>
        <v>0.5</v>
      </c>
      <c r="AC376" s="48">
        <f t="shared" si="67"/>
        <v>0.6206896551724137</v>
      </c>
    </row>
    <row r="377" spans="1:29" ht="15" customHeight="1" thickBot="1" x14ac:dyDescent="0.4">
      <c r="A377" s="185"/>
      <c r="B377" s="18" t="s">
        <v>22</v>
      </c>
      <c r="C377" s="19" t="s">
        <v>19</v>
      </c>
      <c r="D377" s="19">
        <v>3</v>
      </c>
      <c r="E377" s="18" t="s">
        <v>109</v>
      </c>
      <c r="F377" s="40">
        <f>'GT Input'!C10</f>
        <v>7</v>
      </c>
      <c r="G377" s="40">
        <f>'GT Input'!D10</f>
        <v>18</v>
      </c>
      <c r="H377" s="40">
        <f>'GT Input'!E10</f>
        <v>7</v>
      </c>
      <c r="I377" s="40">
        <f>'GT Input'!F10</f>
        <v>18</v>
      </c>
      <c r="J377" s="41">
        <f>'Detailed Results'!G377</f>
        <v>7</v>
      </c>
      <c r="K377" s="41">
        <f>'Detailed Results'!H377</f>
        <v>7</v>
      </c>
      <c r="L377" s="42">
        <f t="shared" si="60"/>
        <v>1</v>
      </c>
      <c r="M377" s="42">
        <f t="shared" si="68"/>
        <v>1</v>
      </c>
      <c r="N377" s="42">
        <f t="shared" si="61"/>
        <v>1</v>
      </c>
      <c r="O377" s="43">
        <f>'Detailed Results'!I377</f>
        <v>11</v>
      </c>
      <c r="P377" s="43">
        <f>'Detailed Results'!J377</f>
        <v>11</v>
      </c>
      <c r="Q377" s="44">
        <f t="shared" si="62"/>
        <v>1</v>
      </c>
      <c r="R377" s="44">
        <f t="shared" si="69"/>
        <v>0.61111111111111116</v>
      </c>
      <c r="S377" s="44">
        <f t="shared" si="63"/>
        <v>0.75862068965517249</v>
      </c>
      <c r="T377" s="45">
        <f>'Detailed Results'!K377</f>
        <v>7</v>
      </c>
      <c r="U377" s="45">
        <f>'Detailed Results'!L377</f>
        <v>7</v>
      </c>
      <c r="V377" s="46">
        <f t="shared" si="64"/>
        <v>1</v>
      </c>
      <c r="W377" s="46">
        <f t="shared" si="70"/>
        <v>1</v>
      </c>
      <c r="X377" s="46">
        <f t="shared" si="65"/>
        <v>1</v>
      </c>
      <c r="Y377" s="47">
        <f>'Detailed Results'!M377</f>
        <v>11</v>
      </c>
      <c r="Z377" s="47">
        <f>'Detailed Results'!N377</f>
        <v>9</v>
      </c>
      <c r="AA377" s="48">
        <f t="shared" si="66"/>
        <v>0.81818181818181823</v>
      </c>
      <c r="AB377" s="48">
        <f t="shared" si="71"/>
        <v>0.5</v>
      </c>
      <c r="AC377" s="48">
        <f t="shared" si="67"/>
        <v>0.6206896551724137</v>
      </c>
    </row>
    <row r="378" spans="1:29" ht="15" customHeight="1" thickBot="1" x14ac:dyDescent="0.4">
      <c r="A378" s="185"/>
      <c r="B378" s="16" t="s">
        <v>22</v>
      </c>
      <c r="C378" s="17" t="s">
        <v>20</v>
      </c>
      <c r="D378" s="17">
        <v>1</v>
      </c>
      <c r="E378" s="16" t="s">
        <v>17</v>
      </c>
      <c r="F378" s="40">
        <f>'GT Input'!C10</f>
        <v>7</v>
      </c>
      <c r="G378" s="40">
        <f>'GT Input'!D10</f>
        <v>18</v>
      </c>
      <c r="H378" s="40">
        <f>'GT Input'!E10</f>
        <v>7</v>
      </c>
      <c r="I378" s="40">
        <f>'GT Input'!F10</f>
        <v>18</v>
      </c>
      <c r="J378" s="41">
        <f>'Detailed Results'!G378</f>
        <v>7</v>
      </c>
      <c r="K378" s="41">
        <f>'Detailed Results'!H378</f>
        <v>7</v>
      </c>
      <c r="L378" s="42">
        <f t="shared" si="60"/>
        <v>1</v>
      </c>
      <c r="M378" s="42">
        <f t="shared" si="68"/>
        <v>1</v>
      </c>
      <c r="N378" s="42">
        <f t="shared" si="61"/>
        <v>1</v>
      </c>
      <c r="O378" s="43">
        <f>'Detailed Results'!I378</f>
        <v>11</v>
      </c>
      <c r="P378" s="43">
        <f>'Detailed Results'!J378</f>
        <v>11</v>
      </c>
      <c r="Q378" s="44">
        <f t="shared" si="62"/>
        <v>1</v>
      </c>
      <c r="R378" s="44">
        <f t="shared" si="69"/>
        <v>0.61111111111111116</v>
      </c>
      <c r="S378" s="44">
        <f t="shared" si="63"/>
        <v>0.75862068965517249</v>
      </c>
      <c r="T378" s="45">
        <f>'Detailed Results'!K378</f>
        <v>7</v>
      </c>
      <c r="U378" s="45">
        <f>'Detailed Results'!L378</f>
        <v>7</v>
      </c>
      <c r="V378" s="46">
        <f t="shared" si="64"/>
        <v>1</v>
      </c>
      <c r="W378" s="46">
        <f t="shared" si="70"/>
        <v>1</v>
      </c>
      <c r="X378" s="46">
        <f t="shared" si="65"/>
        <v>1</v>
      </c>
      <c r="Y378" s="47">
        <f>'Detailed Results'!M378</f>
        <v>11</v>
      </c>
      <c r="Z378" s="47">
        <f>'Detailed Results'!N378</f>
        <v>9</v>
      </c>
      <c r="AA378" s="48">
        <f t="shared" si="66"/>
        <v>0.81818181818181823</v>
      </c>
      <c r="AB378" s="48">
        <f t="shared" si="71"/>
        <v>0.5</v>
      </c>
      <c r="AC378" s="48">
        <f t="shared" si="67"/>
        <v>0.6206896551724137</v>
      </c>
    </row>
    <row r="379" spans="1:29" ht="15" customHeight="1" thickBot="1" x14ac:dyDescent="0.4">
      <c r="A379" s="185"/>
      <c r="B379" s="16" t="s">
        <v>22</v>
      </c>
      <c r="C379" s="17" t="s">
        <v>20</v>
      </c>
      <c r="D379" s="17">
        <v>1</v>
      </c>
      <c r="E379" s="16" t="s">
        <v>109</v>
      </c>
      <c r="F379" s="40">
        <f>'GT Input'!C10</f>
        <v>7</v>
      </c>
      <c r="G379" s="40">
        <f>'GT Input'!D10</f>
        <v>18</v>
      </c>
      <c r="H379" s="40">
        <f>'GT Input'!E10</f>
        <v>7</v>
      </c>
      <c r="I379" s="40">
        <f>'GT Input'!F10</f>
        <v>18</v>
      </c>
      <c r="J379" s="41">
        <f>'Detailed Results'!G379</f>
        <v>7</v>
      </c>
      <c r="K379" s="41">
        <f>'Detailed Results'!H379</f>
        <v>7</v>
      </c>
      <c r="L379" s="42">
        <f t="shared" si="60"/>
        <v>1</v>
      </c>
      <c r="M379" s="42">
        <f t="shared" si="68"/>
        <v>1</v>
      </c>
      <c r="N379" s="42">
        <f t="shared" si="61"/>
        <v>1</v>
      </c>
      <c r="O379" s="43">
        <f>'Detailed Results'!I379</f>
        <v>10</v>
      </c>
      <c r="P379" s="43">
        <f>'Detailed Results'!J379</f>
        <v>10</v>
      </c>
      <c r="Q379" s="44">
        <f t="shared" si="62"/>
        <v>1</v>
      </c>
      <c r="R379" s="44">
        <f t="shared" si="69"/>
        <v>0.55555555555555558</v>
      </c>
      <c r="S379" s="44">
        <f t="shared" si="63"/>
        <v>0.7142857142857143</v>
      </c>
      <c r="T379" s="45">
        <f>'Detailed Results'!K379</f>
        <v>7</v>
      </c>
      <c r="U379" s="45">
        <f>'Detailed Results'!L379</f>
        <v>7</v>
      </c>
      <c r="V379" s="46">
        <f t="shared" si="64"/>
        <v>1</v>
      </c>
      <c r="W379" s="46">
        <f t="shared" si="70"/>
        <v>1</v>
      </c>
      <c r="X379" s="46">
        <f t="shared" si="65"/>
        <v>1</v>
      </c>
      <c r="Y379" s="47">
        <f>'Detailed Results'!M379</f>
        <v>10</v>
      </c>
      <c r="Z379" s="47">
        <f>'Detailed Results'!N379</f>
        <v>8</v>
      </c>
      <c r="AA379" s="48">
        <f t="shared" si="66"/>
        <v>0.8</v>
      </c>
      <c r="AB379" s="48">
        <f t="shared" si="71"/>
        <v>0.44444444444444442</v>
      </c>
      <c r="AC379" s="48">
        <f t="shared" si="67"/>
        <v>0.5714285714285714</v>
      </c>
    </row>
    <row r="380" spans="1:29" ht="15" customHeight="1" thickBot="1" x14ac:dyDescent="0.4">
      <c r="A380" s="185"/>
      <c r="B380" s="18" t="s">
        <v>22</v>
      </c>
      <c r="C380" s="19" t="s">
        <v>20</v>
      </c>
      <c r="D380" s="19">
        <v>2</v>
      </c>
      <c r="E380" s="18" t="s">
        <v>17</v>
      </c>
      <c r="F380" s="40">
        <f>'GT Input'!C10</f>
        <v>7</v>
      </c>
      <c r="G380" s="40">
        <f>'GT Input'!D10</f>
        <v>18</v>
      </c>
      <c r="H380" s="40">
        <f>'GT Input'!E10</f>
        <v>7</v>
      </c>
      <c r="I380" s="40">
        <f>'GT Input'!F10</f>
        <v>18</v>
      </c>
      <c r="J380" s="41">
        <f>'Detailed Results'!G380</f>
        <v>7</v>
      </c>
      <c r="K380" s="41">
        <f>'Detailed Results'!H380</f>
        <v>7</v>
      </c>
      <c r="L380" s="42">
        <f t="shared" si="60"/>
        <v>1</v>
      </c>
      <c r="M380" s="42">
        <f t="shared" si="68"/>
        <v>1</v>
      </c>
      <c r="N380" s="42">
        <f t="shared" si="61"/>
        <v>1</v>
      </c>
      <c r="O380" s="43">
        <f>'Detailed Results'!I380</f>
        <v>12</v>
      </c>
      <c r="P380" s="43">
        <f>'Detailed Results'!J380</f>
        <v>12</v>
      </c>
      <c r="Q380" s="44">
        <f t="shared" si="62"/>
        <v>1</v>
      </c>
      <c r="R380" s="44">
        <f t="shared" si="69"/>
        <v>0.66666666666666663</v>
      </c>
      <c r="S380" s="44">
        <f t="shared" si="63"/>
        <v>0.8</v>
      </c>
      <c r="T380" s="45">
        <f>'Detailed Results'!K380</f>
        <v>7</v>
      </c>
      <c r="U380" s="45">
        <f>'Detailed Results'!L380</f>
        <v>7</v>
      </c>
      <c r="V380" s="46">
        <f t="shared" si="64"/>
        <v>1</v>
      </c>
      <c r="W380" s="46">
        <f t="shared" si="70"/>
        <v>1</v>
      </c>
      <c r="X380" s="46">
        <f t="shared" si="65"/>
        <v>1</v>
      </c>
      <c r="Y380" s="47">
        <f>'Detailed Results'!M380</f>
        <v>12</v>
      </c>
      <c r="Z380" s="47">
        <f>'Detailed Results'!N380</f>
        <v>11</v>
      </c>
      <c r="AA380" s="48">
        <f t="shared" si="66"/>
        <v>0.91666666666666663</v>
      </c>
      <c r="AB380" s="48">
        <f t="shared" si="71"/>
        <v>0.61111111111111116</v>
      </c>
      <c r="AC380" s="48">
        <f t="shared" si="67"/>
        <v>0.73333333333333339</v>
      </c>
    </row>
    <row r="381" spans="1:29" ht="15" customHeight="1" thickBot="1" x14ac:dyDescent="0.4">
      <c r="A381" s="185"/>
      <c r="B381" s="18" t="s">
        <v>22</v>
      </c>
      <c r="C381" s="19" t="s">
        <v>20</v>
      </c>
      <c r="D381" s="19">
        <v>2</v>
      </c>
      <c r="E381" s="18" t="s">
        <v>109</v>
      </c>
      <c r="F381" s="40">
        <f>'GT Input'!C10</f>
        <v>7</v>
      </c>
      <c r="G381" s="40">
        <f>'GT Input'!D10</f>
        <v>18</v>
      </c>
      <c r="H381" s="40">
        <f>'GT Input'!E10</f>
        <v>7</v>
      </c>
      <c r="I381" s="40">
        <f>'GT Input'!F10</f>
        <v>18</v>
      </c>
      <c r="J381" s="41">
        <f>'Detailed Results'!G381</f>
        <v>7</v>
      </c>
      <c r="K381" s="41">
        <f>'Detailed Results'!H381</f>
        <v>7</v>
      </c>
      <c r="L381" s="42">
        <f t="shared" si="60"/>
        <v>1</v>
      </c>
      <c r="M381" s="42">
        <f t="shared" si="68"/>
        <v>1</v>
      </c>
      <c r="N381" s="42">
        <f t="shared" si="61"/>
        <v>1</v>
      </c>
      <c r="O381" s="43">
        <f>'Detailed Results'!I381</f>
        <v>11</v>
      </c>
      <c r="P381" s="43">
        <f>'Detailed Results'!J381</f>
        <v>11</v>
      </c>
      <c r="Q381" s="44">
        <f t="shared" si="62"/>
        <v>1</v>
      </c>
      <c r="R381" s="44">
        <f t="shared" si="69"/>
        <v>0.61111111111111116</v>
      </c>
      <c r="S381" s="44">
        <f t="shared" si="63"/>
        <v>0.75862068965517249</v>
      </c>
      <c r="T381" s="45">
        <f>'Detailed Results'!K381</f>
        <v>7</v>
      </c>
      <c r="U381" s="45">
        <f>'Detailed Results'!L381</f>
        <v>7</v>
      </c>
      <c r="V381" s="46">
        <f t="shared" si="64"/>
        <v>1</v>
      </c>
      <c r="W381" s="46">
        <f t="shared" si="70"/>
        <v>1</v>
      </c>
      <c r="X381" s="46">
        <f t="shared" si="65"/>
        <v>1</v>
      </c>
      <c r="Y381" s="47">
        <f>'Detailed Results'!M381</f>
        <v>11</v>
      </c>
      <c r="Z381" s="47">
        <f>'Detailed Results'!N381</f>
        <v>9</v>
      </c>
      <c r="AA381" s="48">
        <f t="shared" si="66"/>
        <v>0.81818181818181823</v>
      </c>
      <c r="AB381" s="48">
        <f t="shared" si="71"/>
        <v>0.5</v>
      </c>
      <c r="AC381" s="48">
        <f t="shared" si="67"/>
        <v>0.6206896551724137</v>
      </c>
    </row>
    <row r="382" spans="1:29" ht="15" customHeight="1" thickBot="1" x14ac:dyDescent="0.4">
      <c r="A382" s="185"/>
      <c r="B382" s="16" t="s">
        <v>22</v>
      </c>
      <c r="C382" s="17" t="s">
        <v>20</v>
      </c>
      <c r="D382" s="17">
        <v>3</v>
      </c>
      <c r="E382" s="16" t="s">
        <v>17</v>
      </c>
      <c r="F382" s="40">
        <f>'GT Input'!C10</f>
        <v>7</v>
      </c>
      <c r="G382" s="40">
        <f>'GT Input'!D10</f>
        <v>18</v>
      </c>
      <c r="H382" s="40">
        <f>'GT Input'!E10</f>
        <v>7</v>
      </c>
      <c r="I382" s="40">
        <f>'GT Input'!F10</f>
        <v>18</v>
      </c>
      <c r="J382" s="41">
        <f>'Detailed Results'!G382</f>
        <v>7</v>
      </c>
      <c r="K382" s="41">
        <f>'Detailed Results'!H382</f>
        <v>7</v>
      </c>
      <c r="L382" s="42">
        <f t="shared" si="60"/>
        <v>1</v>
      </c>
      <c r="M382" s="42">
        <f t="shared" si="68"/>
        <v>1</v>
      </c>
      <c r="N382" s="42">
        <f t="shared" si="61"/>
        <v>1</v>
      </c>
      <c r="O382" s="43">
        <f>'Detailed Results'!I382</f>
        <v>11</v>
      </c>
      <c r="P382" s="43">
        <f>'Detailed Results'!J382</f>
        <v>11</v>
      </c>
      <c r="Q382" s="44">
        <f t="shared" si="62"/>
        <v>1</v>
      </c>
      <c r="R382" s="44">
        <f t="shared" si="69"/>
        <v>0.61111111111111116</v>
      </c>
      <c r="S382" s="44">
        <f t="shared" si="63"/>
        <v>0.75862068965517249</v>
      </c>
      <c r="T382" s="45">
        <f>'Detailed Results'!K382</f>
        <v>7</v>
      </c>
      <c r="U382" s="45">
        <f>'Detailed Results'!L382</f>
        <v>7</v>
      </c>
      <c r="V382" s="46">
        <f t="shared" si="64"/>
        <v>1</v>
      </c>
      <c r="W382" s="46">
        <f t="shared" si="70"/>
        <v>1</v>
      </c>
      <c r="X382" s="46">
        <f t="shared" si="65"/>
        <v>1</v>
      </c>
      <c r="Y382" s="47">
        <f>'Detailed Results'!M382</f>
        <v>11</v>
      </c>
      <c r="Z382" s="47">
        <f>'Detailed Results'!N382</f>
        <v>9</v>
      </c>
      <c r="AA382" s="48">
        <f t="shared" si="66"/>
        <v>0.81818181818181823</v>
      </c>
      <c r="AB382" s="48">
        <f t="shared" si="71"/>
        <v>0.5</v>
      </c>
      <c r="AC382" s="48">
        <f t="shared" si="67"/>
        <v>0.6206896551724137</v>
      </c>
    </row>
    <row r="383" spans="1:29" s="64" customFormat="1" ht="15" customHeight="1" thickBot="1" x14ac:dyDescent="0.4">
      <c r="A383" s="185"/>
      <c r="B383" s="53" t="s">
        <v>22</v>
      </c>
      <c r="C383" s="54" t="s">
        <v>20</v>
      </c>
      <c r="D383" s="54">
        <v>3</v>
      </c>
      <c r="E383" s="53" t="s">
        <v>109</v>
      </c>
      <c r="F383" s="55">
        <f>'GT Input'!C10</f>
        <v>7</v>
      </c>
      <c r="G383" s="55">
        <f>'GT Input'!D10</f>
        <v>18</v>
      </c>
      <c r="H383" s="55">
        <f>'GT Input'!E10</f>
        <v>7</v>
      </c>
      <c r="I383" s="55">
        <f>'GT Input'!F10</f>
        <v>18</v>
      </c>
      <c r="J383" s="56">
        <f>'Detailed Results'!G383</f>
        <v>7</v>
      </c>
      <c r="K383" s="56">
        <f>'Detailed Results'!H383</f>
        <v>7</v>
      </c>
      <c r="L383" s="57">
        <f t="shared" si="60"/>
        <v>1</v>
      </c>
      <c r="M383" s="57">
        <f t="shared" si="68"/>
        <v>1</v>
      </c>
      <c r="N383" s="57">
        <f t="shared" si="61"/>
        <v>1</v>
      </c>
      <c r="O383" s="58">
        <f>'Detailed Results'!I383</f>
        <v>11</v>
      </c>
      <c r="P383" s="58">
        <f>'Detailed Results'!J383</f>
        <v>11</v>
      </c>
      <c r="Q383" s="59">
        <f t="shared" si="62"/>
        <v>1</v>
      </c>
      <c r="R383" s="59">
        <f t="shared" si="69"/>
        <v>0.61111111111111116</v>
      </c>
      <c r="S383" s="59">
        <f t="shared" si="63"/>
        <v>0.75862068965517249</v>
      </c>
      <c r="T383" s="60">
        <f>'Detailed Results'!K383</f>
        <v>7</v>
      </c>
      <c r="U383" s="60">
        <f>'Detailed Results'!L383</f>
        <v>7</v>
      </c>
      <c r="V383" s="61">
        <f t="shared" si="64"/>
        <v>1</v>
      </c>
      <c r="W383" s="61">
        <f t="shared" si="70"/>
        <v>1</v>
      </c>
      <c r="X383" s="61">
        <f t="shared" si="65"/>
        <v>1</v>
      </c>
      <c r="Y383" s="62">
        <f>'Detailed Results'!M383</f>
        <v>11</v>
      </c>
      <c r="Z383" s="62">
        <f>'Detailed Results'!N383</f>
        <v>9</v>
      </c>
      <c r="AA383" s="63">
        <f t="shared" si="66"/>
        <v>0.81818181818181823</v>
      </c>
      <c r="AB383" s="63">
        <f t="shared" si="71"/>
        <v>0.5</v>
      </c>
      <c r="AC383" s="63">
        <f t="shared" si="67"/>
        <v>0.6206896551724137</v>
      </c>
    </row>
    <row r="384" spans="1:29" ht="15" customHeight="1" thickBot="1" x14ac:dyDescent="0.4">
      <c r="A384" s="185" t="s">
        <v>29</v>
      </c>
      <c r="B384" s="65" t="s">
        <v>15</v>
      </c>
      <c r="C384" s="66" t="s">
        <v>16</v>
      </c>
      <c r="D384" s="66">
        <v>1</v>
      </c>
      <c r="E384" s="65" t="s">
        <v>17</v>
      </c>
      <c r="F384" s="67">
        <f>'GT Input'!C11</f>
        <v>7</v>
      </c>
      <c r="G384" s="67">
        <f>'GT Input'!D11</f>
        <v>11</v>
      </c>
      <c r="H384" s="67">
        <f>'GT Input'!E11</f>
        <v>7</v>
      </c>
      <c r="I384" s="67">
        <f>'GT Input'!F11</f>
        <v>11</v>
      </c>
      <c r="J384" s="68">
        <f>'Detailed Results'!G384</f>
        <v>7</v>
      </c>
      <c r="K384" s="68">
        <f>'Detailed Results'!H384</f>
        <v>7</v>
      </c>
      <c r="L384" s="69">
        <f t="shared" si="60"/>
        <v>1</v>
      </c>
      <c r="M384" s="69">
        <f t="shared" si="68"/>
        <v>1</v>
      </c>
      <c r="N384" s="69">
        <f t="shared" si="61"/>
        <v>1</v>
      </c>
      <c r="O384" s="70">
        <f>'Detailed Results'!I384</f>
        <v>10</v>
      </c>
      <c r="P384" s="70">
        <f>'Detailed Results'!J384</f>
        <v>10</v>
      </c>
      <c r="Q384" s="71">
        <f t="shared" si="62"/>
        <v>1</v>
      </c>
      <c r="R384" s="71">
        <f t="shared" si="69"/>
        <v>0.90909090909090906</v>
      </c>
      <c r="S384" s="71">
        <f t="shared" si="63"/>
        <v>0.95238095238095233</v>
      </c>
      <c r="T384" s="72">
        <f>'Detailed Results'!K384</f>
        <v>7</v>
      </c>
      <c r="U384" s="72">
        <f>'Detailed Results'!L384</f>
        <v>6</v>
      </c>
      <c r="V384" s="73">
        <f t="shared" si="64"/>
        <v>0.8571428571428571</v>
      </c>
      <c r="W384" s="73">
        <f t="shared" si="70"/>
        <v>0.8571428571428571</v>
      </c>
      <c r="X384" s="73">
        <f t="shared" si="65"/>
        <v>0.8571428571428571</v>
      </c>
      <c r="Y384" s="74">
        <f>'Detailed Results'!M384</f>
        <v>10</v>
      </c>
      <c r="Z384" s="74">
        <f>'Detailed Results'!N384</f>
        <v>5</v>
      </c>
      <c r="AA384" s="75">
        <f t="shared" si="66"/>
        <v>0.5</v>
      </c>
      <c r="AB384" s="75">
        <f t="shared" si="71"/>
        <v>0.45454545454545453</v>
      </c>
      <c r="AC384" s="75">
        <f t="shared" si="67"/>
        <v>0.47619047619047616</v>
      </c>
    </row>
    <row r="385" spans="1:29" ht="15" customHeight="1" thickBot="1" x14ac:dyDescent="0.4">
      <c r="A385" s="185"/>
      <c r="B385" s="7" t="s">
        <v>15</v>
      </c>
      <c r="C385" s="8" t="s">
        <v>16</v>
      </c>
      <c r="D385" s="8">
        <v>1</v>
      </c>
      <c r="E385" s="7" t="s">
        <v>109</v>
      </c>
      <c r="F385" s="40">
        <f>'GT Input'!C11</f>
        <v>7</v>
      </c>
      <c r="G385" s="40">
        <f>'GT Input'!D11</f>
        <v>11</v>
      </c>
      <c r="H385" s="40">
        <f>'GT Input'!E11</f>
        <v>7</v>
      </c>
      <c r="I385" s="40">
        <f>'GT Input'!F11</f>
        <v>11</v>
      </c>
      <c r="J385" s="41">
        <f>'Detailed Results'!G385</f>
        <v>7</v>
      </c>
      <c r="K385" s="41">
        <f>'Detailed Results'!H385</f>
        <v>7</v>
      </c>
      <c r="L385" s="42">
        <f t="shared" si="60"/>
        <v>1</v>
      </c>
      <c r="M385" s="42">
        <f t="shared" si="68"/>
        <v>1</v>
      </c>
      <c r="N385" s="42">
        <f t="shared" si="61"/>
        <v>1</v>
      </c>
      <c r="O385" s="43">
        <f>'Detailed Results'!I385</f>
        <v>11</v>
      </c>
      <c r="P385" s="43">
        <f>'Detailed Results'!J385</f>
        <v>11</v>
      </c>
      <c r="Q385" s="44">
        <f t="shared" si="62"/>
        <v>1</v>
      </c>
      <c r="R385" s="44">
        <f t="shared" si="69"/>
        <v>1</v>
      </c>
      <c r="S385" s="44">
        <f t="shared" si="63"/>
        <v>1</v>
      </c>
      <c r="T385" s="45">
        <f>'Detailed Results'!K385</f>
        <v>7</v>
      </c>
      <c r="U385" s="45">
        <f>'Detailed Results'!L385</f>
        <v>7</v>
      </c>
      <c r="V385" s="46">
        <f t="shared" si="64"/>
        <v>1</v>
      </c>
      <c r="W385" s="46">
        <f t="shared" si="70"/>
        <v>1</v>
      </c>
      <c r="X385" s="46">
        <f t="shared" si="65"/>
        <v>1</v>
      </c>
      <c r="Y385" s="47">
        <f>'Detailed Results'!M385</f>
        <v>11</v>
      </c>
      <c r="Z385" s="47">
        <f>'Detailed Results'!N385</f>
        <v>11</v>
      </c>
      <c r="AA385" s="48">
        <f t="shared" si="66"/>
        <v>1</v>
      </c>
      <c r="AB385" s="48">
        <f t="shared" si="71"/>
        <v>1</v>
      </c>
      <c r="AC385" s="48">
        <f t="shared" si="67"/>
        <v>1</v>
      </c>
    </row>
    <row r="386" spans="1:29" ht="15" customHeight="1" thickBot="1" x14ac:dyDescent="0.4">
      <c r="A386" s="185"/>
      <c r="B386" s="10" t="s">
        <v>15</v>
      </c>
      <c r="C386" s="11" t="s">
        <v>16</v>
      </c>
      <c r="D386" s="11">
        <v>2</v>
      </c>
      <c r="E386" s="10" t="s">
        <v>17</v>
      </c>
      <c r="F386" s="40">
        <f>'GT Input'!C11</f>
        <v>7</v>
      </c>
      <c r="G386" s="40">
        <f>'GT Input'!D11</f>
        <v>11</v>
      </c>
      <c r="H386" s="40">
        <f>'GT Input'!E11</f>
        <v>7</v>
      </c>
      <c r="I386" s="40">
        <f>'GT Input'!F11</f>
        <v>11</v>
      </c>
      <c r="J386" s="41">
        <f>'Detailed Results'!G386</f>
        <v>7</v>
      </c>
      <c r="K386" s="41">
        <f>'Detailed Results'!H386</f>
        <v>7</v>
      </c>
      <c r="L386" s="42">
        <f t="shared" si="60"/>
        <v>1</v>
      </c>
      <c r="M386" s="42">
        <f t="shared" si="68"/>
        <v>1</v>
      </c>
      <c r="N386" s="42">
        <f t="shared" si="61"/>
        <v>1</v>
      </c>
      <c r="O386" s="43">
        <f>'Detailed Results'!I386</f>
        <v>10</v>
      </c>
      <c r="P386" s="43">
        <f>'Detailed Results'!J386</f>
        <v>10</v>
      </c>
      <c r="Q386" s="44">
        <f t="shared" si="62"/>
        <v>1</v>
      </c>
      <c r="R386" s="44">
        <f t="shared" si="69"/>
        <v>0.90909090909090906</v>
      </c>
      <c r="S386" s="44">
        <f t="shared" si="63"/>
        <v>0.95238095238095233</v>
      </c>
      <c r="T386" s="45">
        <f>'Detailed Results'!K386</f>
        <v>7</v>
      </c>
      <c r="U386" s="45">
        <f>'Detailed Results'!L386</f>
        <v>7</v>
      </c>
      <c r="V386" s="46">
        <f t="shared" si="64"/>
        <v>1</v>
      </c>
      <c r="W386" s="46">
        <f t="shared" si="70"/>
        <v>1</v>
      </c>
      <c r="X386" s="46">
        <f t="shared" si="65"/>
        <v>1</v>
      </c>
      <c r="Y386" s="47">
        <f>'Detailed Results'!M386</f>
        <v>10</v>
      </c>
      <c r="Z386" s="47">
        <f>'Detailed Results'!N386</f>
        <v>10</v>
      </c>
      <c r="AA386" s="48">
        <f t="shared" si="66"/>
        <v>1</v>
      </c>
      <c r="AB386" s="48">
        <f t="shared" si="71"/>
        <v>0.90909090909090906</v>
      </c>
      <c r="AC386" s="48">
        <f t="shared" si="67"/>
        <v>0.95238095238095233</v>
      </c>
    </row>
    <row r="387" spans="1:29" ht="15" customHeight="1" thickBot="1" x14ac:dyDescent="0.4">
      <c r="A387" s="185"/>
      <c r="B387" s="10" t="s">
        <v>15</v>
      </c>
      <c r="C387" s="11" t="s">
        <v>16</v>
      </c>
      <c r="D387" s="11">
        <v>2</v>
      </c>
      <c r="E387" s="10" t="s">
        <v>109</v>
      </c>
      <c r="F387" s="40">
        <f>'GT Input'!C11</f>
        <v>7</v>
      </c>
      <c r="G387" s="40">
        <f>'GT Input'!D11</f>
        <v>11</v>
      </c>
      <c r="H387" s="40">
        <f>'GT Input'!E11</f>
        <v>7</v>
      </c>
      <c r="I387" s="40">
        <f>'GT Input'!F11</f>
        <v>11</v>
      </c>
      <c r="J387" s="41">
        <f>'Detailed Results'!G387</f>
        <v>7</v>
      </c>
      <c r="K387" s="41">
        <f>'Detailed Results'!H387</f>
        <v>7</v>
      </c>
      <c r="L387" s="42">
        <f t="shared" si="60"/>
        <v>1</v>
      </c>
      <c r="M387" s="42">
        <f t="shared" si="68"/>
        <v>1</v>
      </c>
      <c r="N387" s="42">
        <f t="shared" si="61"/>
        <v>1</v>
      </c>
      <c r="O387" s="43">
        <f>'Detailed Results'!I387</f>
        <v>11</v>
      </c>
      <c r="P387" s="43">
        <f>'Detailed Results'!J387</f>
        <v>11</v>
      </c>
      <c r="Q387" s="44">
        <f t="shared" si="62"/>
        <v>1</v>
      </c>
      <c r="R387" s="44">
        <f t="shared" si="69"/>
        <v>1</v>
      </c>
      <c r="S387" s="44">
        <f t="shared" si="63"/>
        <v>1</v>
      </c>
      <c r="T387" s="45">
        <f>'Detailed Results'!K387</f>
        <v>7</v>
      </c>
      <c r="U387" s="45">
        <f>'Detailed Results'!L387</f>
        <v>7</v>
      </c>
      <c r="V387" s="46">
        <f t="shared" si="64"/>
        <v>1</v>
      </c>
      <c r="W387" s="46">
        <f t="shared" si="70"/>
        <v>1</v>
      </c>
      <c r="X387" s="46">
        <f t="shared" si="65"/>
        <v>1</v>
      </c>
      <c r="Y387" s="47">
        <f>'Detailed Results'!M387</f>
        <v>11</v>
      </c>
      <c r="Z387" s="47">
        <f>'Detailed Results'!N387</f>
        <v>11</v>
      </c>
      <c r="AA387" s="48">
        <f t="shared" si="66"/>
        <v>1</v>
      </c>
      <c r="AB387" s="48">
        <f t="shared" si="71"/>
        <v>1</v>
      </c>
      <c r="AC387" s="48">
        <f t="shared" si="67"/>
        <v>1</v>
      </c>
    </row>
    <row r="388" spans="1:29" ht="15" customHeight="1" thickBot="1" x14ac:dyDescent="0.4">
      <c r="A388" s="185"/>
      <c r="B388" s="7" t="s">
        <v>15</v>
      </c>
      <c r="C388" s="8" t="s">
        <v>16</v>
      </c>
      <c r="D388" s="8">
        <v>3</v>
      </c>
      <c r="E388" s="7" t="s">
        <v>17</v>
      </c>
      <c r="F388" s="40">
        <f>'GT Input'!C11</f>
        <v>7</v>
      </c>
      <c r="G388" s="40">
        <f>'GT Input'!D11</f>
        <v>11</v>
      </c>
      <c r="H388" s="40">
        <f>'GT Input'!E11</f>
        <v>7</v>
      </c>
      <c r="I388" s="40">
        <f>'GT Input'!F11</f>
        <v>11</v>
      </c>
      <c r="J388" s="41">
        <f>'Detailed Results'!G388</f>
        <v>7</v>
      </c>
      <c r="K388" s="41">
        <f>'Detailed Results'!H388</f>
        <v>7</v>
      </c>
      <c r="L388" s="42">
        <f t="shared" si="60"/>
        <v>1</v>
      </c>
      <c r="M388" s="42">
        <f t="shared" si="68"/>
        <v>1</v>
      </c>
      <c r="N388" s="42">
        <f t="shared" si="61"/>
        <v>1</v>
      </c>
      <c r="O388" s="43">
        <f>'Detailed Results'!I388</f>
        <v>10</v>
      </c>
      <c r="P388" s="43">
        <f>'Detailed Results'!J388</f>
        <v>10</v>
      </c>
      <c r="Q388" s="44">
        <f t="shared" si="62"/>
        <v>1</v>
      </c>
      <c r="R388" s="44">
        <f t="shared" si="69"/>
        <v>0.90909090909090906</v>
      </c>
      <c r="S388" s="44">
        <f t="shared" si="63"/>
        <v>0.95238095238095233</v>
      </c>
      <c r="T388" s="45">
        <f>'Detailed Results'!K388</f>
        <v>7</v>
      </c>
      <c r="U388" s="45">
        <f>'Detailed Results'!L388</f>
        <v>6</v>
      </c>
      <c r="V388" s="46">
        <f t="shared" si="64"/>
        <v>0.8571428571428571</v>
      </c>
      <c r="W388" s="46">
        <f t="shared" si="70"/>
        <v>0.8571428571428571</v>
      </c>
      <c r="X388" s="46">
        <f t="shared" si="65"/>
        <v>0.8571428571428571</v>
      </c>
      <c r="Y388" s="47">
        <f>'Detailed Results'!M388</f>
        <v>10</v>
      </c>
      <c r="Z388" s="47">
        <f>'Detailed Results'!N388</f>
        <v>5</v>
      </c>
      <c r="AA388" s="48">
        <f t="shared" si="66"/>
        <v>0.5</v>
      </c>
      <c r="AB388" s="48">
        <f t="shared" si="71"/>
        <v>0.45454545454545453</v>
      </c>
      <c r="AC388" s="48">
        <f t="shared" si="67"/>
        <v>0.47619047619047616</v>
      </c>
    </row>
    <row r="389" spans="1:29" ht="15" customHeight="1" thickBot="1" x14ac:dyDescent="0.4">
      <c r="A389" s="185"/>
      <c r="B389" s="7" t="s">
        <v>15</v>
      </c>
      <c r="C389" s="8" t="s">
        <v>16</v>
      </c>
      <c r="D389" s="8">
        <v>3</v>
      </c>
      <c r="E389" s="7" t="s">
        <v>109</v>
      </c>
      <c r="F389" s="40">
        <f>'GT Input'!C11</f>
        <v>7</v>
      </c>
      <c r="G389" s="40">
        <f>'GT Input'!D11</f>
        <v>11</v>
      </c>
      <c r="H389" s="40">
        <f>'GT Input'!E11</f>
        <v>7</v>
      </c>
      <c r="I389" s="40">
        <f>'GT Input'!F11</f>
        <v>11</v>
      </c>
      <c r="J389" s="41">
        <f>'Detailed Results'!G389</f>
        <v>7</v>
      </c>
      <c r="K389" s="41">
        <f>'Detailed Results'!H389</f>
        <v>7</v>
      </c>
      <c r="L389" s="42">
        <f t="shared" si="60"/>
        <v>1</v>
      </c>
      <c r="M389" s="42">
        <f t="shared" si="68"/>
        <v>1</v>
      </c>
      <c r="N389" s="42">
        <f t="shared" si="61"/>
        <v>1</v>
      </c>
      <c r="O389" s="43">
        <f>'Detailed Results'!I389</f>
        <v>11</v>
      </c>
      <c r="P389" s="43">
        <f>'Detailed Results'!J389</f>
        <v>11</v>
      </c>
      <c r="Q389" s="44">
        <f t="shared" si="62"/>
        <v>1</v>
      </c>
      <c r="R389" s="44">
        <f t="shared" si="69"/>
        <v>1</v>
      </c>
      <c r="S389" s="44">
        <f t="shared" si="63"/>
        <v>1</v>
      </c>
      <c r="T389" s="45">
        <f>'Detailed Results'!K389</f>
        <v>7</v>
      </c>
      <c r="U389" s="45">
        <f>'Detailed Results'!L389</f>
        <v>7</v>
      </c>
      <c r="V389" s="46">
        <f t="shared" si="64"/>
        <v>1</v>
      </c>
      <c r="W389" s="46">
        <f t="shared" si="70"/>
        <v>1</v>
      </c>
      <c r="X389" s="46">
        <f t="shared" si="65"/>
        <v>1</v>
      </c>
      <c r="Y389" s="47">
        <f>'Detailed Results'!M389</f>
        <v>11</v>
      </c>
      <c r="Z389" s="47">
        <f>'Detailed Results'!N389</f>
        <v>11</v>
      </c>
      <c r="AA389" s="48">
        <f t="shared" si="66"/>
        <v>1</v>
      </c>
      <c r="AB389" s="48">
        <f t="shared" si="71"/>
        <v>1</v>
      </c>
      <c r="AC389" s="48">
        <f t="shared" si="67"/>
        <v>1</v>
      </c>
    </row>
    <row r="390" spans="1:29" ht="15" customHeight="1" thickBot="1" x14ac:dyDescent="0.4">
      <c r="A390" s="185"/>
      <c r="B390" s="10" t="s">
        <v>15</v>
      </c>
      <c r="C390" s="11" t="s">
        <v>19</v>
      </c>
      <c r="D390" s="11">
        <v>1</v>
      </c>
      <c r="E390" s="10" t="s">
        <v>17</v>
      </c>
      <c r="F390" s="40">
        <f>'GT Input'!C11</f>
        <v>7</v>
      </c>
      <c r="G390" s="40">
        <f>'GT Input'!D11</f>
        <v>11</v>
      </c>
      <c r="H390" s="40">
        <f>'GT Input'!E11</f>
        <v>7</v>
      </c>
      <c r="I390" s="40">
        <f>'GT Input'!F11</f>
        <v>11</v>
      </c>
      <c r="J390" s="41">
        <f>'Detailed Results'!G390</f>
        <v>7</v>
      </c>
      <c r="K390" s="41">
        <f>'Detailed Results'!H390</f>
        <v>7</v>
      </c>
      <c r="L390" s="42">
        <f t="shared" ref="L390:L453" si="72">IFERROR(K390/J390,"")</f>
        <v>1</v>
      </c>
      <c r="M390" s="42">
        <f t="shared" si="68"/>
        <v>1</v>
      </c>
      <c r="N390" s="42">
        <f t="shared" ref="N390:N453" si="73">IFERROR(2*L390*M390/(L390+M390),"")</f>
        <v>1</v>
      </c>
      <c r="O390" s="43">
        <f>'Detailed Results'!I390</f>
        <v>10</v>
      </c>
      <c r="P390" s="43">
        <f>'Detailed Results'!J390</f>
        <v>10</v>
      </c>
      <c r="Q390" s="44">
        <f t="shared" ref="Q390:Q453" si="74">IFERROR(P390/O390,"")</f>
        <v>1</v>
      </c>
      <c r="R390" s="44">
        <f t="shared" si="69"/>
        <v>0.90909090909090906</v>
      </c>
      <c r="S390" s="44">
        <f t="shared" ref="S390:S453" si="75">IFERROR(2*Q390*R390/(Q390+R390),"")</f>
        <v>0.95238095238095233</v>
      </c>
      <c r="T390" s="45">
        <f>'Detailed Results'!K390</f>
        <v>7</v>
      </c>
      <c r="U390" s="45">
        <f>'Detailed Results'!L390</f>
        <v>6</v>
      </c>
      <c r="V390" s="46">
        <f t="shared" ref="V390:V453" si="76">IFERROR(U390/T390,"")</f>
        <v>0.8571428571428571</v>
      </c>
      <c r="W390" s="46">
        <f t="shared" si="70"/>
        <v>0.8571428571428571</v>
      </c>
      <c r="X390" s="46">
        <f t="shared" ref="X390:X453" si="77">IFERROR(2*V390*W390/(V390+W390),"")</f>
        <v>0.8571428571428571</v>
      </c>
      <c r="Y390" s="47">
        <f>'Detailed Results'!M390</f>
        <v>10</v>
      </c>
      <c r="Z390" s="47">
        <f>'Detailed Results'!N390</f>
        <v>5</v>
      </c>
      <c r="AA390" s="48">
        <f t="shared" ref="AA390:AA453" si="78">IFERROR(Z390/Y390,"")</f>
        <v>0.5</v>
      </c>
      <c r="AB390" s="48">
        <f t="shared" si="71"/>
        <v>0.45454545454545453</v>
      </c>
      <c r="AC390" s="48">
        <f t="shared" ref="AC390:AC453" si="79">IFERROR(2*AA390*AB390/(AA390+AB390),"")</f>
        <v>0.47619047619047616</v>
      </c>
    </row>
    <row r="391" spans="1:29" ht="15" customHeight="1" thickBot="1" x14ac:dyDescent="0.4">
      <c r="A391" s="185"/>
      <c r="B391" s="10" t="s">
        <v>15</v>
      </c>
      <c r="C391" s="11" t="s">
        <v>19</v>
      </c>
      <c r="D391" s="11">
        <v>1</v>
      </c>
      <c r="E391" s="10" t="s">
        <v>109</v>
      </c>
      <c r="F391" s="40">
        <f>'GT Input'!C11</f>
        <v>7</v>
      </c>
      <c r="G391" s="40">
        <f>'GT Input'!D11</f>
        <v>11</v>
      </c>
      <c r="H391" s="40">
        <f>'GT Input'!E11</f>
        <v>7</v>
      </c>
      <c r="I391" s="40">
        <f>'GT Input'!F11</f>
        <v>11</v>
      </c>
      <c r="J391" s="41">
        <f>'Detailed Results'!G391</f>
        <v>7</v>
      </c>
      <c r="K391" s="41">
        <f>'Detailed Results'!H391</f>
        <v>7</v>
      </c>
      <c r="L391" s="42">
        <f t="shared" si="72"/>
        <v>1</v>
      </c>
      <c r="M391" s="42">
        <f t="shared" ref="M391:M454" si="80">IFERROR(K391/F391,"")</f>
        <v>1</v>
      </c>
      <c r="N391" s="42">
        <f t="shared" si="73"/>
        <v>1</v>
      </c>
      <c r="O391" s="43">
        <f>'Detailed Results'!I391</f>
        <v>10</v>
      </c>
      <c r="P391" s="43">
        <f>'Detailed Results'!J391</f>
        <v>10</v>
      </c>
      <c r="Q391" s="44">
        <f t="shared" si="74"/>
        <v>1</v>
      </c>
      <c r="R391" s="44">
        <f t="shared" ref="R391:R454" si="81">IFERROR(P391/G391,"")</f>
        <v>0.90909090909090906</v>
      </c>
      <c r="S391" s="44">
        <f t="shared" si="75"/>
        <v>0.95238095238095233</v>
      </c>
      <c r="T391" s="45">
        <f>'Detailed Results'!K391</f>
        <v>7</v>
      </c>
      <c r="U391" s="45">
        <f>'Detailed Results'!L391</f>
        <v>7</v>
      </c>
      <c r="V391" s="46">
        <f t="shared" si="76"/>
        <v>1</v>
      </c>
      <c r="W391" s="46">
        <f t="shared" ref="W391:W454" si="82">IFERROR(U391/H391,"")</f>
        <v>1</v>
      </c>
      <c r="X391" s="46">
        <f t="shared" si="77"/>
        <v>1</v>
      </c>
      <c r="Y391" s="47">
        <f>'Detailed Results'!M391</f>
        <v>10</v>
      </c>
      <c r="Z391" s="47">
        <f>'Detailed Results'!N391</f>
        <v>10</v>
      </c>
      <c r="AA391" s="48">
        <f t="shared" si="78"/>
        <v>1</v>
      </c>
      <c r="AB391" s="48">
        <f t="shared" ref="AB391:AB454" si="83">IFERROR(Z391/I391,"")</f>
        <v>0.90909090909090906</v>
      </c>
      <c r="AC391" s="48">
        <f t="shared" si="79"/>
        <v>0.95238095238095233</v>
      </c>
    </row>
    <row r="392" spans="1:29" ht="15" customHeight="1" thickBot="1" x14ac:dyDescent="0.4">
      <c r="A392" s="185"/>
      <c r="B392" s="7" t="s">
        <v>15</v>
      </c>
      <c r="C392" s="8" t="s">
        <v>19</v>
      </c>
      <c r="D392" s="8">
        <v>2</v>
      </c>
      <c r="E392" s="7" t="s">
        <v>17</v>
      </c>
      <c r="F392" s="40">
        <f>'GT Input'!C11</f>
        <v>7</v>
      </c>
      <c r="G392" s="40">
        <f>'GT Input'!D11</f>
        <v>11</v>
      </c>
      <c r="H392" s="40">
        <f>'GT Input'!E11</f>
        <v>7</v>
      </c>
      <c r="I392" s="40">
        <f>'GT Input'!F11</f>
        <v>11</v>
      </c>
      <c r="J392" s="41">
        <f>'Detailed Results'!G392</f>
        <v>7</v>
      </c>
      <c r="K392" s="41">
        <f>'Detailed Results'!H392</f>
        <v>7</v>
      </c>
      <c r="L392" s="42">
        <f t="shared" si="72"/>
        <v>1</v>
      </c>
      <c r="M392" s="42">
        <f t="shared" si="80"/>
        <v>1</v>
      </c>
      <c r="N392" s="42">
        <f t="shared" si="73"/>
        <v>1</v>
      </c>
      <c r="O392" s="43">
        <f>'Detailed Results'!I392</f>
        <v>11</v>
      </c>
      <c r="P392" s="43">
        <f>'Detailed Results'!J392</f>
        <v>11</v>
      </c>
      <c r="Q392" s="44">
        <f t="shared" si="74"/>
        <v>1</v>
      </c>
      <c r="R392" s="44">
        <f t="shared" si="81"/>
        <v>1</v>
      </c>
      <c r="S392" s="44">
        <f t="shared" si="75"/>
        <v>1</v>
      </c>
      <c r="T392" s="45">
        <f>'Detailed Results'!K392</f>
        <v>7</v>
      </c>
      <c r="U392" s="45">
        <f>'Detailed Results'!L392</f>
        <v>7</v>
      </c>
      <c r="V392" s="46">
        <f t="shared" si="76"/>
        <v>1</v>
      </c>
      <c r="W392" s="46">
        <f t="shared" si="82"/>
        <v>1</v>
      </c>
      <c r="X392" s="46">
        <f t="shared" si="77"/>
        <v>1</v>
      </c>
      <c r="Y392" s="47">
        <f>'Detailed Results'!M392</f>
        <v>11</v>
      </c>
      <c r="Z392" s="47">
        <f>'Detailed Results'!N392</f>
        <v>11</v>
      </c>
      <c r="AA392" s="48">
        <f t="shared" si="78"/>
        <v>1</v>
      </c>
      <c r="AB392" s="48">
        <f t="shared" si="83"/>
        <v>1</v>
      </c>
      <c r="AC392" s="48">
        <f t="shared" si="79"/>
        <v>1</v>
      </c>
    </row>
    <row r="393" spans="1:29" ht="15" customHeight="1" thickBot="1" x14ac:dyDescent="0.4">
      <c r="A393" s="185"/>
      <c r="B393" s="7" t="s">
        <v>15</v>
      </c>
      <c r="C393" s="8" t="s">
        <v>19</v>
      </c>
      <c r="D393" s="8">
        <v>2</v>
      </c>
      <c r="E393" s="7" t="s">
        <v>109</v>
      </c>
      <c r="F393" s="40">
        <f>'GT Input'!C11</f>
        <v>7</v>
      </c>
      <c r="G393" s="40">
        <f>'GT Input'!D11</f>
        <v>11</v>
      </c>
      <c r="H393" s="40">
        <f>'GT Input'!E11</f>
        <v>7</v>
      </c>
      <c r="I393" s="40">
        <f>'GT Input'!F11</f>
        <v>11</v>
      </c>
      <c r="J393" s="41">
        <f>'Detailed Results'!G393</f>
        <v>7</v>
      </c>
      <c r="K393" s="41">
        <f>'Detailed Results'!H393</f>
        <v>7</v>
      </c>
      <c r="L393" s="42">
        <f t="shared" si="72"/>
        <v>1</v>
      </c>
      <c r="M393" s="42">
        <f t="shared" si="80"/>
        <v>1</v>
      </c>
      <c r="N393" s="42">
        <f t="shared" si="73"/>
        <v>1</v>
      </c>
      <c r="O393" s="43">
        <f>'Detailed Results'!I393</f>
        <v>10</v>
      </c>
      <c r="P393" s="43">
        <f>'Detailed Results'!J393</f>
        <v>10</v>
      </c>
      <c r="Q393" s="44">
        <f t="shared" si="74"/>
        <v>1</v>
      </c>
      <c r="R393" s="44">
        <f t="shared" si="81"/>
        <v>0.90909090909090906</v>
      </c>
      <c r="S393" s="44">
        <f t="shared" si="75"/>
        <v>0.95238095238095233</v>
      </c>
      <c r="T393" s="45">
        <f>'Detailed Results'!K393</f>
        <v>7</v>
      </c>
      <c r="U393" s="45">
        <f>'Detailed Results'!L393</f>
        <v>7</v>
      </c>
      <c r="V393" s="46">
        <f t="shared" si="76"/>
        <v>1</v>
      </c>
      <c r="W393" s="46">
        <f t="shared" si="82"/>
        <v>1</v>
      </c>
      <c r="X393" s="46">
        <f t="shared" si="77"/>
        <v>1</v>
      </c>
      <c r="Y393" s="47">
        <f>'Detailed Results'!M393</f>
        <v>10</v>
      </c>
      <c r="Z393" s="47">
        <f>'Detailed Results'!N393</f>
        <v>10</v>
      </c>
      <c r="AA393" s="48">
        <f t="shared" si="78"/>
        <v>1</v>
      </c>
      <c r="AB393" s="48">
        <f t="shared" si="83"/>
        <v>0.90909090909090906</v>
      </c>
      <c r="AC393" s="48">
        <f t="shared" si="79"/>
        <v>0.95238095238095233</v>
      </c>
    </row>
    <row r="394" spans="1:29" ht="15" customHeight="1" thickBot="1" x14ac:dyDescent="0.4">
      <c r="A394" s="185"/>
      <c r="B394" s="10" t="s">
        <v>15</v>
      </c>
      <c r="C394" s="11" t="s">
        <v>19</v>
      </c>
      <c r="D394" s="11">
        <v>3</v>
      </c>
      <c r="E394" s="10" t="s">
        <v>17</v>
      </c>
      <c r="F394" s="40">
        <f>'GT Input'!C11</f>
        <v>7</v>
      </c>
      <c r="G394" s="40">
        <f>'GT Input'!D11</f>
        <v>11</v>
      </c>
      <c r="H394" s="40">
        <f>'GT Input'!E11</f>
        <v>7</v>
      </c>
      <c r="I394" s="40">
        <f>'GT Input'!F11</f>
        <v>11</v>
      </c>
      <c r="J394" s="41">
        <f>'Detailed Results'!G394</f>
        <v>7</v>
      </c>
      <c r="K394" s="41">
        <f>'Detailed Results'!H394</f>
        <v>7</v>
      </c>
      <c r="L394" s="42">
        <f t="shared" si="72"/>
        <v>1</v>
      </c>
      <c r="M394" s="42">
        <f t="shared" si="80"/>
        <v>1</v>
      </c>
      <c r="N394" s="42">
        <f t="shared" si="73"/>
        <v>1</v>
      </c>
      <c r="O394" s="43">
        <f>'Detailed Results'!I394</f>
        <v>10</v>
      </c>
      <c r="P394" s="43">
        <f>'Detailed Results'!J394</f>
        <v>10</v>
      </c>
      <c r="Q394" s="44">
        <f t="shared" si="74"/>
        <v>1</v>
      </c>
      <c r="R394" s="44">
        <f t="shared" si="81"/>
        <v>0.90909090909090906</v>
      </c>
      <c r="S394" s="44">
        <f t="shared" si="75"/>
        <v>0.95238095238095233</v>
      </c>
      <c r="T394" s="45">
        <f>'Detailed Results'!K394</f>
        <v>7</v>
      </c>
      <c r="U394" s="45">
        <f>'Detailed Results'!L394</f>
        <v>6</v>
      </c>
      <c r="V394" s="46">
        <f t="shared" si="76"/>
        <v>0.8571428571428571</v>
      </c>
      <c r="W394" s="46">
        <f t="shared" si="82"/>
        <v>0.8571428571428571</v>
      </c>
      <c r="X394" s="46">
        <f t="shared" si="77"/>
        <v>0.8571428571428571</v>
      </c>
      <c r="Y394" s="47">
        <f>'Detailed Results'!M394</f>
        <v>10</v>
      </c>
      <c r="Z394" s="47">
        <f>'Detailed Results'!N394</f>
        <v>5</v>
      </c>
      <c r="AA394" s="48">
        <f t="shared" si="78"/>
        <v>0.5</v>
      </c>
      <c r="AB394" s="48">
        <f t="shared" si="83"/>
        <v>0.45454545454545453</v>
      </c>
      <c r="AC394" s="48">
        <f t="shared" si="79"/>
        <v>0.47619047619047616</v>
      </c>
    </row>
    <row r="395" spans="1:29" ht="15" customHeight="1" thickBot="1" x14ac:dyDescent="0.4">
      <c r="A395" s="185"/>
      <c r="B395" s="10" t="s">
        <v>15</v>
      </c>
      <c r="C395" s="11" t="s">
        <v>19</v>
      </c>
      <c r="D395" s="11">
        <v>3</v>
      </c>
      <c r="E395" s="10" t="s">
        <v>109</v>
      </c>
      <c r="F395" s="40">
        <f>'GT Input'!C11</f>
        <v>7</v>
      </c>
      <c r="G395" s="40">
        <f>'GT Input'!D11</f>
        <v>11</v>
      </c>
      <c r="H395" s="40">
        <f>'GT Input'!E11</f>
        <v>7</v>
      </c>
      <c r="I395" s="40">
        <f>'GT Input'!F11</f>
        <v>11</v>
      </c>
      <c r="J395" s="41">
        <f>'Detailed Results'!G395</f>
        <v>7</v>
      </c>
      <c r="K395" s="41">
        <f>'Detailed Results'!H395</f>
        <v>7</v>
      </c>
      <c r="L395" s="42">
        <f t="shared" si="72"/>
        <v>1</v>
      </c>
      <c r="M395" s="42">
        <f t="shared" si="80"/>
        <v>1</v>
      </c>
      <c r="N395" s="42">
        <f t="shared" si="73"/>
        <v>1</v>
      </c>
      <c r="O395" s="43">
        <f>'Detailed Results'!I395</f>
        <v>10</v>
      </c>
      <c r="P395" s="43">
        <f>'Detailed Results'!J395</f>
        <v>10</v>
      </c>
      <c r="Q395" s="44">
        <f t="shared" si="74"/>
        <v>1</v>
      </c>
      <c r="R395" s="44">
        <f t="shared" si="81"/>
        <v>0.90909090909090906</v>
      </c>
      <c r="S395" s="44">
        <f t="shared" si="75"/>
        <v>0.95238095238095233</v>
      </c>
      <c r="T395" s="45">
        <f>'Detailed Results'!K395</f>
        <v>7</v>
      </c>
      <c r="U395" s="45">
        <f>'Detailed Results'!L395</f>
        <v>7</v>
      </c>
      <c r="V395" s="46">
        <f t="shared" si="76"/>
        <v>1</v>
      </c>
      <c r="W395" s="46">
        <f t="shared" si="82"/>
        <v>1</v>
      </c>
      <c r="X395" s="46">
        <f t="shared" si="77"/>
        <v>1</v>
      </c>
      <c r="Y395" s="47">
        <f>'Detailed Results'!M395</f>
        <v>10</v>
      </c>
      <c r="Z395" s="47">
        <f>'Detailed Results'!N395</f>
        <v>10</v>
      </c>
      <c r="AA395" s="48">
        <f t="shared" si="78"/>
        <v>1</v>
      </c>
      <c r="AB395" s="48">
        <f t="shared" si="83"/>
        <v>0.90909090909090906</v>
      </c>
      <c r="AC395" s="48">
        <f t="shared" si="79"/>
        <v>0.95238095238095233</v>
      </c>
    </row>
    <row r="396" spans="1:29" ht="15" customHeight="1" thickBot="1" x14ac:dyDescent="0.4">
      <c r="A396" s="185"/>
      <c r="B396" s="7" t="s">
        <v>15</v>
      </c>
      <c r="C396" s="8" t="s">
        <v>20</v>
      </c>
      <c r="D396" s="8">
        <v>1</v>
      </c>
      <c r="E396" s="7" t="s">
        <v>17</v>
      </c>
      <c r="F396" s="40">
        <f>'GT Input'!C11</f>
        <v>7</v>
      </c>
      <c r="G396" s="40">
        <f>'GT Input'!D11</f>
        <v>11</v>
      </c>
      <c r="H396" s="40">
        <f>'GT Input'!E11</f>
        <v>7</v>
      </c>
      <c r="I396" s="40">
        <f>'GT Input'!F11</f>
        <v>11</v>
      </c>
      <c r="J396" s="41">
        <f>'Detailed Results'!G396</f>
        <v>7</v>
      </c>
      <c r="K396" s="41">
        <f>'Detailed Results'!H396</f>
        <v>7</v>
      </c>
      <c r="L396" s="42">
        <f t="shared" si="72"/>
        <v>1</v>
      </c>
      <c r="M396" s="42">
        <f t="shared" si="80"/>
        <v>1</v>
      </c>
      <c r="N396" s="42">
        <f t="shared" si="73"/>
        <v>1</v>
      </c>
      <c r="O396" s="43">
        <f>'Detailed Results'!I396</f>
        <v>10</v>
      </c>
      <c r="P396" s="43">
        <f>'Detailed Results'!J396</f>
        <v>10</v>
      </c>
      <c r="Q396" s="44">
        <f t="shared" si="74"/>
        <v>1</v>
      </c>
      <c r="R396" s="44">
        <f t="shared" si="81"/>
        <v>0.90909090909090906</v>
      </c>
      <c r="S396" s="44">
        <f t="shared" si="75"/>
        <v>0.95238095238095233</v>
      </c>
      <c r="T396" s="45">
        <f>'Detailed Results'!K396</f>
        <v>7</v>
      </c>
      <c r="U396" s="45">
        <f>'Detailed Results'!L396</f>
        <v>7</v>
      </c>
      <c r="V396" s="46">
        <f t="shared" si="76"/>
        <v>1</v>
      </c>
      <c r="W396" s="46">
        <f t="shared" si="82"/>
        <v>1</v>
      </c>
      <c r="X396" s="46">
        <f t="shared" si="77"/>
        <v>1</v>
      </c>
      <c r="Y396" s="47">
        <f>'Detailed Results'!M396</f>
        <v>10</v>
      </c>
      <c r="Z396" s="47">
        <f>'Detailed Results'!N396</f>
        <v>10</v>
      </c>
      <c r="AA396" s="48">
        <f t="shared" si="78"/>
        <v>1</v>
      </c>
      <c r="AB396" s="48">
        <f t="shared" si="83"/>
        <v>0.90909090909090906</v>
      </c>
      <c r="AC396" s="48">
        <f t="shared" si="79"/>
        <v>0.95238095238095233</v>
      </c>
    </row>
    <row r="397" spans="1:29" ht="15" customHeight="1" thickBot="1" x14ac:dyDescent="0.4">
      <c r="A397" s="185"/>
      <c r="B397" s="7" t="s">
        <v>15</v>
      </c>
      <c r="C397" s="8" t="s">
        <v>20</v>
      </c>
      <c r="D397" s="8">
        <v>1</v>
      </c>
      <c r="E397" s="7" t="s">
        <v>109</v>
      </c>
      <c r="F397" s="40">
        <f>'GT Input'!C11</f>
        <v>7</v>
      </c>
      <c r="G397" s="40">
        <f>'GT Input'!D11</f>
        <v>11</v>
      </c>
      <c r="H397" s="40">
        <f>'GT Input'!E11</f>
        <v>7</v>
      </c>
      <c r="I397" s="40">
        <f>'GT Input'!F11</f>
        <v>11</v>
      </c>
      <c r="J397" s="41">
        <f>'Detailed Results'!G397</f>
        <v>9</v>
      </c>
      <c r="K397" s="41">
        <f>'Detailed Results'!H397</f>
        <v>9</v>
      </c>
      <c r="L397" s="42">
        <f t="shared" si="72"/>
        <v>1</v>
      </c>
      <c r="M397" s="42">
        <f t="shared" si="80"/>
        <v>1.2857142857142858</v>
      </c>
      <c r="N397" s="42">
        <f t="shared" si="73"/>
        <v>1.1250000000000002</v>
      </c>
      <c r="O397" s="43">
        <f>'Detailed Results'!I397</f>
        <v>14</v>
      </c>
      <c r="P397" s="43">
        <f>'Detailed Results'!J397</f>
        <v>14</v>
      </c>
      <c r="Q397" s="44">
        <f t="shared" si="74"/>
        <v>1</v>
      </c>
      <c r="R397" s="44">
        <f t="shared" si="81"/>
        <v>1.2727272727272727</v>
      </c>
      <c r="S397" s="44">
        <f t="shared" si="75"/>
        <v>1.1200000000000001</v>
      </c>
      <c r="T397" s="45">
        <f>'Detailed Results'!K397</f>
        <v>9</v>
      </c>
      <c r="U397" s="45">
        <f>'Detailed Results'!L397</f>
        <v>7</v>
      </c>
      <c r="V397" s="46">
        <f t="shared" si="76"/>
        <v>0.77777777777777779</v>
      </c>
      <c r="W397" s="46">
        <f t="shared" si="82"/>
        <v>1</v>
      </c>
      <c r="X397" s="46">
        <f t="shared" si="77"/>
        <v>0.87500000000000011</v>
      </c>
      <c r="Y397" s="47">
        <f>'Detailed Results'!M397</f>
        <v>14</v>
      </c>
      <c r="Z397" s="47">
        <f>'Detailed Results'!N397</f>
        <v>6</v>
      </c>
      <c r="AA397" s="48">
        <f t="shared" si="78"/>
        <v>0.42857142857142855</v>
      </c>
      <c r="AB397" s="48">
        <f t="shared" si="83"/>
        <v>0.54545454545454541</v>
      </c>
      <c r="AC397" s="48">
        <f t="shared" si="79"/>
        <v>0.47999999999999993</v>
      </c>
    </row>
    <row r="398" spans="1:29" ht="15" customHeight="1" thickBot="1" x14ac:dyDescent="0.4">
      <c r="A398" s="185"/>
      <c r="B398" s="10" t="s">
        <v>15</v>
      </c>
      <c r="C398" s="11" t="s">
        <v>20</v>
      </c>
      <c r="D398" s="11">
        <v>2</v>
      </c>
      <c r="E398" s="10" t="s">
        <v>17</v>
      </c>
      <c r="F398" s="40">
        <f>'GT Input'!C11</f>
        <v>7</v>
      </c>
      <c r="G398" s="40">
        <f>'GT Input'!D11</f>
        <v>11</v>
      </c>
      <c r="H398" s="40">
        <f>'GT Input'!E11</f>
        <v>7</v>
      </c>
      <c r="I398" s="40">
        <f>'GT Input'!F11</f>
        <v>11</v>
      </c>
      <c r="J398" s="41">
        <f>'Detailed Results'!G398</f>
        <v>7</v>
      </c>
      <c r="K398" s="41">
        <f>'Detailed Results'!H398</f>
        <v>7</v>
      </c>
      <c r="L398" s="42">
        <f t="shared" si="72"/>
        <v>1</v>
      </c>
      <c r="M398" s="42">
        <f t="shared" si="80"/>
        <v>1</v>
      </c>
      <c r="N398" s="42">
        <f t="shared" si="73"/>
        <v>1</v>
      </c>
      <c r="O398" s="43">
        <f>'Detailed Results'!I398</f>
        <v>10</v>
      </c>
      <c r="P398" s="43">
        <f>'Detailed Results'!J398</f>
        <v>10</v>
      </c>
      <c r="Q398" s="44">
        <f t="shared" si="74"/>
        <v>1</v>
      </c>
      <c r="R398" s="44">
        <f t="shared" si="81"/>
        <v>0.90909090909090906</v>
      </c>
      <c r="S398" s="44">
        <f t="shared" si="75"/>
        <v>0.95238095238095233</v>
      </c>
      <c r="T398" s="45">
        <f>'Detailed Results'!K398</f>
        <v>7</v>
      </c>
      <c r="U398" s="45">
        <f>'Detailed Results'!L398</f>
        <v>6</v>
      </c>
      <c r="V398" s="46">
        <f t="shared" si="76"/>
        <v>0.8571428571428571</v>
      </c>
      <c r="W398" s="46">
        <f t="shared" si="82"/>
        <v>0.8571428571428571</v>
      </c>
      <c r="X398" s="46">
        <f t="shared" si="77"/>
        <v>0.8571428571428571</v>
      </c>
      <c r="Y398" s="47">
        <f>'Detailed Results'!M398</f>
        <v>10</v>
      </c>
      <c r="Z398" s="47">
        <f>'Detailed Results'!N398</f>
        <v>5</v>
      </c>
      <c r="AA398" s="48">
        <f t="shared" si="78"/>
        <v>0.5</v>
      </c>
      <c r="AB398" s="48">
        <f t="shared" si="83"/>
        <v>0.45454545454545453</v>
      </c>
      <c r="AC398" s="48">
        <f t="shared" si="79"/>
        <v>0.47619047619047616</v>
      </c>
    </row>
    <row r="399" spans="1:29" ht="15" customHeight="1" thickBot="1" x14ac:dyDescent="0.4">
      <c r="A399" s="185"/>
      <c r="B399" s="10" t="s">
        <v>15</v>
      </c>
      <c r="C399" s="11" t="s">
        <v>20</v>
      </c>
      <c r="D399" s="11">
        <v>2</v>
      </c>
      <c r="E399" s="10" t="s">
        <v>109</v>
      </c>
      <c r="F399" s="40">
        <f>'GT Input'!C11</f>
        <v>7</v>
      </c>
      <c r="G399" s="40">
        <f>'GT Input'!D11</f>
        <v>11</v>
      </c>
      <c r="H399" s="40">
        <f>'GT Input'!E11</f>
        <v>7</v>
      </c>
      <c r="I399" s="40">
        <f>'GT Input'!F11</f>
        <v>11</v>
      </c>
      <c r="J399" s="41">
        <f>'Detailed Results'!G399</f>
        <v>7</v>
      </c>
      <c r="K399" s="41">
        <f>'Detailed Results'!H399</f>
        <v>7</v>
      </c>
      <c r="L399" s="42">
        <f t="shared" si="72"/>
        <v>1</v>
      </c>
      <c r="M399" s="42">
        <f t="shared" si="80"/>
        <v>1</v>
      </c>
      <c r="N399" s="42">
        <f t="shared" si="73"/>
        <v>1</v>
      </c>
      <c r="O399" s="43">
        <f>'Detailed Results'!I399</f>
        <v>11</v>
      </c>
      <c r="P399" s="43">
        <f>'Detailed Results'!J399</f>
        <v>11</v>
      </c>
      <c r="Q399" s="44">
        <f t="shared" si="74"/>
        <v>1</v>
      </c>
      <c r="R399" s="44">
        <f t="shared" si="81"/>
        <v>1</v>
      </c>
      <c r="S399" s="44">
        <f t="shared" si="75"/>
        <v>1</v>
      </c>
      <c r="T399" s="45">
        <f>'Detailed Results'!K399</f>
        <v>7</v>
      </c>
      <c r="U399" s="45">
        <f>'Detailed Results'!L399</f>
        <v>7</v>
      </c>
      <c r="V399" s="46">
        <f t="shared" si="76"/>
        <v>1</v>
      </c>
      <c r="W399" s="46">
        <f t="shared" si="82"/>
        <v>1</v>
      </c>
      <c r="X399" s="46">
        <f t="shared" si="77"/>
        <v>1</v>
      </c>
      <c r="Y399" s="47">
        <f>'Detailed Results'!M399</f>
        <v>11</v>
      </c>
      <c r="Z399" s="47">
        <f>'Detailed Results'!N399</f>
        <v>11</v>
      </c>
      <c r="AA399" s="48">
        <f t="shared" si="78"/>
        <v>1</v>
      </c>
      <c r="AB399" s="48">
        <f t="shared" si="83"/>
        <v>1</v>
      </c>
      <c r="AC399" s="48">
        <f t="shared" si="79"/>
        <v>1</v>
      </c>
    </row>
    <row r="400" spans="1:29" ht="15" customHeight="1" thickBot="1" x14ac:dyDescent="0.4">
      <c r="A400" s="185"/>
      <c r="B400" s="7" t="s">
        <v>15</v>
      </c>
      <c r="C400" s="8" t="s">
        <v>20</v>
      </c>
      <c r="D400" s="8">
        <v>3</v>
      </c>
      <c r="E400" s="7" t="s">
        <v>17</v>
      </c>
      <c r="F400" s="40">
        <f>'GT Input'!C11</f>
        <v>7</v>
      </c>
      <c r="G400" s="40">
        <f>'GT Input'!D11</f>
        <v>11</v>
      </c>
      <c r="H400" s="40">
        <f>'GT Input'!E11</f>
        <v>7</v>
      </c>
      <c r="I400" s="40">
        <f>'GT Input'!F11</f>
        <v>11</v>
      </c>
      <c r="J400" s="41">
        <f>'Detailed Results'!G400</f>
        <v>7</v>
      </c>
      <c r="K400" s="41">
        <f>'Detailed Results'!H400</f>
        <v>7</v>
      </c>
      <c r="L400" s="42">
        <f t="shared" si="72"/>
        <v>1</v>
      </c>
      <c r="M400" s="42">
        <f t="shared" si="80"/>
        <v>1</v>
      </c>
      <c r="N400" s="42">
        <f t="shared" si="73"/>
        <v>1</v>
      </c>
      <c r="O400" s="43">
        <f>'Detailed Results'!I400</f>
        <v>10</v>
      </c>
      <c r="P400" s="43">
        <f>'Detailed Results'!J400</f>
        <v>10</v>
      </c>
      <c r="Q400" s="44">
        <f t="shared" si="74"/>
        <v>1</v>
      </c>
      <c r="R400" s="44">
        <f t="shared" si="81"/>
        <v>0.90909090909090906</v>
      </c>
      <c r="S400" s="44">
        <f t="shared" si="75"/>
        <v>0.95238095238095233</v>
      </c>
      <c r="T400" s="45">
        <f>'Detailed Results'!K400</f>
        <v>7</v>
      </c>
      <c r="U400" s="45">
        <f>'Detailed Results'!L400</f>
        <v>7</v>
      </c>
      <c r="V400" s="46">
        <f t="shared" si="76"/>
        <v>1</v>
      </c>
      <c r="W400" s="46">
        <f t="shared" si="82"/>
        <v>1</v>
      </c>
      <c r="X400" s="46">
        <f t="shared" si="77"/>
        <v>1</v>
      </c>
      <c r="Y400" s="47">
        <f>'Detailed Results'!M400</f>
        <v>10</v>
      </c>
      <c r="Z400" s="47">
        <f>'Detailed Results'!N400</f>
        <v>10</v>
      </c>
      <c r="AA400" s="48">
        <f t="shared" si="78"/>
        <v>1</v>
      </c>
      <c r="AB400" s="48">
        <f t="shared" si="83"/>
        <v>0.90909090909090906</v>
      </c>
      <c r="AC400" s="48">
        <f t="shared" si="79"/>
        <v>0.95238095238095233</v>
      </c>
    </row>
    <row r="401" spans="1:29" ht="15" customHeight="1" thickBot="1" x14ac:dyDescent="0.4">
      <c r="A401" s="185"/>
      <c r="B401" s="7" t="s">
        <v>15</v>
      </c>
      <c r="C401" s="8" t="s">
        <v>20</v>
      </c>
      <c r="D401" s="8">
        <v>3</v>
      </c>
      <c r="E401" s="7" t="s">
        <v>109</v>
      </c>
      <c r="F401" s="40">
        <f>'GT Input'!C11</f>
        <v>7</v>
      </c>
      <c r="G401" s="40">
        <f>'GT Input'!D11</f>
        <v>11</v>
      </c>
      <c r="H401" s="40">
        <f>'GT Input'!E11</f>
        <v>7</v>
      </c>
      <c r="I401" s="40">
        <f>'GT Input'!F11</f>
        <v>11</v>
      </c>
      <c r="J401" s="41">
        <f>'Detailed Results'!G401</f>
        <v>7</v>
      </c>
      <c r="K401" s="41">
        <f>'Detailed Results'!H401</f>
        <v>7</v>
      </c>
      <c r="L401" s="42">
        <f t="shared" si="72"/>
        <v>1</v>
      </c>
      <c r="M401" s="42">
        <f t="shared" si="80"/>
        <v>1</v>
      </c>
      <c r="N401" s="42">
        <f t="shared" si="73"/>
        <v>1</v>
      </c>
      <c r="O401" s="43">
        <f>'Detailed Results'!I401</f>
        <v>10</v>
      </c>
      <c r="P401" s="43">
        <f>'Detailed Results'!J401</f>
        <v>10</v>
      </c>
      <c r="Q401" s="44">
        <f t="shared" si="74"/>
        <v>1</v>
      </c>
      <c r="R401" s="44">
        <f t="shared" si="81"/>
        <v>0.90909090909090906</v>
      </c>
      <c r="S401" s="44">
        <f t="shared" si="75"/>
        <v>0.95238095238095233</v>
      </c>
      <c r="T401" s="45">
        <f>'Detailed Results'!K401</f>
        <v>7</v>
      </c>
      <c r="U401" s="45">
        <f>'Detailed Results'!L401</f>
        <v>7</v>
      </c>
      <c r="V401" s="46">
        <f t="shared" si="76"/>
        <v>1</v>
      </c>
      <c r="W401" s="46">
        <f t="shared" si="82"/>
        <v>1</v>
      </c>
      <c r="X401" s="46">
        <f t="shared" si="77"/>
        <v>1</v>
      </c>
      <c r="Y401" s="47">
        <f>'Detailed Results'!M401</f>
        <v>10</v>
      </c>
      <c r="Z401" s="47">
        <f>'Detailed Results'!N401</f>
        <v>10</v>
      </c>
      <c r="AA401" s="48">
        <f t="shared" si="78"/>
        <v>1</v>
      </c>
      <c r="AB401" s="48">
        <f t="shared" si="83"/>
        <v>0.90909090909090906</v>
      </c>
      <c r="AC401" s="48">
        <f t="shared" si="79"/>
        <v>0.95238095238095233</v>
      </c>
    </row>
    <row r="402" spans="1:29" ht="15" customHeight="1" thickBot="1" x14ac:dyDescent="0.4">
      <c r="A402" s="185"/>
      <c r="B402" s="12" t="s">
        <v>21</v>
      </c>
      <c r="C402" s="13" t="s">
        <v>16</v>
      </c>
      <c r="D402" s="13">
        <v>1</v>
      </c>
      <c r="E402" s="12" t="s">
        <v>17</v>
      </c>
      <c r="F402" s="40">
        <f>'GT Input'!C11</f>
        <v>7</v>
      </c>
      <c r="G402" s="40">
        <f>'GT Input'!D11</f>
        <v>11</v>
      </c>
      <c r="H402" s="40">
        <f>'GT Input'!E11</f>
        <v>7</v>
      </c>
      <c r="I402" s="40">
        <f>'GT Input'!F11</f>
        <v>11</v>
      </c>
      <c r="J402" s="41">
        <f>'Detailed Results'!G402</f>
        <v>7</v>
      </c>
      <c r="K402" s="41">
        <f>'Detailed Results'!H402</f>
        <v>7</v>
      </c>
      <c r="L402" s="42">
        <f t="shared" si="72"/>
        <v>1</v>
      </c>
      <c r="M402" s="42">
        <f t="shared" si="80"/>
        <v>1</v>
      </c>
      <c r="N402" s="42">
        <f t="shared" si="73"/>
        <v>1</v>
      </c>
      <c r="O402" s="43">
        <f>'Detailed Results'!I402</f>
        <v>10</v>
      </c>
      <c r="P402" s="43">
        <f>'Detailed Results'!J402</f>
        <v>10</v>
      </c>
      <c r="Q402" s="44">
        <f t="shared" si="74"/>
        <v>1</v>
      </c>
      <c r="R402" s="44">
        <f t="shared" si="81"/>
        <v>0.90909090909090906</v>
      </c>
      <c r="S402" s="44">
        <f t="shared" si="75"/>
        <v>0.95238095238095233</v>
      </c>
      <c r="T402" s="45">
        <f>'Detailed Results'!K402</f>
        <v>7</v>
      </c>
      <c r="U402" s="45">
        <f>'Detailed Results'!L402</f>
        <v>6</v>
      </c>
      <c r="V402" s="46">
        <f t="shared" si="76"/>
        <v>0.8571428571428571</v>
      </c>
      <c r="W402" s="46">
        <f t="shared" si="82"/>
        <v>0.8571428571428571</v>
      </c>
      <c r="X402" s="46">
        <f t="shared" si="77"/>
        <v>0.8571428571428571</v>
      </c>
      <c r="Y402" s="47">
        <f>'Detailed Results'!M402</f>
        <v>10</v>
      </c>
      <c r="Z402" s="47">
        <f>'Detailed Results'!N402</f>
        <v>9</v>
      </c>
      <c r="AA402" s="48">
        <f t="shared" si="78"/>
        <v>0.9</v>
      </c>
      <c r="AB402" s="48">
        <f t="shared" si="83"/>
        <v>0.81818181818181823</v>
      </c>
      <c r="AC402" s="48">
        <f t="shared" si="79"/>
        <v>0.85714285714285721</v>
      </c>
    </row>
    <row r="403" spans="1:29" ht="15" customHeight="1" thickBot="1" x14ac:dyDescent="0.4">
      <c r="A403" s="185"/>
      <c r="B403" s="12" t="s">
        <v>21</v>
      </c>
      <c r="C403" s="13" t="s">
        <v>16</v>
      </c>
      <c r="D403" s="13">
        <v>1</v>
      </c>
      <c r="E403" s="12" t="s">
        <v>109</v>
      </c>
      <c r="F403" s="40">
        <f>'GT Input'!C11</f>
        <v>7</v>
      </c>
      <c r="G403" s="40">
        <f>'GT Input'!D11</f>
        <v>11</v>
      </c>
      <c r="H403" s="40">
        <f>'GT Input'!E11</f>
        <v>7</v>
      </c>
      <c r="I403" s="40">
        <f>'GT Input'!F11</f>
        <v>11</v>
      </c>
      <c r="J403" s="41">
        <f>'Detailed Results'!G403</f>
        <v>7</v>
      </c>
      <c r="K403" s="41">
        <f>'Detailed Results'!H403</f>
        <v>7</v>
      </c>
      <c r="L403" s="42">
        <f t="shared" si="72"/>
        <v>1</v>
      </c>
      <c r="M403" s="42">
        <f t="shared" si="80"/>
        <v>1</v>
      </c>
      <c r="N403" s="42">
        <f t="shared" si="73"/>
        <v>1</v>
      </c>
      <c r="O403" s="43">
        <f>'Detailed Results'!I403</f>
        <v>10</v>
      </c>
      <c r="P403" s="43">
        <f>'Detailed Results'!J403</f>
        <v>10</v>
      </c>
      <c r="Q403" s="44">
        <f t="shared" si="74"/>
        <v>1</v>
      </c>
      <c r="R403" s="44">
        <f t="shared" si="81"/>
        <v>0.90909090909090906</v>
      </c>
      <c r="S403" s="44">
        <f t="shared" si="75"/>
        <v>0.95238095238095233</v>
      </c>
      <c r="T403" s="45">
        <f>'Detailed Results'!K403</f>
        <v>7</v>
      </c>
      <c r="U403" s="45">
        <f>'Detailed Results'!L403</f>
        <v>7</v>
      </c>
      <c r="V403" s="46">
        <f t="shared" si="76"/>
        <v>1</v>
      </c>
      <c r="W403" s="46">
        <f t="shared" si="82"/>
        <v>1</v>
      </c>
      <c r="X403" s="46">
        <f t="shared" si="77"/>
        <v>1</v>
      </c>
      <c r="Y403" s="47">
        <f>'Detailed Results'!M403</f>
        <v>10</v>
      </c>
      <c r="Z403" s="47">
        <f>'Detailed Results'!N403</f>
        <v>10</v>
      </c>
      <c r="AA403" s="48">
        <f t="shared" si="78"/>
        <v>1</v>
      </c>
      <c r="AB403" s="48">
        <f t="shared" si="83"/>
        <v>0.90909090909090906</v>
      </c>
      <c r="AC403" s="48">
        <f t="shared" si="79"/>
        <v>0.95238095238095233</v>
      </c>
    </row>
    <row r="404" spans="1:29" ht="15" customHeight="1" thickBot="1" x14ac:dyDescent="0.4">
      <c r="A404" s="185"/>
      <c r="B404" s="14" t="s">
        <v>21</v>
      </c>
      <c r="C404" s="15" t="s">
        <v>16</v>
      </c>
      <c r="D404" s="15">
        <v>2</v>
      </c>
      <c r="E404" s="14" t="s">
        <v>17</v>
      </c>
      <c r="F404" s="40">
        <f>'GT Input'!C11</f>
        <v>7</v>
      </c>
      <c r="G404" s="40">
        <f>'GT Input'!D11</f>
        <v>11</v>
      </c>
      <c r="H404" s="40">
        <f>'GT Input'!E11</f>
        <v>7</v>
      </c>
      <c r="I404" s="40">
        <f>'GT Input'!F11</f>
        <v>11</v>
      </c>
      <c r="J404" s="41">
        <f>'Detailed Results'!G404</f>
        <v>7</v>
      </c>
      <c r="K404" s="41">
        <f>'Detailed Results'!H404</f>
        <v>7</v>
      </c>
      <c r="L404" s="42">
        <f t="shared" si="72"/>
        <v>1</v>
      </c>
      <c r="M404" s="42">
        <f t="shared" si="80"/>
        <v>1</v>
      </c>
      <c r="N404" s="42">
        <f t="shared" si="73"/>
        <v>1</v>
      </c>
      <c r="O404" s="43">
        <f>'Detailed Results'!I404</f>
        <v>10</v>
      </c>
      <c r="P404" s="43">
        <f>'Detailed Results'!J404</f>
        <v>10</v>
      </c>
      <c r="Q404" s="44">
        <f t="shared" si="74"/>
        <v>1</v>
      </c>
      <c r="R404" s="44">
        <f t="shared" si="81"/>
        <v>0.90909090909090906</v>
      </c>
      <c r="S404" s="44">
        <f t="shared" si="75"/>
        <v>0.95238095238095233</v>
      </c>
      <c r="T404" s="45">
        <f>'Detailed Results'!K404</f>
        <v>7</v>
      </c>
      <c r="U404" s="45">
        <f>'Detailed Results'!L404</f>
        <v>6</v>
      </c>
      <c r="V404" s="46">
        <f t="shared" si="76"/>
        <v>0.8571428571428571</v>
      </c>
      <c r="W404" s="46">
        <f t="shared" si="82"/>
        <v>0.8571428571428571</v>
      </c>
      <c r="X404" s="46">
        <f t="shared" si="77"/>
        <v>0.8571428571428571</v>
      </c>
      <c r="Y404" s="47">
        <f>'Detailed Results'!M404</f>
        <v>10</v>
      </c>
      <c r="Z404" s="47">
        <f>'Detailed Results'!N404</f>
        <v>9</v>
      </c>
      <c r="AA404" s="48">
        <f t="shared" si="78"/>
        <v>0.9</v>
      </c>
      <c r="AB404" s="48">
        <f t="shared" si="83"/>
        <v>0.81818181818181823</v>
      </c>
      <c r="AC404" s="48">
        <f t="shared" si="79"/>
        <v>0.85714285714285721</v>
      </c>
    </row>
    <row r="405" spans="1:29" ht="15" customHeight="1" thickBot="1" x14ac:dyDescent="0.4">
      <c r="A405" s="185"/>
      <c r="B405" s="14" t="s">
        <v>21</v>
      </c>
      <c r="C405" s="15" t="s">
        <v>16</v>
      </c>
      <c r="D405" s="15">
        <v>2</v>
      </c>
      <c r="E405" s="14" t="s">
        <v>109</v>
      </c>
      <c r="F405" s="40">
        <f>'GT Input'!C11</f>
        <v>7</v>
      </c>
      <c r="G405" s="40">
        <f>'GT Input'!D11</f>
        <v>11</v>
      </c>
      <c r="H405" s="40">
        <f>'GT Input'!E11</f>
        <v>7</v>
      </c>
      <c r="I405" s="40">
        <f>'GT Input'!F11</f>
        <v>11</v>
      </c>
      <c r="J405" s="41">
        <f>'Detailed Results'!G405</f>
        <v>7</v>
      </c>
      <c r="K405" s="41">
        <f>'Detailed Results'!H405</f>
        <v>7</v>
      </c>
      <c r="L405" s="42">
        <f t="shared" si="72"/>
        <v>1</v>
      </c>
      <c r="M405" s="42">
        <f t="shared" si="80"/>
        <v>1</v>
      </c>
      <c r="N405" s="42">
        <f t="shared" si="73"/>
        <v>1</v>
      </c>
      <c r="O405" s="43">
        <f>'Detailed Results'!I405</f>
        <v>10</v>
      </c>
      <c r="P405" s="43">
        <f>'Detailed Results'!J405</f>
        <v>10</v>
      </c>
      <c r="Q405" s="44">
        <f t="shared" si="74"/>
        <v>1</v>
      </c>
      <c r="R405" s="44">
        <f t="shared" si="81"/>
        <v>0.90909090909090906</v>
      </c>
      <c r="S405" s="44">
        <f t="shared" si="75"/>
        <v>0.95238095238095233</v>
      </c>
      <c r="T405" s="45">
        <f>'Detailed Results'!K405</f>
        <v>7</v>
      </c>
      <c r="U405" s="45">
        <f>'Detailed Results'!L405</f>
        <v>7</v>
      </c>
      <c r="V405" s="46">
        <f t="shared" si="76"/>
        <v>1</v>
      </c>
      <c r="W405" s="46">
        <f t="shared" si="82"/>
        <v>1</v>
      </c>
      <c r="X405" s="46">
        <f t="shared" si="77"/>
        <v>1</v>
      </c>
      <c r="Y405" s="47">
        <f>'Detailed Results'!M405</f>
        <v>10</v>
      </c>
      <c r="Z405" s="47">
        <f>'Detailed Results'!N405</f>
        <v>10</v>
      </c>
      <c r="AA405" s="48">
        <f t="shared" si="78"/>
        <v>1</v>
      </c>
      <c r="AB405" s="48">
        <f t="shared" si="83"/>
        <v>0.90909090909090906</v>
      </c>
      <c r="AC405" s="48">
        <f t="shared" si="79"/>
        <v>0.95238095238095233</v>
      </c>
    </row>
    <row r="406" spans="1:29" ht="15" customHeight="1" thickBot="1" x14ac:dyDescent="0.4">
      <c r="A406" s="185"/>
      <c r="B406" s="12" t="s">
        <v>21</v>
      </c>
      <c r="C406" s="13" t="s">
        <v>16</v>
      </c>
      <c r="D406" s="13">
        <v>3</v>
      </c>
      <c r="E406" s="12" t="s">
        <v>17</v>
      </c>
      <c r="F406" s="40">
        <f>'GT Input'!C11</f>
        <v>7</v>
      </c>
      <c r="G406" s="40">
        <f>'GT Input'!D11</f>
        <v>11</v>
      </c>
      <c r="H406" s="40">
        <f>'GT Input'!E11</f>
        <v>7</v>
      </c>
      <c r="I406" s="40">
        <f>'GT Input'!F11</f>
        <v>11</v>
      </c>
      <c r="J406" s="41">
        <f>'Detailed Results'!G406</f>
        <v>7</v>
      </c>
      <c r="K406" s="41">
        <f>'Detailed Results'!H406</f>
        <v>7</v>
      </c>
      <c r="L406" s="42">
        <f t="shared" si="72"/>
        <v>1</v>
      </c>
      <c r="M406" s="42">
        <f t="shared" si="80"/>
        <v>1</v>
      </c>
      <c r="N406" s="42">
        <f t="shared" si="73"/>
        <v>1</v>
      </c>
      <c r="O406" s="43">
        <f>'Detailed Results'!I406</f>
        <v>10</v>
      </c>
      <c r="P406" s="43">
        <f>'Detailed Results'!J406</f>
        <v>10</v>
      </c>
      <c r="Q406" s="44">
        <f t="shared" si="74"/>
        <v>1</v>
      </c>
      <c r="R406" s="44">
        <f t="shared" si="81"/>
        <v>0.90909090909090906</v>
      </c>
      <c r="S406" s="44">
        <f t="shared" si="75"/>
        <v>0.95238095238095233</v>
      </c>
      <c r="T406" s="45">
        <f>'Detailed Results'!K406</f>
        <v>7</v>
      </c>
      <c r="U406" s="45">
        <f>'Detailed Results'!L406</f>
        <v>6</v>
      </c>
      <c r="V406" s="46">
        <f t="shared" si="76"/>
        <v>0.8571428571428571</v>
      </c>
      <c r="W406" s="46">
        <f t="shared" si="82"/>
        <v>0.8571428571428571</v>
      </c>
      <c r="X406" s="46">
        <f t="shared" si="77"/>
        <v>0.8571428571428571</v>
      </c>
      <c r="Y406" s="47">
        <f>'Detailed Results'!M406</f>
        <v>10</v>
      </c>
      <c r="Z406" s="47">
        <f>'Detailed Results'!N406</f>
        <v>9</v>
      </c>
      <c r="AA406" s="48">
        <f t="shared" si="78"/>
        <v>0.9</v>
      </c>
      <c r="AB406" s="48">
        <f t="shared" si="83"/>
        <v>0.81818181818181823</v>
      </c>
      <c r="AC406" s="48">
        <f t="shared" si="79"/>
        <v>0.85714285714285721</v>
      </c>
    </row>
    <row r="407" spans="1:29" ht="15" customHeight="1" thickBot="1" x14ac:dyDescent="0.4">
      <c r="A407" s="185"/>
      <c r="B407" s="12" t="s">
        <v>21</v>
      </c>
      <c r="C407" s="13" t="s">
        <v>16</v>
      </c>
      <c r="D407" s="13">
        <v>3</v>
      </c>
      <c r="E407" s="12" t="s">
        <v>109</v>
      </c>
      <c r="F407" s="40">
        <f>'GT Input'!C11</f>
        <v>7</v>
      </c>
      <c r="G407" s="40">
        <f>'GT Input'!D11</f>
        <v>11</v>
      </c>
      <c r="H407" s="40">
        <f>'GT Input'!E11</f>
        <v>7</v>
      </c>
      <c r="I407" s="40">
        <f>'GT Input'!F11</f>
        <v>11</v>
      </c>
      <c r="J407" s="41">
        <f>'Detailed Results'!G407</f>
        <v>7</v>
      </c>
      <c r="K407" s="41">
        <f>'Detailed Results'!H407</f>
        <v>7</v>
      </c>
      <c r="L407" s="42">
        <f t="shared" si="72"/>
        <v>1</v>
      </c>
      <c r="M407" s="42">
        <f t="shared" si="80"/>
        <v>1</v>
      </c>
      <c r="N407" s="42">
        <f t="shared" si="73"/>
        <v>1</v>
      </c>
      <c r="O407" s="43">
        <f>'Detailed Results'!I407</f>
        <v>10</v>
      </c>
      <c r="P407" s="43">
        <f>'Detailed Results'!J407</f>
        <v>10</v>
      </c>
      <c r="Q407" s="44">
        <f t="shared" si="74"/>
        <v>1</v>
      </c>
      <c r="R407" s="44">
        <f t="shared" si="81"/>
        <v>0.90909090909090906</v>
      </c>
      <c r="S407" s="44">
        <f t="shared" si="75"/>
        <v>0.95238095238095233</v>
      </c>
      <c r="T407" s="45">
        <f>'Detailed Results'!K407</f>
        <v>7</v>
      </c>
      <c r="U407" s="45">
        <f>'Detailed Results'!L407</f>
        <v>7</v>
      </c>
      <c r="V407" s="46">
        <f t="shared" si="76"/>
        <v>1</v>
      </c>
      <c r="W407" s="46">
        <f t="shared" si="82"/>
        <v>1</v>
      </c>
      <c r="X407" s="46">
        <f t="shared" si="77"/>
        <v>1</v>
      </c>
      <c r="Y407" s="47">
        <f>'Detailed Results'!M407</f>
        <v>10</v>
      </c>
      <c r="Z407" s="47">
        <f>'Detailed Results'!N407</f>
        <v>10</v>
      </c>
      <c r="AA407" s="48">
        <f t="shared" si="78"/>
        <v>1</v>
      </c>
      <c r="AB407" s="48">
        <f t="shared" si="83"/>
        <v>0.90909090909090906</v>
      </c>
      <c r="AC407" s="48">
        <f t="shared" si="79"/>
        <v>0.95238095238095233</v>
      </c>
    </row>
    <row r="408" spans="1:29" ht="15" customHeight="1" thickBot="1" x14ac:dyDescent="0.4">
      <c r="A408" s="185"/>
      <c r="B408" s="14" t="s">
        <v>21</v>
      </c>
      <c r="C408" s="15" t="s">
        <v>19</v>
      </c>
      <c r="D408" s="15">
        <v>1</v>
      </c>
      <c r="E408" s="14" t="s">
        <v>17</v>
      </c>
      <c r="F408" s="40">
        <f>'GT Input'!C11</f>
        <v>7</v>
      </c>
      <c r="G408" s="40">
        <f>'GT Input'!D11</f>
        <v>11</v>
      </c>
      <c r="H408" s="40">
        <f>'GT Input'!E11</f>
        <v>7</v>
      </c>
      <c r="I408" s="40">
        <f>'GT Input'!F11</f>
        <v>11</v>
      </c>
      <c r="J408" s="41">
        <f>'Detailed Results'!G408</f>
        <v>7</v>
      </c>
      <c r="K408" s="41">
        <f>'Detailed Results'!H408</f>
        <v>4</v>
      </c>
      <c r="L408" s="42">
        <f t="shared" si="72"/>
        <v>0.5714285714285714</v>
      </c>
      <c r="M408" s="42">
        <f t="shared" si="80"/>
        <v>0.5714285714285714</v>
      </c>
      <c r="N408" s="42">
        <f t="shared" si="73"/>
        <v>0.5714285714285714</v>
      </c>
      <c r="O408" s="43">
        <f>'Detailed Results'!I408</f>
        <v>10</v>
      </c>
      <c r="P408" s="43">
        <f>'Detailed Results'!J408</f>
        <v>10</v>
      </c>
      <c r="Q408" s="44">
        <f t="shared" si="74"/>
        <v>1</v>
      </c>
      <c r="R408" s="44">
        <f t="shared" si="81"/>
        <v>0.90909090909090906</v>
      </c>
      <c r="S408" s="44">
        <f t="shared" si="75"/>
        <v>0.95238095238095233</v>
      </c>
      <c r="T408" s="45">
        <f>'Detailed Results'!K408</f>
        <v>7</v>
      </c>
      <c r="U408" s="45">
        <f>'Detailed Results'!L408</f>
        <v>3</v>
      </c>
      <c r="V408" s="46">
        <f t="shared" si="76"/>
        <v>0.42857142857142855</v>
      </c>
      <c r="W408" s="46">
        <f t="shared" si="82"/>
        <v>0.42857142857142855</v>
      </c>
      <c r="X408" s="46">
        <f t="shared" si="77"/>
        <v>0.42857142857142855</v>
      </c>
      <c r="Y408" s="47">
        <f>'Detailed Results'!M408</f>
        <v>10</v>
      </c>
      <c r="Z408" s="47">
        <f>'Detailed Results'!N408</f>
        <v>9</v>
      </c>
      <c r="AA408" s="48">
        <f t="shared" si="78"/>
        <v>0.9</v>
      </c>
      <c r="AB408" s="48">
        <f t="shared" si="83"/>
        <v>0.81818181818181823</v>
      </c>
      <c r="AC408" s="48">
        <f t="shared" si="79"/>
        <v>0.85714285714285721</v>
      </c>
    </row>
    <row r="409" spans="1:29" ht="15" customHeight="1" thickBot="1" x14ac:dyDescent="0.4">
      <c r="A409" s="185"/>
      <c r="B409" s="14" t="s">
        <v>21</v>
      </c>
      <c r="C409" s="15" t="s">
        <v>19</v>
      </c>
      <c r="D409" s="15">
        <v>1</v>
      </c>
      <c r="E409" s="14" t="s">
        <v>109</v>
      </c>
      <c r="F409" s="40">
        <f>'GT Input'!C11</f>
        <v>7</v>
      </c>
      <c r="G409" s="40">
        <f>'GT Input'!D11</f>
        <v>11</v>
      </c>
      <c r="H409" s="40">
        <f>'GT Input'!E11</f>
        <v>7</v>
      </c>
      <c r="I409" s="40">
        <f>'GT Input'!F11</f>
        <v>11</v>
      </c>
      <c r="J409" s="41">
        <f>'Detailed Results'!G409</f>
        <v>8</v>
      </c>
      <c r="K409" s="41">
        <f>'Detailed Results'!H409</f>
        <v>8</v>
      </c>
      <c r="L409" s="42">
        <f t="shared" si="72"/>
        <v>1</v>
      </c>
      <c r="M409" s="42">
        <f t="shared" si="80"/>
        <v>1.1428571428571428</v>
      </c>
      <c r="N409" s="42">
        <f t="shared" si="73"/>
        <v>1.0666666666666667</v>
      </c>
      <c r="O409" s="43">
        <f>'Detailed Results'!I409</f>
        <v>11</v>
      </c>
      <c r="P409" s="43">
        <f>'Detailed Results'!J409</f>
        <v>11</v>
      </c>
      <c r="Q409" s="44">
        <f t="shared" si="74"/>
        <v>1</v>
      </c>
      <c r="R409" s="44">
        <f t="shared" si="81"/>
        <v>1</v>
      </c>
      <c r="S409" s="44">
        <f t="shared" si="75"/>
        <v>1</v>
      </c>
      <c r="T409" s="45">
        <f>'Detailed Results'!K409</f>
        <v>8</v>
      </c>
      <c r="U409" s="45">
        <f>'Detailed Results'!L409</f>
        <v>5</v>
      </c>
      <c r="V409" s="46">
        <f t="shared" si="76"/>
        <v>0.625</v>
      </c>
      <c r="W409" s="46">
        <f t="shared" si="82"/>
        <v>0.7142857142857143</v>
      </c>
      <c r="X409" s="46">
        <f t="shared" si="77"/>
        <v>0.66666666666666663</v>
      </c>
      <c r="Y409" s="47">
        <f>'Detailed Results'!M409</f>
        <v>11</v>
      </c>
      <c r="Z409" s="47">
        <f>'Detailed Results'!N409</f>
        <v>6</v>
      </c>
      <c r="AA409" s="48">
        <f t="shared" si="78"/>
        <v>0.54545454545454541</v>
      </c>
      <c r="AB409" s="48">
        <f t="shared" si="83"/>
        <v>0.54545454545454541</v>
      </c>
      <c r="AC409" s="48">
        <f t="shared" si="79"/>
        <v>0.54545454545454541</v>
      </c>
    </row>
    <row r="410" spans="1:29" ht="15" customHeight="1" thickBot="1" x14ac:dyDescent="0.4">
      <c r="A410" s="185"/>
      <c r="B410" s="12" t="s">
        <v>21</v>
      </c>
      <c r="C410" s="13" t="s">
        <v>19</v>
      </c>
      <c r="D410" s="13">
        <v>2</v>
      </c>
      <c r="E410" s="12" t="s">
        <v>17</v>
      </c>
      <c r="F410" s="40">
        <f>'GT Input'!C11</f>
        <v>7</v>
      </c>
      <c r="G410" s="40">
        <f>'GT Input'!D11</f>
        <v>11</v>
      </c>
      <c r="H410" s="40">
        <f>'GT Input'!E11</f>
        <v>7</v>
      </c>
      <c r="I410" s="40">
        <f>'GT Input'!F11</f>
        <v>11</v>
      </c>
      <c r="J410" s="41">
        <f>'Detailed Results'!G410</f>
        <v>7</v>
      </c>
      <c r="K410" s="41">
        <f>'Detailed Results'!H410</f>
        <v>4</v>
      </c>
      <c r="L410" s="42">
        <f t="shared" si="72"/>
        <v>0.5714285714285714</v>
      </c>
      <c r="M410" s="42">
        <f t="shared" si="80"/>
        <v>0.5714285714285714</v>
      </c>
      <c r="N410" s="42">
        <f t="shared" si="73"/>
        <v>0.5714285714285714</v>
      </c>
      <c r="O410" s="43">
        <f>'Detailed Results'!I410</f>
        <v>10</v>
      </c>
      <c r="P410" s="43">
        <f>'Detailed Results'!J410</f>
        <v>10</v>
      </c>
      <c r="Q410" s="44">
        <f t="shared" si="74"/>
        <v>1</v>
      </c>
      <c r="R410" s="44">
        <f t="shared" si="81"/>
        <v>0.90909090909090906</v>
      </c>
      <c r="S410" s="44">
        <f t="shared" si="75"/>
        <v>0.95238095238095233</v>
      </c>
      <c r="T410" s="45">
        <f>'Detailed Results'!K410</f>
        <v>7</v>
      </c>
      <c r="U410" s="45">
        <f>'Detailed Results'!L410</f>
        <v>3</v>
      </c>
      <c r="V410" s="46">
        <f t="shared" si="76"/>
        <v>0.42857142857142855</v>
      </c>
      <c r="W410" s="46">
        <f t="shared" si="82"/>
        <v>0.42857142857142855</v>
      </c>
      <c r="X410" s="46">
        <f t="shared" si="77"/>
        <v>0.42857142857142855</v>
      </c>
      <c r="Y410" s="47">
        <f>'Detailed Results'!M410</f>
        <v>10</v>
      </c>
      <c r="Z410" s="47">
        <f>'Detailed Results'!N410</f>
        <v>9</v>
      </c>
      <c r="AA410" s="48">
        <f t="shared" si="78"/>
        <v>0.9</v>
      </c>
      <c r="AB410" s="48">
        <f t="shared" si="83"/>
        <v>0.81818181818181823</v>
      </c>
      <c r="AC410" s="48">
        <f t="shared" si="79"/>
        <v>0.85714285714285721</v>
      </c>
    </row>
    <row r="411" spans="1:29" ht="15" customHeight="1" thickBot="1" x14ac:dyDescent="0.4">
      <c r="A411" s="185"/>
      <c r="B411" s="12" t="s">
        <v>21</v>
      </c>
      <c r="C411" s="13" t="s">
        <v>19</v>
      </c>
      <c r="D411" s="13">
        <v>2</v>
      </c>
      <c r="E411" s="12" t="s">
        <v>109</v>
      </c>
      <c r="F411" s="40">
        <f>'GT Input'!C11</f>
        <v>7</v>
      </c>
      <c r="G411" s="40">
        <f>'GT Input'!D11</f>
        <v>11</v>
      </c>
      <c r="H411" s="40">
        <f>'GT Input'!E11</f>
        <v>7</v>
      </c>
      <c r="I411" s="40">
        <f>'GT Input'!F11</f>
        <v>11</v>
      </c>
      <c r="J411" s="41">
        <f>'Detailed Results'!G411</f>
        <v>9</v>
      </c>
      <c r="K411" s="41">
        <f>'Detailed Results'!H411</f>
        <v>8</v>
      </c>
      <c r="L411" s="42">
        <f t="shared" si="72"/>
        <v>0.88888888888888884</v>
      </c>
      <c r="M411" s="42">
        <f t="shared" si="80"/>
        <v>1.1428571428571428</v>
      </c>
      <c r="N411" s="42">
        <f t="shared" si="73"/>
        <v>1</v>
      </c>
      <c r="O411" s="43">
        <f>'Detailed Results'!I411</f>
        <v>11</v>
      </c>
      <c r="P411" s="43">
        <f>'Detailed Results'!J411</f>
        <v>11</v>
      </c>
      <c r="Q411" s="44">
        <f t="shared" si="74"/>
        <v>1</v>
      </c>
      <c r="R411" s="44">
        <f t="shared" si="81"/>
        <v>1</v>
      </c>
      <c r="S411" s="44">
        <f t="shared" si="75"/>
        <v>1</v>
      </c>
      <c r="T411" s="45">
        <f>'Detailed Results'!K411</f>
        <v>9</v>
      </c>
      <c r="U411" s="45">
        <f>'Detailed Results'!L411</f>
        <v>5</v>
      </c>
      <c r="V411" s="46">
        <f t="shared" si="76"/>
        <v>0.55555555555555558</v>
      </c>
      <c r="W411" s="46">
        <f t="shared" si="82"/>
        <v>0.7142857142857143</v>
      </c>
      <c r="X411" s="46">
        <f t="shared" si="77"/>
        <v>0.62500000000000011</v>
      </c>
      <c r="Y411" s="47">
        <f>'Detailed Results'!M411</f>
        <v>11</v>
      </c>
      <c r="Z411" s="47">
        <f>'Detailed Results'!N411</f>
        <v>6</v>
      </c>
      <c r="AA411" s="48">
        <f t="shared" si="78"/>
        <v>0.54545454545454541</v>
      </c>
      <c r="AB411" s="48">
        <f t="shared" si="83"/>
        <v>0.54545454545454541</v>
      </c>
      <c r="AC411" s="48">
        <f t="shared" si="79"/>
        <v>0.54545454545454541</v>
      </c>
    </row>
    <row r="412" spans="1:29" ht="15" customHeight="1" thickBot="1" x14ac:dyDescent="0.4">
      <c r="A412" s="185"/>
      <c r="B412" s="14" t="s">
        <v>21</v>
      </c>
      <c r="C412" s="15" t="s">
        <v>19</v>
      </c>
      <c r="D412" s="15">
        <v>3</v>
      </c>
      <c r="E412" s="14" t="s">
        <v>17</v>
      </c>
      <c r="F412" s="40">
        <f>'GT Input'!C11</f>
        <v>7</v>
      </c>
      <c r="G412" s="40">
        <f>'GT Input'!D11</f>
        <v>11</v>
      </c>
      <c r="H412" s="40">
        <f>'GT Input'!E11</f>
        <v>7</v>
      </c>
      <c r="I412" s="40">
        <f>'GT Input'!F11</f>
        <v>11</v>
      </c>
      <c r="J412" s="41">
        <f>'Detailed Results'!G412</f>
        <v>7</v>
      </c>
      <c r="K412" s="41">
        <f>'Detailed Results'!H412</f>
        <v>7</v>
      </c>
      <c r="L412" s="42">
        <f t="shared" si="72"/>
        <v>1</v>
      </c>
      <c r="M412" s="42">
        <f t="shared" si="80"/>
        <v>1</v>
      </c>
      <c r="N412" s="42">
        <f t="shared" si="73"/>
        <v>1</v>
      </c>
      <c r="O412" s="43">
        <f>'Detailed Results'!I412</f>
        <v>10</v>
      </c>
      <c r="P412" s="43">
        <f>'Detailed Results'!J412</f>
        <v>10</v>
      </c>
      <c r="Q412" s="44">
        <f t="shared" si="74"/>
        <v>1</v>
      </c>
      <c r="R412" s="44">
        <f t="shared" si="81"/>
        <v>0.90909090909090906</v>
      </c>
      <c r="S412" s="44">
        <f t="shared" si="75"/>
        <v>0.95238095238095233</v>
      </c>
      <c r="T412" s="45">
        <f>'Detailed Results'!K412</f>
        <v>7</v>
      </c>
      <c r="U412" s="45">
        <f>'Detailed Results'!L412</f>
        <v>6</v>
      </c>
      <c r="V412" s="46">
        <f t="shared" si="76"/>
        <v>0.8571428571428571</v>
      </c>
      <c r="W412" s="46">
        <f t="shared" si="82"/>
        <v>0.8571428571428571</v>
      </c>
      <c r="X412" s="46">
        <f t="shared" si="77"/>
        <v>0.8571428571428571</v>
      </c>
      <c r="Y412" s="47">
        <f>'Detailed Results'!M412</f>
        <v>10</v>
      </c>
      <c r="Z412" s="47">
        <f>'Detailed Results'!N412</f>
        <v>9</v>
      </c>
      <c r="AA412" s="48">
        <f t="shared" si="78"/>
        <v>0.9</v>
      </c>
      <c r="AB412" s="48">
        <f t="shared" si="83"/>
        <v>0.81818181818181823</v>
      </c>
      <c r="AC412" s="48">
        <f t="shared" si="79"/>
        <v>0.85714285714285721</v>
      </c>
    </row>
    <row r="413" spans="1:29" ht="15" customHeight="1" thickBot="1" x14ac:dyDescent="0.4">
      <c r="A413" s="185"/>
      <c r="B413" s="14" t="s">
        <v>21</v>
      </c>
      <c r="C413" s="15" t="s">
        <v>19</v>
      </c>
      <c r="D413" s="15">
        <v>3</v>
      </c>
      <c r="E413" s="14" t="s">
        <v>109</v>
      </c>
      <c r="F413" s="40">
        <f>'GT Input'!C11</f>
        <v>7</v>
      </c>
      <c r="G413" s="40">
        <f>'GT Input'!D11</f>
        <v>11</v>
      </c>
      <c r="H413" s="40">
        <f>'GT Input'!E11</f>
        <v>7</v>
      </c>
      <c r="I413" s="40">
        <f>'GT Input'!F11</f>
        <v>11</v>
      </c>
      <c r="J413" s="41">
        <f>'Detailed Results'!G413</f>
        <v>9</v>
      </c>
      <c r="K413" s="41">
        <f>'Detailed Results'!H413</f>
        <v>8</v>
      </c>
      <c r="L413" s="42">
        <f t="shared" si="72"/>
        <v>0.88888888888888884</v>
      </c>
      <c r="M413" s="42">
        <f t="shared" si="80"/>
        <v>1.1428571428571428</v>
      </c>
      <c r="N413" s="42">
        <f t="shared" si="73"/>
        <v>1</v>
      </c>
      <c r="O413" s="43">
        <f>'Detailed Results'!I413</f>
        <v>11</v>
      </c>
      <c r="P413" s="43">
        <f>'Detailed Results'!J413</f>
        <v>11</v>
      </c>
      <c r="Q413" s="44">
        <f t="shared" si="74"/>
        <v>1</v>
      </c>
      <c r="R413" s="44">
        <f t="shared" si="81"/>
        <v>1</v>
      </c>
      <c r="S413" s="44">
        <f t="shared" si="75"/>
        <v>1</v>
      </c>
      <c r="T413" s="45">
        <f>'Detailed Results'!K413</f>
        <v>9</v>
      </c>
      <c r="U413" s="45">
        <f>'Detailed Results'!L413</f>
        <v>5</v>
      </c>
      <c r="V413" s="46">
        <f t="shared" si="76"/>
        <v>0.55555555555555558</v>
      </c>
      <c r="W413" s="46">
        <f t="shared" si="82"/>
        <v>0.7142857142857143</v>
      </c>
      <c r="X413" s="46">
        <f t="shared" si="77"/>
        <v>0.62500000000000011</v>
      </c>
      <c r="Y413" s="47">
        <f>'Detailed Results'!M413</f>
        <v>11</v>
      </c>
      <c r="Z413" s="47">
        <f>'Detailed Results'!N413</f>
        <v>6</v>
      </c>
      <c r="AA413" s="48">
        <f t="shared" si="78"/>
        <v>0.54545454545454541</v>
      </c>
      <c r="AB413" s="48">
        <f t="shared" si="83"/>
        <v>0.54545454545454541</v>
      </c>
      <c r="AC413" s="48">
        <f t="shared" si="79"/>
        <v>0.54545454545454541</v>
      </c>
    </row>
    <row r="414" spans="1:29" ht="15" customHeight="1" thickBot="1" x14ac:dyDescent="0.4">
      <c r="A414" s="185"/>
      <c r="B414" s="12" t="s">
        <v>21</v>
      </c>
      <c r="C414" s="13" t="s">
        <v>20</v>
      </c>
      <c r="D414" s="13">
        <v>1</v>
      </c>
      <c r="E414" s="12" t="s">
        <v>17</v>
      </c>
      <c r="F414" s="40">
        <f>'GT Input'!C11</f>
        <v>7</v>
      </c>
      <c r="G414" s="40">
        <f>'GT Input'!D11</f>
        <v>11</v>
      </c>
      <c r="H414" s="40">
        <f>'GT Input'!E11</f>
        <v>7</v>
      </c>
      <c r="I414" s="40">
        <f>'GT Input'!F11</f>
        <v>11</v>
      </c>
      <c r="J414" s="41">
        <f>'Detailed Results'!G414</f>
        <v>11</v>
      </c>
      <c r="K414" s="41">
        <f>'Detailed Results'!H414</f>
        <v>4</v>
      </c>
      <c r="L414" s="42">
        <f t="shared" si="72"/>
        <v>0.36363636363636365</v>
      </c>
      <c r="M414" s="42">
        <f t="shared" si="80"/>
        <v>0.5714285714285714</v>
      </c>
      <c r="N414" s="42">
        <f t="shared" si="73"/>
        <v>0.44444444444444442</v>
      </c>
      <c r="O414" s="43">
        <f>'Detailed Results'!I414</f>
        <v>12</v>
      </c>
      <c r="P414" s="43">
        <f>'Detailed Results'!J414</f>
        <v>12</v>
      </c>
      <c r="Q414" s="44">
        <f t="shared" si="74"/>
        <v>1</v>
      </c>
      <c r="R414" s="44">
        <f t="shared" si="81"/>
        <v>1.0909090909090908</v>
      </c>
      <c r="S414" s="44">
        <f t="shared" si="75"/>
        <v>1.0434782608695652</v>
      </c>
      <c r="T414" s="45">
        <f>'Detailed Results'!K414</f>
        <v>11</v>
      </c>
      <c r="U414" s="45">
        <f>'Detailed Results'!L414</f>
        <v>4</v>
      </c>
      <c r="V414" s="46">
        <f t="shared" si="76"/>
        <v>0.36363636363636365</v>
      </c>
      <c r="W414" s="46">
        <f t="shared" si="82"/>
        <v>0.5714285714285714</v>
      </c>
      <c r="X414" s="46">
        <f t="shared" si="77"/>
        <v>0.44444444444444442</v>
      </c>
      <c r="Y414" s="47">
        <f>'Detailed Results'!M414</f>
        <v>12</v>
      </c>
      <c r="Z414" s="47">
        <f>'Detailed Results'!N414</f>
        <v>6</v>
      </c>
      <c r="AA414" s="48">
        <f t="shared" si="78"/>
        <v>0.5</v>
      </c>
      <c r="AB414" s="48">
        <f t="shared" si="83"/>
        <v>0.54545454545454541</v>
      </c>
      <c r="AC414" s="48">
        <f t="shared" si="79"/>
        <v>0.52173913043478259</v>
      </c>
    </row>
    <row r="415" spans="1:29" ht="15" customHeight="1" thickBot="1" x14ac:dyDescent="0.4">
      <c r="A415" s="185"/>
      <c r="B415" s="12" t="s">
        <v>21</v>
      </c>
      <c r="C415" s="13" t="s">
        <v>20</v>
      </c>
      <c r="D415" s="13">
        <v>1</v>
      </c>
      <c r="E415" s="12" t="s">
        <v>109</v>
      </c>
      <c r="F415" s="40">
        <f>'GT Input'!C11</f>
        <v>7</v>
      </c>
      <c r="G415" s="40">
        <f>'GT Input'!D11</f>
        <v>11</v>
      </c>
      <c r="H415" s="40">
        <f>'GT Input'!E11</f>
        <v>7</v>
      </c>
      <c r="I415" s="40">
        <f>'GT Input'!F11</f>
        <v>11</v>
      </c>
      <c r="J415" s="41">
        <f>'Detailed Results'!G415</f>
        <v>7</v>
      </c>
      <c r="K415" s="41">
        <f>'Detailed Results'!H415</f>
        <v>7</v>
      </c>
      <c r="L415" s="42">
        <f t="shared" si="72"/>
        <v>1</v>
      </c>
      <c r="M415" s="42">
        <f t="shared" si="80"/>
        <v>1</v>
      </c>
      <c r="N415" s="42">
        <f t="shared" si="73"/>
        <v>1</v>
      </c>
      <c r="O415" s="43">
        <f>'Detailed Results'!I415</f>
        <v>10</v>
      </c>
      <c r="P415" s="43">
        <f>'Detailed Results'!J415</f>
        <v>10</v>
      </c>
      <c r="Q415" s="44">
        <f t="shared" si="74"/>
        <v>1</v>
      </c>
      <c r="R415" s="44">
        <f t="shared" si="81"/>
        <v>0.90909090909090906</v>
      </c>
      <c r="S415" s="44">
        <f t="shared" si="75"/>
        <v>0.95238095238095233</v>
      </c>
      <c r="T415" s="45">
        <f>'Detailed Results'!K415</f>
        <v>7</v>
      </c>
      <c r="U415" s="45">
        <f>'Detailed Results'!L415</f>
        <v>7</v>
      </c>
      <c r="V415" s="46">
        <f t="shared" si="76"/>
        <v>1</v>
      </c>
      <c r="W415" s="46">
        <f t="shared" si="82"/>
        <v>1</v>
      </c>
      <c r="X415" s="46">
        <f t="shared" si="77"/>
        <v>1</v>
      </c>
      <c r="Y415" s="47">
        <f>'Detailed Results'!M415</f>
        <v>10</v>
      </c>
      <c r="Z415" s="47">
        <f>'Detailed Results'!N415</f>
        <v>10</v>
      </c>
      <c r="AA415" s="48">
        <f t="shared" si="78"/>
        <v>1</v>
      </c>
      <c r="AB415" s="48">
        <f t="shared" si="83"/>
        <v>0.90909090909090906</v>
      </c>
      <c r="AC415" s="48">
        <f t="shared" si="79"/>
        <v>0.95238095238095233</v>
      </c>
    </row>
    <row r="416" spans="1:29" ht="15" customHeight="1" thickBot="1" x14ac:dyDescent="0.4">
      <c r="A416" s="185"/>
      <c r="B416" s="14" t="s">
        <v>21</v>
      </c>
      <c r="C416" s="15" t="s">
        <v>20</v>
      </c>
      <c r="D416" s="15">
        <v>2</v>
      </c>
      <c r="E416" s="14" t="s">
        <v>17</v>
      </c>
      <c r="F416" s="40">
        <f>'GT Input'!C11</f>
        <v>7</v>
      </c>
      <c r="G416" s="40">
        <f>'GT Input'!D11</f>
        <v>11</v>
      </c>
      <c r="H416" s="40">
        <f>'GT Input'!E11</f>
        <v>7</v>
      </c>
      <c r="I416" s="40">
        <f>'GT Input'!F11</f>
        <v>11</v>
      </c>
      <c r="J416" s="41">
        <f>'Detailed Results'!G416</f>
        <v>7</v>
      </c>
      <c r="K416" s="41">
        <f>'Detailed Results'!H416</f>
        <v>4</v>
      </c>
      <c r="L416" s="42">
        <f t="shared" si="72"/>
        <v>0.5714285714285714</v>
      </c>
      <c r="M416" s="42">
        <f t="shared" si="80"/>
        <v>0.5714285714285714</v>
      </c>
      <c r="N416" s="42">
        <f t="shared" si="73"/>
        <v>0.5714285714285714</v>
      </c>
      <c r="O416" s="43">
        <f>'Detailed Results'!I416</f>
        <v>3</v>
      </c>
      <c r="P416" s="43">
        <f>'Detailed Results'!J416</f>
        <v>3</v>
      </c>
      <c r="Q416" s="44">
        <f t="shared" si="74"/>
        <v>1</v>
      </c>
      <c r="R416" s="44">
        <f t="shared" si="81"/>
        <v>0.27272727272727271</v>
      </c>
      <c r="S416" s="44">
        <f t="shared" si="75"/>
        <v>0.42857142857142855</v>
      </c>
      <c r="T416" s="45">
        <f>'Detailed Results'!K416</f>
        <v>7</v>
      </c>
      <c r="U416" s="45">
        <f>'Detailed Results'!L416</f>
        <v>3</v>
      </c>
      <c r="V416" s="46">
        <f t="shared" si="76"/>
        <v>0.42857142857142855</v>
      </c>
      <c r="W416" s="46">
        <f t="shared" si="82"/>
        <v>0.42857142857142855</v>
      </c>
      <c r="X416" s="46">
        <f t="shared" si="77"/>
        <v>0.42857142857142855</v>
      </c>
      <c r="Y416" s="47">
        <f>'Detailed Results'!M416</f>
        <v>3</v>
      </c>
      <c r="Z416" s="47">
        <f>'Detailed Results'!N416</f>
        <v>3</v>
      </c>
      <c r="AA416" s="48">
        <f t="shared" si="78"/>
        <v>1</v>
      </c>
      <c r="AB416" s="48">
        <f t="shared" si="83"/>
        <v>0.27272727272727271</v>
      </c>
      <c r="AC416" s="48">
        <f t="shared" si="79"/>
        <v>0.42857142857142855</v>
      </c>
    </row>
    <row r="417" spans="1:29" ht="15" customHeight="1" thickBot="1" x14ac:dyDescent="0.4">
      <c r="A417" s="185"/>
      <c r="B417" s="14" t="s">
        <v>21</v>
      </c>
      <c r="C417" s="15" t="s">
        <v>20</v>
      </c>
      <c r="D417" s="15">
        <v>2</v>
      </c>
      <c r="E417" s="14" t="s">
        <v>109</v>
      </c>
      <c r="F417" s="40">
        <f>'GT Input'!C11</f>
        <v>7</v>
      </c>
      <c r="G417" s="40">
        <f>'GT Input'!D11</f>
        <v>11</v>
      </c>
      <c r="H417" s="40">
        <f>'GT Input'!E11</f>
        <v>7</v>
      </c>
      <c r="I417" s="40">
        <f>'GT Input'!F11</f>
        <v>11</v>
      </c>
      <c r="J417" s="41">
        <f>'Detailed Results'!G417</f>
        <v>7</v>
      </c>
      <c r="K417" s="41">
        <f>'Detailed Results'!H417</f>
        <v>7</v>
      </c>
      <c r="L417" s="42">
        <f t="shared" si="72"/>
        <v>1</v>
      </c>
      <c r="M417" s="42">
        <f t="shared" si="80"/>
        <v>1</v>
      </c>
      <c r="N417" s="42">
        <f t="shared" si="73"/>
        <v>1</v>
      </c>
      <c r="O417" s="43">
        <f>'Detailed Results'!I417</f>
        <v>10</v>
      </c>
      <c r="P417" s="43">
        <f>'Detailed Results'!J417</f>
        <v>10</v>
      </c>
      <c r="Q417" s="44">
        <f t="shared" si="74"/>
        <v>1</v>
      </c>
      <c r="R417" s="44">
        <f t="shared" si="81"/>
        <v>0.90909090909090906</v>
      </c>
      <c r="S417" s="44">
        <f t="shared" si="75"/>
        <v>0.95238095238095233</v>
      </c>
      <c r="T417" s="45">
        <f>'Detailed Results'!K417</f>
        <v>7</v>
      </c>
      <c r="U417" s="45">
        <f>'Detailed Results'!L417</f>
        <v>7</v>
      </c>
      <c r="V417" s="46">
        <f t="shared" si="76"/>
        <v>1</v>
      </c>
      <c r="W417" s="46">
        <f t="shared" si="82"/>
        <v>1</v>
      </c>
      <c r="X417" s="46">
        <f t="shared" si="77"/>
        <v>1</v>
      </c>
      <c r="Y417" s="47">
        <f>'Detailed Results'!M417</f>
        <v>10</v>
      </c>
      <c r="Z417" s="47">
        <f>'Detailed Results'!N417</f>
        <v>10</v>
      </c>
      <c r="AA417" s="48">
        <f t="shared" si="78"/>
        <v>1</v>
      </c>
      <c r="AB417" s="48">
        <f t="shared" si="83"/>
        <v>0.90909090909090906</v>
      </c>
      <c r="AC417" s="48">
        <f t="shared" si="79"/>
        <v>0.95238095238095233</v>
      </c>
    </row>
    <row r="418" spans="1:29" ht="15" customHeight="1" thickBot="1" x14ac:dyDescent="0.4">
      <c r="A418" s="185"/>
      <c r="B418" s="12" t="s">
        <v>21</v>
      </c>
      <c r="C418" s="13" t="s">
        <v>20</v>
      </c>
      <c r="D418" s="13">
        <v>3</v>
      </c>
      <c r="E418" s="12" t="s">
        <v>17</v>
      </c>
      <c r="F418" s="40">
        <f>'GT Input'!C11</f>
        <v>7</v>
      </c>
      <c r="G418" s="40">
        <f>'GT Input'!D11</f>
        <v>11</v>
      </c>
      <c r="H418" s="40">
        <f>'GT Input'!E11</f>
        <v>7</v>
      </c>
      <c r="I418" s="40">
        <f>'GT Input'!F11</f>
        <v>11</v>
      </c>
      <c r="J418" s="41">
        <f>'Detailed Results'!G418</f>
        <v>7</v>
      </c>
      <c r="K418" s="41">
        <f>'Detailed Results'!H418</f>
        <v>7</v>
      </c>
      <c r="L418" s="42">
        <f t="shared" si="72"/>
        <v>1</v>
      </c>
      <c r="M418" s="42">
        <f t="shared" si="80"/>
        <v>1</v>
      </c>
      <c r="N418" s="42">
        <f t="shared" si="73"/>
        <v>1</v>
      </c>
      <c r="O418" s="43">
        <f>'Detailed Results'!I418</f>
        <v>10</v>
      </c>
      <c r="P418" s="43">
        <f>'Detailed Results'!J418</f>
        <v>10</v>
      </c>
      <c r="Q418" s="44">
        <f t="shared" si="74"/>
        <v>1</v>
      </c>
      <c r="R418" s="44">
        <f t="shared" si="81"/>
        <v>0.90909090909090906</v>
      </c>
      <c r="S418" s="44">
        <f t="shared" si="75"/>
        <v>0.95238095238095233</v>
      </c>
      <c r="T418" s="45">
        <f>'Detailed Results'!K418</f>
        <v>7</v>
      </c>
      <c r="U418" s="45">
        <f>'Detailed Results'!L418</f>
        <v>6</v>
      </c>
      <c r="V418" s="46">
        <f t="shared" si="76"/>
        <v>0.8571428571428571</v>
      </c>
      <c r="W418" s="46">
        <f t="shared" si="82"/>
        <v>0.8571428571428571</v>
      </c>
      <c r="X418" s="46">
        <f t="shared" si="77"/>
        <v>0.8571428571428571</v>
      </c>
      <c r="Y418" s="47">
        <f>'Detailed Results'!M418</f>
        <v>10</v>
      </c>
      <c r="Z418" s="47">
        <f>'Detailed Results'!N418</f>
        <v>9</v>
      </c>
      <c r="AA418" s="48">
        <f t="shared" si="78"/>
        <v>0.9</v>
      </c>
      <c r="AB418" s="48">
        <f t="shared" si="83"/>
        <v>0.81818181818181823</v>
      </c>
      <c r="AC418" s="48">
        <f t="shared" si="79"/>
        <v>0.85714285714285721</v>
      </c>
    </row>
    <row r="419" spans="1:29" ht="15" customHeight="1" thickBot="1" x14ac:dyDescent="0.4">
      <c r="A419" s="185"/>
      <c r="B419" s="12" t="s">
        <v>21</v>
      </c>
      <c r="C419" s="13" t="s">
        <v>20</v>
      </c>
      <c r="D419" s="13">
        <v>3</v>
      </c>
      <c r="E419" s="12" t="s">
        <v>109</v>
      </c>
      <c r="F419" s="40">
        <f>'GT Input'!C11</f>
        <v>7</v>
      </c>
      <c r="G419" s="40">
        <f>'GT Input'!D11</f>
        <v>11</v>
      </c>
      <c r="H419" s="40">
        <f>'GT Input'!E11</f>
        <v>7</v>
      </c>
      <c r="I419" s="40">
        <f>'GT Input'!F11</f>
        <v>11</v>
      </c>
      <c r="J419" s="41">
        <f>'Detailed Results'!G419</f>
        <v>9</v>
      </c>
      <c r="K419" s="41">
        <f>'Detailed Results'!H419</f>
        <v>8</v>
      </c>
      <c r="L419" s="42">
        <f t="shared" si="72"/>
        <v>0.88888888888888884</v>
      </c>
      <c r="M419" s="42">
        <f t="shared" si="80"/>
        <v>1.1428571428571428</v>
      </c>
      <c r="N419" s="42">
        <f t="shared" si="73"/>
        <v>1</v>
      </c>
      <c r="O419" s="43">
        <f>'Detailed Results'!I419</f>
        <v>11</v>
      </c>
      <c r="P419" s="43">
        <f>'Detailed Results'!J419</f>
        <v>10</v>
      </c>
      <c r="Q419" s="44">
        <f t="shared" si="74"/>
        <v>0.90909090909090906</v>
      </c>
      <c r="R419" s="44">
        <f t="shared" si="81"/>
        <v>0.90909090909090906</v>
      </c>
      <c r="S419" s="44">
        <f t="shared" si="75"/>
        <v>0.90909090909090906</v>
      </c>
      <c r="T419" s="45">
        <f>'Detailed Results'!K419</f>
        <v>9</v>
      </c>
      <c r="U419" s="45">
        <f>'Detailed Results'!L419</f>
        <v>5</v>
      </c>
      <c r="V419" s="46">
        <f t="shared" si="76"/>
        <v>0.55555555555555558</v>
      </c>
      <c r="W419" s="46">
        <f t="shared" si="82"/>
        <v>0.7142857142857143</v>
      </c>
      <c r="X419" s="46">
        <f t="shared" si="77"/>
        <v>0.62500000000000011</v>
      </c>
      <c r="Y419" s="47">
        <f>'Detailed Results'!M419</f>
        <v>11</v>
      </c>
      <c r="Z419" s="47">
        <f>'Detailed Results'!N419</f>
        <v>6</v>
      </c>
      <c r="AA419" s="48">
        <f t="shared" si="78"/>
        <v>0.54545454545454541</v>
      </c>
      <c r="AB419" s="48">
        <f t="shared" si="83"/>
        <v>0.54545454545454541</v>
      </c>
      <c r="AC419" s="48">
        <f t="shared" si="79"/>
        <v>0.54545454545454541</v>
      </c>
    </row>
    <row r="420" spans="1:29" ht="15" customHeight="1" thickBot="1" x14ac:dyDescent="0.4">
      <c r="A420" s="185"/>
      <c r="B420" s="16" t="s">
        <v>22</v>
      </c>
      <c r="C420" s="17" t="s">
        <v>16</v>
      </c>
      <c r="D420" s="17">
        <v>1</v>
      </c>
      <c r="E420" s="16" t="s">
        <v>17</v>
      </c>
      <c r="F420" s="40">
        <f>'GT Input'!C11</f>
        <v>7</v>
      </c>
      <c r="G420" s="40">
        <f>'GT Input'!D11</f>
        <v>11</v>
      </c>
      <c r="H420" s="40">
        <f>'GT Input'!E11</f>
        <v>7</v>
      </c>
      <c r="I420" s="40">
        <f>'GT Input'!F11</f>
        <v>11</v>
      </c>
      <c r="J420" s="41">
        <f>'Detailed Results'!G420</f>
        <v>7</v>
      </c>
      <c r="K420" s="41">
        <f>'Detailed Results'!H420</f>
        <v>7</v>
      </c>
      <c r="L420" s="42">
        <f t="shared" si="72"/>
        <v>1</v>
      </c>
      <c r="M420" s="42">
        <f t="shared" si="80"/>
        <v>1</v>
      </c>
      <c r="N420" s="42">
        <f t="shared" si="73"/>
        <v>1</v>
      </c>
      <c r="O420" s="43">
        <f>'Detailed Results'!I420</f>
        <v>10</v>
      </c>
      <c r="P420" s="43">
        <f>'Detailed Results'!J420</f>
        <v>10</v>
      </c>
      <c r="Q420" s="44">
        <f t="shared" si="74"/>
        <v>1</v>
      </c>
      <c r="R420" s="44">
        <f t="shared" si="81"/>
        <v>0.90909090909090906</v>
      </c>
      <c r="S420" s="44">
        <f t="shared" si="75"/>
        <v>0.95238095238095233</v>
      </c>
      <c r="T420" s="45">
        <f>'Detailed Results'!K420</f>
        <v>7</v>
      </c>
      <c r="U420" s="45">
        <f>'Detailed Results'!L420</f>
        <v>7</v>
      </c>
      <c r="V420" s="46">
        <f t="shared" si="76"/>
        <v>1</v>
      </c>
      <c r="W420" s="46">
        <f t="shared" si="82"/>
        <v>1</v>
      </c>
      <c r="X420" s="46">
        <f t="shared" si="77"/>
        <v>1</v>
      </c>
      <c r="Y420" s="47">
        <f>'Detailed Results'!M420</f>
        <v>10</v>
      </c>
      <c r="Z420" s="47">
        <f>'Detailed Results'!N420</f>
        <v>10</v>
      </c>
      <c r="AA420" s="48">
        <f t="shared" si="78"/>
        <v>1</v>
      </c>
      <c r="AB420" s="48">
        <f t="shared" si="83"/>
        <v>0.90909090909090906</v>
      </c>
      <c r="AC420" s="48">
        <f t="shared" si="79"/>
        <v>0.95238095238095233</v>
      </c>
    </row>
    <row r="421" spans="1:29" ht="15" customHeight="1" thickBot="1" x14ac:dyDescent="0.4">
      <c r="A421" s="185"/>
      <c r="B421" s="16" t="s">
        <v>22</v>
      </c>
      <c r="C421" s="17" t="s">
        <v>16</v>
      </c>
      <c r="D421" s="17">
        <v>1</v>
      </c>
      <c r="E421" s="16" t="s">
        <v>109</v>
      </c>
      <c r="F421" s="40">
        <f>'GT Input'!C11</f>
        <v>7</v>
      </c>
      <c r="G421" s="40">
        <f>'GT Input'!D11</f>
        <v>11</v>
      </c>
      <c r="H421" s="40">
        <f>'GT Input'!E11</f>
        <v>7</v>
      </c>
      <c r="I421" s="40">
        <f>'GT Input'!F11</f>
        <v>11</v>
      </c>
      <c r="J421" s="41">
        <f>'Detailed Results'!G421</f>
        <v>7</v>
      </c>
      <c r="K421" s="41">
        <f>'Detailed Results'!H421</f>
        <v>7</v>
      </c>
      <c r="L421" s="42">
        <f t="shared" si="72"/>
        <v>1</v>
      </c>
      <c r="M421" s="42">
        <f t="shared" si="80"/>
        <v>1</v>
      </c>
      <c r="N421" s="42">
        <f t="shared" si="73"/>
        <v>1</v>
      </c>
      <c r="O421" s="43">
        <f>'Detailed Results'!I421</f>
        <v>11</v>
      </c>
      <c r="P421" s="43">
        <f>'Detailed Results'!J421</f>
        <v>11</v>
      </c>
      <c r="Q421" s="44">
        <f t="shared" si="74"/>
        <v>1</v>
      </c>
      <c r="R421" s="44">
        <f t="shared" si="81"/>
        <v>1</v>
      </c>
      <c r="S421" s="44">
        <f t="shared" si="75"/>
        <v>1</v>
      </c>
      <c r="T421" s="45">
        <f>'Detailed Results'!K421</f>
        <v>7</v>
      </c>
      <c r="U421" s="45">
        <f>'Detailed Results'!L421</f>
        <v>7</v>
      </c>
      <c r="V421" s="46">
        <f t="shared" si="76"/>
        <v>1</v>
      </c>
      <c r="W421" s="46">
        <f t="shared" si="82"/>
        <v>1</v>
      </c>
      <c r="X421" s="46">
        <f t="shared" si="77"/>
        <v>1</v>
      </c>
      <c r="Y421" s="47">
        <f>'Detailed Results'!M421</f>
        <v>11</v>
      </c>
      <c r="Z421" s="47">
        <f>'Detailed Results'!N421</f>
        <v>11</v>
      </c>
      <c r="AA421" s="48">
        <f t="shared" si="78"/>
        <v>1</v>
      </c>
      <c r="AB421" s="48">
        <f t="shared" si="83"/>
        <v>1</v>
      </c>
      <c r="AC421" s="48">
        <f t="shared" si="79"/>
        <v>1</v>
      </c>
    </row>
    <row r="422" spans="1:29" ht="15" customHeight="1" thickBot="1" x14ac:dyDescent="0.4">
      <c r="A422" s="185"/>
      <c r="B422" s="18" t="s">
        <v>22</v>
      </c>
      <c r="C422" s="19" t="s">
        <v>16</v>
      </c>
      <c r="D422" s="19">
        <v>2</v>
      </c>
      <c r="E422" s="18" t="s">
        <v>17</v>
      </c>
      <c r="F422" s="40">
        <f>'GT Input'!C11</f>
        <v>7</v>
      </c>
      <c r="G422" s="40">
        <f>'GT Input'!D11</f>
        <v>11</v>
      </c>
      <c r="H422" s="40">
        <f>'GT Input'!E11</f>
        <v>7</v>
      </c>
      <c r="I422" s="40">
        <f>'GT Input'!F11</f>
        <v>11</v>
      </c>
      <c r="J422" s="41">
        <f>'Detailed Results'!G422</f>
        <v>8</v>
      </c>
      <c r="K422" s="41">
        <f>'Detailed Results'!H422</f>
        <v>8</v>
      </c>
      <c r="L422" s="42">
        <f t="shared" si="72"/>
        <v>1</v>
      </c>
      <c r="M422" s="42">
        <f t="shared" si="80"/>
        <v>1.1428571428571428</v>
      </c>
      <c r="N422" s="42">
        <f t="shared" si="73"/>
        <v>1.0666666666666667</v>
      </c>
      <c r="O422" s="43">
        <f>'Detailed Results'!I422</f>
        <v>11</v>
      </c>
      <c r="P422" s="43">
        <f>'Detailed Results'!J422</f>
        <v>11</v>
      </c>
      <c r="Q422" s="44">
        <f t="shared" si="74"/>
        <v>1</v>
      </c>
      <c r="R422" s="44">
        <f t="shared" si="81"/>
        <v>1</v>
      </c>
      <c r="S422" s="44">
        <f t="shared" si="75"/>
        <v>1</v>
      </c>
      <c r="T422" s="45">
        <f>'Detailed Results'!K422</f>
        <v>8</v>
      </c>
      <c r="U422" s="45">
        <f>'Detailed Results'!L422</f>
        <v>7</v>
      </c>
      <c r="V422" s="46">
        <f t="shared" si="76"/>
        <v>0.875</v>
      </c>
      <c r="W422" s="46">
        <f t="shared" si="82"/>
        <v>1</v>
      </c>
      <c r="X422" s="46">
        <f t="shared" si="77"/>
        <v>0.93333333333333335</v>
      </c>
      <c r="Y422" s="47">
        <f>'Detailed Results'!M422</f>
        <v>11</v>
      </c>
      <c r="Z422" s="47">
        <f>'Detailed Results'!N422</f>
        <v>6</v>
      </c>
      <c r="AA422" s="48">
        <f t="shared" si="78"/>
        <v>0.54545454545454541</v>
      </c>
      <c r="AB422" s="48">
        <f t="shared" si="83"/>
        <v>0.54545454545454541</v>
      </c>
      <c r="AC422" s="48">
        <f t="shared" si="79"/>
        <v>0.54545454545454541</v>
      </c>
    </row>
    <row r="423" spans="1:29" ht="15" customHeight="1" thickBot="1" x14ac:dyDescent="0.4">
      <c r="A423" s="185"/>
      <c r="B423" s="18" t="s">
        <v>22</v>
      </c>
      <c r="C423" s="19" t="s">
        <v>16</v>
      </c>
      <c r="D423" s="19">
        <v>2</v>
      </c>
      <c r="E423" s="18" t="s">
        <v>109</v>
      </c>
      <c r="F423" s="40">
        <f>'GT Input'!C11</f>
        <v>7</v>
      </c>
      <c r="G423" s="40">
        <f>'GT Input'!D11</f>
        <v>11</v>
      </c>
      <c r="H423" s="40">
        <f>'GT Input'!E11</f>
        <v>7</v>
      </c>
      <c r="I423" s="40">
        <f>'GT Input'!F11</f>
        <v>11</v>
      </c>
      <c r="J423" s="41">
        <f>'Detailed Results'!G423</f>
        <v>7</v>
      </c>
      <c r="K423" s="41">
        <f>'Detailed Results'!H423</f>
        <v>7</v>
      </c>
      <c r="L423" s="42">
        <f t="shared" si="72"/>
        <v>1</v>
      </c>
      <c r="M423" s="42">
        <f t="shared" si="80"/>
        <v>1</v>
      </c>
      <c r="N423" s="42">
        <f t="shared" si="73"/>
        <v>1</v>
      </c>
      <c r="O423" s="43">
        <f>'Detailed Results'!I423</f>
        <v>10</v>
      </c>
      <c r="P423" s="43">
        <f>'Detailed Results'!J423</f>
        <v>10</v>
      </c>
      <c r="Q423" s="44">
        <f t="shared" si="74"/>
        <v>1</v>
      </c>
      <c r="R423" s="44">
        <f t="shared" si="81"/>
        <v>0.90909090909090906</v>
      </c>
      <c r="S423" s="44">
        <f t="shared" si="75"/>
        <v>0.95238095238095233</v>
      </c>
      <c r="T423" s="45">
        <f>'Detailed Results'!K423</f>
        <v>7</v>
      </c>
      <c r="U423" s="45">
        <f>'Detailed Results'!L423</f>
        <v>7</v>
      </c>
      <c r="V423" s="46">
        <f t="shared" si="76"/>
        <v>1</v>
      </c>
      <c r="W423" s="46">
        <f t="shared" si="82"/>
        <v>1</v>
      </c>
      <c r="X423" s="46">
        <f t="shared" si="77"/>
        <v>1</v>
      </c>
      <c r="Y423" s="47">
        <f>'Detailed Results'!M423</f>
        <v>10</v>
      </c>
      <c r="Z423" s="47">
        <f>'Detailed Results'!N423</f>
        <v>10</v>
      </c>
      <c r="AA423" s="48">
        <f t="shared" si="78"/>
        <v>1</v>
      </c>
      <c r="AB423" s="48">
        <f t="shared" si="83"/>
        <v>0.90909090909090906</v>
      </c>
      <c r="AC423" s="48">
        <f t="shared" si="79"/>
        <v>0.95238095238095233</v>
      </c>
    </row>
    <row r="424" spans="1:29" ht="15" customHeight="1" thickBot="1" x14ac:dyDescent="0.4">
      <c r="A424" s="185"/>
      <c r="B424" s="16" t="s">
        <v>22</v>
      </c>
      <c r="C424" s="17" t="s">
        <v>16</v>
      </c>
      <c r="D424" s="17">
        <v>3</v>
      </c>
      <c r="E424" s="16" t="s">
        <v>17</v>
      </c>
      <c r="F424" s="40">
        <f>'GT Input'!C11</f>
        <v>7</v>
      </c>
      <c r="G424" s="40">
        <f>'GT Input'!D11</f>
        <v>11</v>
      </c>
      <c r="H424" s="40">
        <f>'GT Input'!E11</f>
        <v>7</v>
      </c>
      <c r="I424" s="40">
        <f>'GT Input'!F11</f>
        <v>11</v>
      </c>
      <c r="J424" s="41">
        <f>'Detailed Results'!G424</f>
        <v>7</v>
      </c>
      <c r="K424" s="41">
        <f>'Detailed Results'!H424</f>
        <v>7</v>
      </c>
      <c r="L424" s="42">
        <f t="shared" si="72"/>
        <v>1</v>
      </c>
      <c r="M424" s="42">
        <f t="shared" si="80"/>
        <v>1</v>
      </c>
      <c r="N424" s="42">
        <f t="shared" si="73"/>
        <v>1</v>
      </c>
      <c r="O424" s="43">
        <f>'Detailed Results'!I424</f>
        <v>10</v>
      </c>
      <c r="P424" s="43">
        <f>'Detailed Results'!J424</f>
        <v>10</v>
      </c>
      <c r="Q424" s="44">
        <f t="shared" si="74"/>
        <v>1</v>
      </c>
      <c r="R424" s="44">
        <f t="shared" si="81"/>
        <v>0.90909090909090906</v>
      </c>
      <c r="S424" s="44">
        <f t="shared" si="75"/>
        <v>0.95238095238095233</v>
      </c>
      <c r="T424" s="45">
        <f>'Detailed Results'!K424</f>
        <v>7</v>
      </c>
      <c r="U424" s="45">
        <f>'Detailed Results'!L424</f>
        <v>7</v>
      </c>
      <c r="V424" s="46">
        <f t="shared" si="76"/>
        <v>1</v>
      </c>
      <c r="W424" s="46">
        <f t="shared" si="82"/>
        <v>1</v>
      </c>
      <c r="X424" s="46">
        <f t="shared" si="77"/>
        <v>1</v>
      </c>
      <c r="Y424" s="47">
        <f>'Detailed Results'!M424</f>
        <v>10</v>
      </c>
      <c r="Z424" s="47">
        <f>'Detailed Results'!N424</f>
        <v>10</v>
      </c>
      <c r="AA424" s="48">
        <f t="shared" si="78"/>
        <v>1</v>
      </c>
      <c r="AB424" s="48">
        <f t="shared" si="83"/>
        <v>0.90909090909090906</v>
      </c>
      <c r="AC424" s="48">
        <f t="shared" si="79"/>
        <v>0.95238095238095233</v>
      </c>
    </row>
    <row r="425" spans="1:29" ht="15" customHeight="1" thickBot="1" x14ac:dyDescent="0.4">
      <c r="A425" s="185"/>
      <c r="B425" s="16" t="s">
        <v>22</v>
      </c>
      <c r="C425" s="17" t="s">
        <v>16</v>
      </c>
      <c r="D425" s="17">
        <v>3</v>
      </c>
      <c r="E425" s="16" t="s">
        <v>109</v>
      </c>
      <c r="F425" s="40">
        <f>'GT Input'!C11</f>
        <v>7</v>
      </c>
      <c r="G425" s="40">
        <f>'GT Input'!D11</f>
        <v>11</v>
      </c>
      <c r="H425" s="40">
        <f>'GT Input'!E11</f>
        <v>7</v>
      </c>
      <c r="I425" s="40">
        <f>'GT Input'!F11</f>
        <v>11</v>
      </c>
      <c r="J425" s="41">
        <f>'Detailed Results'!G425</f>
        <v>7</v>
      </c>
      <c r="K425" s="41">
        <f>'Detailed Results'!H425</f>
        <v>7</v>
      </c>
      <c r="L425" s="42">
        <f t="shared" si="72"/>
        <v>1</v>
      </c>
      <c r="M425" s="42">
        <f t="shared" si="80"/>
        <v>1</v>
      </c>
      <c r="N425" s="42">
        <f t="shared" si="73"/>
        <v>1</v>
      </c>
      <c r="O425" s="43">
        <f>'Detailed Results'!I425</f>
        <v>11</v>
      </c>
      <c r="P425" s="43">
        <f>'Detailed Results'!J425</f>
        <v>11</v>
      </c>
      <c r="Q425" s="44">
        <f t="shared" si="74"/>
        <v>1</v>
      </c>
      <c r="R425" s="44">
        <f t="shared" si="81"/>
        <v>1</v>
      </c>
      <c r="S425" s="44">
        <f t="shared" si="75"/>
        <v>1</v>
      </c>
      <c r="T425" s="45">
        <f>'Detailed Results'!K425</f>
        <v>7</v>
      </c>
      <c r="U425" s="45">
        <f>'Detailed Results'!L425</f>
        <v>7</v>
      </c>
      <c r="V425" s="46">
        <f t="shared" si="76"/>
        <v>1</v>
      </c>
      <c r="W425" s="46">
        <f t="shared" si="82"/>
        <v>1</v>
      </c>
      <c r="X425" s="46">
        <f t="shared" si="77"/>
        <v>1</v>
      </c>
      <c r="Y425" s="47">
        <f>'Detailed Results'!M425</f>
        <v>11</v>
      </c>
      <c r="Z425" s="47">
        <f>'Detailed Results'!N425</f>
        <v>11</v>
      </c>
      <c r="AA425" s="48">
        <f t="shared" si="78"/>
        <v>1</v>
      </c>
      <c r="AB425" s="48">
        <f t="shared" si="83"/>
        <v>1</v>
      </c>
      <c r="AC425" s="48">
        <f t="shared" si="79"/>
        <v>1</v>
      </c>
    </row>
    <row r="426" spans="1:29" ht="15" customHeight="1" thickBot="1" x14ac:dyDescent="0.4">
      <c r="A426" s="185"/>
      <c r="B426" s="18" t="s">
        <v>22</v>
      </c>
      <c r="C426" s="19" t="s">
        <v>19</v>
      </c>
      <c r="D426" s="19">
        <v>1</v>
      </c>
      <c r="E426" s="18" t="s">
        <v>17</v>
      </c>
      <c r="F426" s="40">
        <f>'GT Input'!C11</f>
        <v>7</v>
      </c>
      <c r="G426" s="40">
        <f>'GT Input'!D11</f>
        <v>11</v>
      </c>
      <c r="H426" s="40">
        <f>'GT Input'!E11</f>
        <v>7</v>
      </c>
      <c r="I426" s="40">
        <f>'GT Input'!F11</f>
        <v>11</v>
      </c>
      <c r="J426" s="41">
        <f>'Detailed Results'!G426</f>
        <v>8</v>
      </c>
      <c r="K426" s="41">
        <f>'Detailed Results'!H426</f>
        <v>8</v>
      </c>
      <c r="L426" s="42">
        <f t="shared" si="72"/>
        <v>1</v>
      </c>
      <c r="M426" s="42">
        <f t="shared" si="80"/>
        <v>1.1428571428571428</v>
      </c>
      <c r="N426" s="42">
        <f t="shared" si="73"/>
        <v>1.0666666666666667</v>
      </c>
      <c r="O426" s="43">
        <f>'Detailed Results'!I426</f>
        <v>10</v>
      </c>
      <c r="P426" s="43">
        <f>'Detailed Results'!J426</f>
        <v>10</v>
      </c>
      <c r="Q426" s="44">
        <f t="shared" si="74"/>
        <v>1</v>
      </c>
      <c r="R426" s="44">
        <f t="shared" si="81"/>
        <v>0.90909090909090906</v>
      </c>
      <c r="S426" s="44">
        <f t="shared" si="75"/>
        <v>0.95238095238095233</v>
      </c>
      <c r="T426" s="45">
        <f>'Detailed Results'!K426</f>
        <v>8</v>
      </c>
      <c r="U426" s="45">
        <f>'Detailed Results'!L426</f>
        <v>7</v>
      </c>
      <c r="V426" s="46">
        <f t="shared" si="76"/>
        <v>0.875</v>
      </c>
      <c r="W426" s="46">
        <f t="shared" si="82"/>
        <v>1</v>
      </c>
      <c r="X426" s="46">
        <f t="shared" si="77"/>
        <v>0.93333333333333335</v>
      </c>
      <c r="Y426" s="47">
        <f>'Detailed Results'!M426</f>
        <v>10</v>
      </c>
      <c r="Z426" s="47">
        <f>'Detailed Results'!N426</f>
        <v>10</v>
      </c>
      <c r="AA426" s="48">
        <f t="shared" si="78"/>
        <v>1</v>
      </c>
      <c r="AB426" s="48">
        <f t="shared" si="83"/>
        <v>0.90909090909090906</v>
      </c>
      <c r="AC426" s="48">
        <f t="shared" si="79"/>
        <v>0.95238095238095233</v>
      </c>
    </row>
    <row r="427" spans="1:29" ht="15" customHeight="1" thickBot="1" x14ac:dyDescent="0.4">
      <c r="A427" s="185"/>
      <c r="B427" s="18" t="s">
        <v>22</v>
      </c>
      <c r="C427" s="19" t="s">
        <v>19</v>
      </c>
      <c r="D427" s="19">
        <v>1</v>
      </c>
      <c r="E427" s="18" t="s">
        <v>109</v>
      </c>
      <c r="F427" s="40">
        <f>'GT Input'!C11</f>
        <v>7</v>
      </c>
      <c r="G427" s="40">
        <f>'GT Input'!D11</f>
        <v>11</v>
      </c>
      <c r="H427" s="40">
        <f>'GT Input'!E11</f>
        <v>7</v>
      </c>
      <c r="I427" s="40">
        <f>'GT Input'!F11</f>
        <v>11</v>
      </c>
      <c r="J427" s="41">
        <f>'Detailed Results'!G427</f>
        <v>7</v>
      </c>
      <c r="K427" s="41">
        <f>'Detailed Results'!H427</f>
        <v>7</v>
      </c>
      <c r="L427" s="42">
        <f t="shared" si="72"/>
        <v>1</v>
      </c>
      <c r="M427" s="42">
        <f t="shared" si="80"/>
        <v>1</v>
      </c>
      <c r="N427" s="42">
        <f t="shared" si="73"/>
        <v>1</v>
      </c>
      <c r="O427" s="43">
        <f>'Detailed Results'!I427</f>
        <v>11</v>
      </c>
      <c r="P427" s="43">
        <f>'Detailed Results'!J427</f>
        <v>11</v>
      </c>
      <c r="Q427" s="44">
        <f t="shared" si="74"/>
        <v>1</v>
      </c>
      <c r="R427" s="44">
        <f t="shared" si="81"/>
        <v>1</v>
      </c>
      <c r="S427" s="44">
        <f t="shared" si="75"/>
        <v>1</v>
      </c>
      <c r="T427" s="45">
        <f>'Detailed Results'!K427</f>
        <v>7</v>
      </c>
      <c r="U427" s="45">
        <f>'Detailed Results'!L427</f>
        <v>7</v>
      </c>
      <c r="V427" s="46">
        <f t="shared" si="76"/>
        <v>1</v>
      </c>
      <c r="W427" s="46">
        <f t="shared" si="82"/>
        <v>1</v>
      </c>
      <c r="X427" s="46">
        <f t="shared" si="77"/>
        <v>1</v>
      </c>
      <c r="Y427" s="47">
        <f>'Detailed Results'!M427</f>
        <v>11</v>
      </c>
      <c r="Z427" s="47">
        <f>'Detailed Results'!N427</f>
        <v>11</v>
      </c>
      <c r="AA427" s="48">
        <f t="shared" si="78"/>
        <v>1</v>
      </c>
      <c r="AB427" s="48">
        <f t="shared" si="83"/>
        <v>1</v>
      </c>
      <c r="AC427" s="48">
        <f t="shared" si="79"/>
        <v>1</v>
      </c>
    </row>
    <row r="428" spans="1:29" ht="15" customHeight="1" thickBot="1" x14ac:dyDescent="0.4">
      <c r="A428" s="185"/>
      <c r="B428" s="16" t="s">
        <v>22</v>
      </c>
      <c r="C428" s="17" t="s">
        <v>19</v>
      </c>
      <c r="D428" s="17">
        <v>2</v>
      </c>
      <c r="E428" s="16" t="s">
        <v>17</v>
      </c>
      <c r="F428" s="40">
        <f>'GT Input'!C11</f>
        <v>7</v>
      </c>
      <c r="G428" s="40">
        <f>'GT Input'!D11</f>
        <v>11</v>
      </c>
      <c r="H428" s="40">
        <f>'GT Input'!E11</f>
        <v>7</v>
      </c>
      <c r="I428" s="40">
        <f>'GT Input'!F11</f>
        <v>11</v>
      </c>
      <c r="J428" s="41">
        <f>'Detailed Results'!G428</f>
        <v>7</v>
      </c>
      <c r="K428" s="41">
        <f>'Detailed Results'!H428</f>
        <v>7</v>
      </c>
      <c r="L428" s="42">
        <f t="shared" si="72"/>
        <v>1</v>
      </c>
      <c r="M428" s="42">
        <f t="shared" si="80"/>
        <v>1</v>
      </c>
      <c r="N428" s="42">
        <f t="shared" si="73"/>
        <v>1</v>
      </c>
      <c r="O428" s="43">
        <f>'Detailed Results'!I428</f>
        <v>10</v>
      </c>
      <c r="P428" s="43">
        <f>'Detailed Results'!J428</f>
        <v>10</v>
      </c>
      <c r="Q428" s="44">
        <f t="shared" si="74"/>
        <v>1</v>
      </c>
      <c r="R428" s="44">
        <f t="shared" si="81"/>
        <v>0.90909090909090906</v>
      </c>
      <c r="S428" s="44">
        <f t="shared" si="75"/>
        <v>0.95238095238095233</v>
      </c>
      <c r="T428" s="45">
        <f>'Detailed Results'!K428</f>
        <v>7</v>
      </c>
      <c r="U428" s="45">
        <f>'Detailed Results'!L428</f>
        <v>7</v>
      </c>
      <c r="V428" s="46">
        <f t="shared" si="76"/>
        <v>1</v>
      </c>
      <c r="W428" s="46">
        <f t="shared" si="82"/>
        <v>1</v>
      </c>
      <c r="X428" s="46">
        <f t="shared" si="77"/>
        <v>1</v>
      </c>
      <c r="Y428" s="47">
        <f>'Detailed Results'!M428</f>
        <v>10</v>
      </c>
      <c r="Z428" s="47">
        <f>'Detailed Results'!N428</f>
        <v>10</v>
      </c>
      <c r="AA428" s="48">
        <f t="shared" si="78"/>
        <v>1</v>
      </c>
      <c r="AB428" s="48">
        <f t="shared" si="83"/>
        <v>0.90909090909090906</v>
      </c>
      <c r="AC428" s="48">
        <f t="shared" si="79"/>
        <v>0.95238095238095233</v>
      </c>
    </row>
    <row r="429" spans="1:29" ht="15" customHeight="1" thickBot="1" x14ac:dyDescent="0.4">
      <c r="A429" s="185"/>
      <c r="B429" s="16" t="s">
        <v>22</v>
      </c>
      <c r="C429" s="17" t="s">
        <v>19</v>
      </c>
      <c r="D429" s="17">
        <v>2</v>
      </c>
      <c r="E429" s="16" t="s">
        <v>109</v>
      </c>
      <c r="F429" s="40">
        <f>'GT Input'!C11</f>
        <v>7</v>
      </c>
      <c r="G429" s="40">
        <f>'GT Input'!D11</f>
        <v>11</v>
      </c>
      <c r="H429" s="40">
        <f>'GT Input'!E11</f>
        <v>7</v>
      </c>
      <c r="I429" s="40">
        <f>'GT Input'!F11</f>
        <v>11</v>
      </c>
      <c r="J429" s="41">
        <f>'Detailed Results'!G429</f>
        <v>7</v>
      </c>
      <c r="K429" s="41">
        <f>'Detailed Results'!H429</f>
        <v>7</v>
      </c>
      <c r="L429" s="42">
        <f t="shared" si="72"/>
        <v>1</v>
      </c>
      <c r="M429" s="42">
        <f t="shared" si="80"/>
        <v>1</v>
      </c>
      <c r="N429" s="42">
        <f t="shared" si="73"/>
        <v>1</v>
      </c>
      <c r="O429" s="43">
        <f>'Detailed Results'!I429</f>
        <v>10</v>
      </c>
      <c r="P429" s="43">
        <f>'Detailed Results'!J429</f>
        <v>10</v>
      </c>
      <c r="Q429" s="44">
        <f t="shared" si="74"/>
        <v>1</v>
      </c>
      <c r="R429" s="44">
        <f t="shared" si="81"/>
        <v>0.90909090909090906</v>
      </c>
      <c r="S429" s="44">
        <f t="shared" si="75"/>
        <v>0.95238095238095233</v>
      </c>
      <c r="T429" s="45">
        <f>'Detailed Results'!K429</f>
        <v>7</v>
      </c>
      <c r="U429" s="45">
        <f>'Detailed Results'!L429</f>
        <v>7</v>
      </c>
      <c r="V429" s="46">
        <f t="shared" si="76"/>
        <v>1</v>
      </c>
      <c r="W429" s="46">
        <f t="shared" si="82"/>
        <v>1</v>
      </c>
      <c r="X429" s="46">
        <f t="shared" si="77"/>
        <v>1</v>
      </c>
      <c r="Y429" s="47">
        <f>'Detailed Results'!M429</f>
        <v>10</v>
      </c>
      <c r="Z429" s="47">
        <f>'Detailed Results'!N429</f>
        <v>10</v>
      </c>
      <c r="AA429" s="48">
        <f t="shared" si="78"/>
        <v>1</v>
      </c>
      <c r="AB429" s="48">
        <f t="shared" si="83"/>
        <v>0.90909090909090906</v>
      </c>
      <c r="AC429" s="48">
        <f t="shared" si="79"/>
        <v>0.95238095238095233</v>
      </c>
    </row>
    <row r="430" spans="1:29" ht="15" customHeight="1" thickBot="1" x14ac:dyDescent="0.4">
      <c r="A430" s="185"/>
      <c r="B430" s="18" t="s">
        <v>22</v>
      </c>
      <c r="C430" s="19" t="s">
        <v>19</v>
      </c>
      <c r="D430" s="19">
        <v>3</v>
      </c>
      <c r="E430" s="18" t="s">
        <v>17</v>
      </c>
      <c r="F430" s="40">
        <f>'GT Input'!C11</f>
        <v>7</v>
      </c>
      <c r="G430" s="40">
        <f>'GT Input'!D11</f>
        <v>11</v>
      </c>
      <c r="H430" s="40">
        <f>'GT Input'!E11</f>
        <v>7</v>
      </c>
      <c r="I430" s="40">
        <f>'GT Input'!F11</f>
        <v>11</v>
      </c>
      <c r="J430" s="41">
        <f>'Detailed Results'!G430</f>
        <v>8</v>
      </c>
      <c r="K430" s="41">
        <f>'Detailed Results'!H430</f>
        <v>8</v>
      </c>
      <c r="L430" s="42">
        <f t="shared" si="72"/>
        <v>1</v>
      </c>
      <c r="M430" s="42">
        <f t="shared" si="80"/>
        <v>1.1428571428571428</v>
      </c>
      <c r="N430" s="42">
        <f t="shared" si="73"/>
        <v>1.0666666666666667</v>
      </c>
      <c r="O430" s="43">
        <f>'Detailed Results'!I430</f>
        <v>11</v>
      </c>
      <c r="P430" s="43">
        <f>'Detailed Results'!J430</f>
        <v>11</v>
      </c>
      <c r="Q430" s="44">
        <f t="shared" si="74"/>
        <v>1</v>
      </c>
      <c r="R430" s="44">
        <f t="shared" si="81"/>
        <v>1</v>
      </c>
      <c r="S430" s="44">
        <f t="shared" si="75"/>
        <v>1</v>
      </c>
      <c r="T430" s="45">
        <f>'Detailed Results'!K430</f>
        <v>8</v>
      </c>
      <c r="U430" s="45">
        <f>'Detailed Results'!L430</f>
        <v>7</v>
      </c>
      <c r="V430" s="46">
        <f t="shared" si="76"/>
        <v>0.875</v>
      </c>
      <c r="W430" s="46">
        <f t="shared" si="82"/>
        <v>1</v>
      </c>
      <c r="X430" s="46">
        <f t="shared" si="77"/>
        <v>0.93333333333333335</v>
      </c>
      <c r="Y430" s="47">
        <f>'Detailed Results'!M430</f>
        <v>11</v>
      </c>
      <c r="Z430" s="47">
        <f>'Detailed Results'!N430</f>
        <v>6</v>
      </c>
      <c r="AA430" s="48">
        <f t="shared" si="78"/>
        <v>0.54545454545454541</v>
      </c>
      <c r="AB430" s="48">
        <f t="shared" si="83"/>
        <v>0.54545454545454541</v>
      </c>
      <c r="AC430" s="48">
        <f t="shared" si="79"/>
        <v>0.54545454545454541</v>
      </c>
    </row>
    <row r="431" spans="1:29" ht="15" customHeight="1" thickBot="1" x14ac:dyDescent="0.4">
      <c r="A431" s="185"/>
      <c r="B431" s="18" t="s">
        <v>22</v>
      </c>
      <c r="C431" s="19" t="s">
        <v>19</v>
      </c>
      <c r="D431" s="19">
        <v>3</v>
      </c>
      <c r="E431" s="18" t="s">
        <v>109</v>
      </c>
      <c r="F431" s="40">
        <f>'GT Input'!C11</f>
        <v>7</v>
      </c>
      <c r="G431" s="40">
        <f>'GT Input'!D11</f>
        <v>11</v>
      </c>
      <c r="H431" s="40">
        <f>'GT Input'!E11</f>
        <v>7</v>
      </c>
      <c r="I431" s="40">
        <f>'GT Input'!F11</f>
        <v>11</v>
      </c>
      <c r="J431" s="41">
        <f>'Detailed Results'!G431</f>
        <v>7</v>
      </c>
      <c r="K431" s="41">
        <f>'Detailed Results'!H431</f>
        <v>7</v>
      </c>
      <c r="L431" s="42">
        <f t="shared" si="72"/>
        <v>1</v>
      </c>
      <c r="M431" s="42">
        <f t="shared" si="80"/>
        <v>1</v>
      </c>
      <c r="N431" s="42">
        <f t="shared" si="73"/>
        <v>1</v>
      </c>
      <c r="O431" s="43">
        <f>'Detailed Results'!I431</f>
        <v>8</v>
      </c>
      <c r="P431" s="43">
        <f>'Detailed Results'!J431</f>
        <v>8</v>
      </c>
      <c r="Q431" s="44">
        <f t="shared" si="74"/>
        <v>1</v>
      </c>
      <c r="R431" s="44">
        <f t="shared" si="81"/>
        <v>0.72727272727272729</v>
      </c>
      <c r="S431" s="44">
        <f t="shared" si="75"/>
        <v>0.8421052631578948</v>
      </c>
      <c r="T431" s="45">
        <f>'Detailed Results'!K431</f>
        <v>7</v>
      </c>
      <c r="U431" s="45">
        <f>'Detailed Results'!L431</f>
        <v>7</v>
      </c>
      <c r="V431" s="46">
        <f t="shared" si="76"/>
        <v>1</v>
      </c>
      <c r="W431" s="46">
        <f t="shared" si="82"/>
        <v>1</v>
      </c>
      <c r="X431" s="46">
        <f t="shared" si="77"/>
        <v>1</v>
      </c>
      <c r="Y431" s="47">
        <f>'Detailed Results'!M431</f>
        <v>8</v>
      </c>
      <c r="Z431" s="47">
        <f>'Detailed Results'!N431</f>
        <v>8</v>
      </c>
      <c r="AA431" s="48">
        <f t="shared" si="78"/>
        <v>1</v>
      </c>
      <c r="AB431" s="48">
        <f t="shared" si="83"/>
        <v>0.72727272727272729</v>
      </c>
      <c r="AC431" s="48">
        <f t="shared" si="79"/>
        <v>0.8421052631578948</v>
      </c>
    </row>
    <row r="432" spans="1:29" ht="15" customHeight="1" thickBot="1" x14ac:dyDescent="0.4">
      <c r="A432" s="185"/>
      <c r="B432" s="16" t="s">
        <v>22</v>
      </c>
      <c r="C432" s="17" t="s">
        <v>20</v>
      </c>
      <c r="D432" s="17">
        <v>1</v>
      </c>
      <c r="E432" s="16" t="s">
        <v>17</v>
      </c>
      <c r="F432" s="40">
        <f>'GT Input'!C11</f>
        <v>7</v>
      </c>
      <c r="G432" s="40">
        <f>'GT Input'!D11</f>
        <v>11</v>
      </c>
      <c r="H432" s="40">
        <f>'GT Input'!E11</f>
        <v>7</v>
      </c>
      <c r="I432" s="40">
        <f>'GT Input'!F11</f>
        <v>11</v>
      </c>
      <c r="J432" s="41">
        <f>'Detailed Results'!G432</f>
        <v>8</v>
      </c>
      <c r="K432" s="41">
        <f>'Detailed Results'!H432</f>
        <v>8</v>
      </c>
      <c r="L432" s="42">
        <f t="shared" si="72"/>
        <v>1</v>
      </c>
      <c r="M432" s="42">
        <f t="shared" si="80"/>
        <v>1.1428571428571428</v>
      </c>
      <c r="N432" s="42">
        <f t="shared" si="73"/>
        <v>1.0666666666666667</v>
      </c>
      <c r="O432" s="43">
        <f>'Detailed Results'!I432</f>
        <v>10</v>
      </c>
      <c r="P432" s="43">
        <f>'Detailed Results'!J432</f>
        <v>10</v>
      </c>
      <c r="Q432" s="44">
        <f t="shared" si="74"/>
        <v>1</v>
      </c>
      <c r="R432" s="44">
        <f t="shared" si="81"/>
        <v>0.90909090909090906</v>
      </c>
      <c r="S432" s="44">
        <f t="shared" si="75"/>
        <v>0.95238095238095233</v>
      </c>
      <c r="T432" s="45">
        <f>'Detailed Results'!K432</f>
        <v>8</v>
      </c>
      <c r="U432" s="45">
        <f>'Detailed Results'!L432</f>
        <v>7</v>
      </c>
      <c r="V432" s="46">
        <f t="shared" si="76"/>
        <v>0.875</v>
      </c>
      <c r="W432" s="46">
        <f t="shared" si="82"/>
        <v>1</v>
      </c>
      <c r="X432" s="46">
        <f t="shared" si="77"/>
        <v>0.93333333333333335</v>
      </c>
      <c r="Y432" s="47">
        <f>'Detailed Results'!M432</f>
        <v>10</v>
      </c>
      <c r="Z432" s="47">
        <f>'Detailed Results'!N432</f>
        <v>10</v>
      </c>
      <c r="AA432" s="48">
        <f t="shared" si="78"/>
        <v>1</v>
      </c>
      <c r="AB432" s="48">
        <f t="shared" si="83"/>
        <v>0.90909090909090906</v>
      </c>
      <c r="AC432" s="48">
        <f t="shared" si="79"/>
        <v>0.95238095238095233</v>
      </c>
    </row>
    <row r="433" spans="1:29" ht="15" customHeight="1" thickBot="1" x14ac:dyDescent="0.4">
      <c r="A433" s="185"/>
      <c r="B433" s="16" t="s">
        <v>22</v>
      </c>
      <c r="C433" s="17" t="s">
        <v>20</v>
      </c>
      <c r="D433" s="17">
        <v>1</v>
      </c>
      <c r="E433" s="16" t="s">
        <v>109</v>
      </c>
      <c r="F433" s="40">
        <f>'GT Input'!C11</f>
        <v>7</v>
      </c>
      <c r="G433" s="40">
        <f>'GT Input'!D11</f>
        <v>11</v>
      </c>
      <c r="H433" s="40">
        <f>'GT Input'!E11</f>
        <v>7</v>
      </c>
      <c r="I433" s="40">
        <f>'GT Input'!F11</f>
        <v>11</v>
      </c>
      <c r="J433" s="41">
        <f>'Detailed Results'!G433</f>
        <v>7</v>
      </c>
      <c r="K433" s="41">
        <f>'Detailed Results'!H433</f>
        <v>7</v>
      </c>
      <c r="L433" s="42">
        <f t="shared" si="72"/>
        <v>1</v>
      </c>
      <c r="M433" s="42">
        <f t="shared" si="80"/>
        <v>1</v>
      </c>
      <c r="N433" s="42">
        <f t="shared" si="73"/>
        <v>1</v>
      </c>
      <c r="O433" s="43">
        <f>'Detailed Results'!I433</f>
        <v>10</v>
      </c>
      <c r="P433" s="43">
        <f>'Detailed Results'!J433</f>
        <v>10</v>
      </c>
      <c r="Q433" s="44">
        <f t="shared" si="74"/>
        <v>1</v>
      </c>
      <c r="R433" s="44">
        <f t="shared" si="81"/>
        <v>0.90909090909090906</v>
      </c>
      <c r="S433" s="44">
        <f t="shared" si="75"/>
        <v>0.95238095238095233</v>
      </c>
      <c r="T433" s="45">
        <f>'Detailed Results'!K433</f>
        <v>7</v>
      </c>
      <c r="U433" s="45">
        <f>'Detailed Results'!L433</f>
        <v>7</v>
      </c>
      <c r="V433" s="46">
        <f t="shared" si="76"/>
        <v>1</v>
      </c>
      <c r="W433" s="46">
        <f t="shared" si="82"/>
        <v>1</v>
      </c>
      <c r="X433" s="46">
        <f t="shared" si="77"/>
        <v>1</v>
      </c>
      <c r="Y433" s="47">
        <f>'Detailed Results'!M433</f>
        <v>10</v>
      </c>
      <c r="Z433" s="47">
        <f>'Detailed Results'!N433</f>
        <v>10</v>
      </c>
      <c r="AA433" s="48">
        <f t="shared" si="78"/>
        <v>1</v>
      </c>
      <c r="AB433" s="48">
        <f t="shared" si="83"/>
        <v>0.90909090909090906</v>
      </c>
      <c r="AC433" s="48">
        <f t="shared" si="79"/>
        <v>0.95238095238095233</v>
      </c>
    </row>
    <row r="434" spans="1:29" ht="15" customHeight="1" thickBot="1" x14ac:dyDescent="0.4">
      <c r="A434" s="185"/>
      <c r="B434" s="18" t="s">
        <v>22</v>
      </c>
      <c r="C434" s="19" t="s">
        <v>20</v>
      </c>
      <c r="D434" s="19">
        <v>2</v>
      </c>
      <c r="E434" s="18" t="s">
        <v>17</v>
      </c>
      <c r="F434" s="40">
        <f>'GT Input'!C11</f>
        <v>7</v>
      </c>
      <c r="G434" s="40">
        <f>'GT Input'!D11</f>
        <v>11</v>
      </c>
      <c r="H434" s="40">
        <f>'GT Input'!E11</f>
        <v>7</v>
      </c>
      <c r="I434" s="40">
        <f>'GT Input'!F11</f>
        <v>11</v>
      </c>
      <c r="J434" s="41">
        <f>'Detailed Results'!G434</f>
        <v>7</v>
      </c>
      <c r="K434" s="41">
        <f>'Detailed Results'!H434</f>
        <v>7</v>
      </c>
      <c r="L434" s="42">
        <f t="shared" si="72"/>
        <v>1</v>
      </c>
      <c r="M434" s="42">
        <f t="shared" si="80"/>
        <v>1</v>
      </c>
      <c r="N434" s="42">
        <f t="shared" si="73"/>
        <v>1</v>
      </c>
      <c r="O434" s="43">
        <f>'Detailed Results'!I434</f>
        <v>10</v>
      </c>
      <c r="P434" s="43">
        <f>'Detailed Results'!J434</f>
        <v>10</v>
      </c>
      <c r="Q434" s="44">
        <f t="shared" si="74"/>
        <v>1</v>
      </c>
      <c r="R434" s="44">
        <f t="shared" si="81"/>
        <v>0.90909090909090906</v>
      </c>
      <c r="S434" s="44">
        <f t="shared" si="75"/>
        <v>0.95238095238095233</v>
      </c>
      <c r="T434" s="45">
        <f>'Detailed Results'!K434</f>
        <v>7</v>
      </c>
      <c r="U434" s="45">
        <f>'Detailed Results'!L434</f>
        <v>7</v>
      </c>
      <c r="V434" s="46">
        <f t="shared" si="76"/>
        <v>1</v>
      </c>
      <c r="W434" s="46">
        <f t="shared" si="82"/>
        <v>1</v>
      </c>
      <c r="X434" s="46">
        <f t="shared" si="77"/>
        <v>1</v>
      </c>
      <c r="Y434" s="47">
        <f>'Detailed Results'!M434</f>
        <v>10</v>
      </c>
      <c r="Z434" s="47">
        <f>'Detailed Results'!N434</f>
        <v>10</v>
      </c>
      <c r="AA434" s="48">
        <f t="shared" si="78"/>
        <v>1</v>
      </c>
      <c r="AB434" s="48">
        <f t="shared" si="83"/>
        <v>0.90909090909090906</v>
      </c>
      <c r="AC434" s="48">
        <f t="shared" si="79"/>
        <v>0.95238095238095233</v>
      </c>
    </row>
    <row r="435" spans="1:29" ht="15" customHeight="1" thickBot="1" x14ac:dyDescent="0.4">
      <c r="A435" s="185"/>
      <c r="B435" s="18" t="s">
        <v>22</v>
      </c>
      <c r="C435" s="19" t="s">
        <v>20</v>
      </c>
      <c r="D435" s="19">
        <v>2</v>
      </c>
      <c r="E435" s="18" t="s">
        <v>109</v>
      </c>
      <c r="F435" s="40">
        <f>'GT Input'!C11</f>
        <v>7</v>
      </c>
      <c r="G435" s="40">
        <f>'GT Input'!D11</f>
        <v>11</v>
      </c>
      <c r="H435" s="40">
        <f>'GT Input'!E11</f>
        <v>7</v>
      </c>
      <c r="I435" s="40">
        <f>'GT Input'!F11</f>
        <v>11</v>
      </c>
      <c r="J435" s="41">
        <f>'Detailed Results'!G435</f>
        <v>7</v>
      </c>
      <c r="K435" s="41">
        <f>'Detailed Results'!H435</f>
        <v>7</v>
      </c>
      <c r="L435" s="42">
        <f t="shared" si="72"/>
        <v>1</v>
      </c>
      <c r="M435" s="42">
        <f t="shared" si="80"/>
        <v>1</v>
      </c>
      <c r="N435" s="42">
        <f t="shared" si="73"/>
        <v>1</v>
      </c>
      <c r="O435" s="43">
        <f>'Detailed Results'!I435</f>
        <v>11</v>
      </c>
      <c r="P435" s="43">
        <f>'Detailed Results'!J435</f>
        <v>11</v>
      </c>
      <c r="Q435" s="44">
        <f t="shared" si="74"/>
        <v>1</v>
      </c>
      <c r="R435" s="44">
        <f t="shared" si="81"/>
        <v>1</v>
      </c>
      <c r="S435" s="44">
        <f t="shared" si="75"/>
        <v>1</v>
      </c>
      <c r="T435" s="45">
        <f>'Detailed Results'!K435</f>
        <v>7</v>
      </c>
      <c r="U435" s="45">
        <f>'Detailed Results'!L435</f>
        <v>7</v>
      </c>
      <c r="V435" s="46">
        <f t="shared" si="76"/>
        <v>1</v>
      </c>
      <c r="W435" s="46">
        <f t="shared" si="82"/>
        <v>1</v>
      </c>
      <c r="X435" s="46">
        <f t="shared" si="77"/>
        <v>1</v>
      </c>
      <c r="Y435" s="47">
        <f>'Detailed Results'!M435</f>
        <v>11</v>
      </c>
      <c r="Z435" s="47">
        <f>'Detailed Results'!N435</f>
        <v>11</v>
      </c>
      <c r="AA435" s="48">
        <f t="shared" si="78"/>
        <v>1</v>
      </c>
      <c r="AB435" s="48">
        <f t="shared" si="83"/>
        <v>1</v>
      </c>
      <c r="AC435" s="48">
        <f t="shared" si="79"/>
        <v>1</v>
      </c>
    </row>
    <row r="436" spans="1:29" ht="15" customHeight="1" thickBot="1" x14ac:dyDescent="0.4">
      <c r="A436" s="185"/>
      <c r="B436" s="16" t="s">
        <v>22</v>
      </c>
      <c r="C436" s="17" t="s">
        <v>20</v>
      </c>
      <c r="D436" s="17">
        <v>3</v>
      </c>
      <c r="E436" s="16" t="s">
        <v>17</v>
      </c>
      <c r="F436" s="40">
        <f>'GT Input'!C11</f>
        <v>7</v>
      </c>
      <c r="G436" s="40">
        <f>'GT Input'!D11</f>
        <v>11</v>
      </c>
      <c r="H436" s="40">
        <f>'GT Input'!E11</f>
        <v>7</v>
      </c>
      <c r="I436" s="40">
        <f>'GT Input'!F11</f>
        <v>11</v>
      </c>
      <c r="J436" s="41">
        <f>'Detailed Results'!G436</f>
        <v>7</v>
      </c>
      <c r="K436" s="41">
        <f>'Detailed Results'!H436</f>
        <v>7</v>
      </c>
      <c r="L436" s="42">
        <f t="shared" si="72"/>
        <v>1</v>
      </c>
      <c r="M436" s="42">
        <f t="shared" si="80"/>
        <v>1</v>
      </c>
      <c r="N436" s="42">
        <f t="shared" si="73"/>
        <v>1</v>
      </c>
      <c r="O436" s="43">
        <f>'Detailed Results'!I436</f>
        <v>10</v>
      </c>
      <c r="P436" s="43">
        <f>'Detailed Results'!J436</f>
        <v>10</v>
      </c>
      <c r="Q436" s="44">
        <f t="shared" si="74"/>
        <v>1</v>
      </c>
      <c r="R436" s="44">
        <f t="shared" si="81"/>
        <v>0.90909090909090906</v>
      </c>
      <c r="S436" s="44">
        <f t="shared" si="75"/>
        <v>0.95238095238095233</v>
      </c>
      <c r="T436" s="45">
        <f>'Detailed Results'!K436</f>
        <v>7</v>
      </c>
      <c r="U436" s="45">
        <f>'Detailed Results'!L436</f>
        <v>7</v>
      </c>
      <c r="V436" s="46">
        <f t="shared" si="76"/>
        <v>1</v>
      </c>
      <c r="W436" s="46">
        <f t="shared" si="82"/>
        <v>1</v>
      </c>
      <c r="X436" s="46">
        <f t="shared" si="77"/>
        <v>1</v>
      </c>
      <c r="Y436" s="47">
        <f>'Detailed Results'!M436</f>
        <v>10</v>
      </c>
      <c r="Z436" s="47">
        <f>'Detailed Results'!N436</f>
        <v>10</v>
      </c>
      <c r="AA436" s="48">
        <f t="shared" si="78"/>
        <v>1</v>
      </c>
      <c r="AB436" s="48">
        <f t="shared" si="83"/>
        <v>0.90909090909090906</v>
      </c>
      <c r="AC436" s="48">
        <f t="shared" si="79"/>
        <v>0.95238095238095233</v>
      </c>
    </row>
    <row r="437" spans="1:29" s="64" customFormat="1" ht="15" customHeight="1" thickBot="1" x14ac:dyDescent="0.4">
      <c r="A437" s="185"/>
      <c r="B437" s="53" t="s">
        <v>22</v>
      </c>
      <c r="C437" s="54" t="s">
        <v>20</v>
      </c>
      <c r="D437" s="54">
        <v>3</v>
      </c>
      <c r="E437" s="53" t="s">
        <v>109</v>
      </c>
      <c r="F437" s="55">
        <f>'GT Input'!C11</f>
        <v>7</v>
      </c>
      <c r="G437" s="55">
        <f>'GT Input'!D11</f>
        <v>11</v>
      </c>
      <c r="H437" s="55">
        <f>'GT Input'!E11</f>
        <v>7</v>
      </c>
      <c r="I437" s="55">
        <f>'GT Input'!F11</f>
        <v>11</v>
      </c>
      <c r="J437" s="56">
        <f>'Detailed Results'!G437</f>
        <v>7</v>
      </c>
      <c r="K437" s="56">
        <f>'Detailed Results'!H437</f>
        <v>7</v>
      </c>
      <c r="L437" s="57">
        <f t="shared" si="72"/>
        <v>1</v>
      </c>
      <c r="M437" s="57">
        <f t="shared" si="80"/>
        <v>1</v>
      </c>
      <c r="N437" s="57">
        <f t="shared" si="73"/>
        <v>1</v>
      </c>
      <c r="O437" s="58">
        <f>'Detailed Results'!I437</f>
        <v>10</v>
      </c>
      <c r="P437" s="58">
        <f>'Detailed Results'!J437</f>
        <v>10</v>
      </c>
      <c r="Q437" s="59">
        <f t="shared" si="74"/>
        <v>1</v>
      </c>
      <c r="R437" s="59">
        <f t="shared" si="81"/>
        <v>0.90909090909090906</v>
      </c>
      <c r="S437" s="59">
        <f t="shared" si="75"/>
        <v>0.95238095238095233</v>
      </c>
      <c r="T437" s="60">
        <f>'Detailed Results'!K437</f>
        <v>7</v>
      </c>
      <c r="U437" s="60">
        <f>'Detailed Results'!L437</f>
        <v>7</v>
      </c>
      <c r="V437" s="61">
        <f t="shared" si="76"/>
        <v>1</v>
      </c>
      <c r="W437" s="61">
        <f t="shared" si="82"/>
        <v>1</v>
      </c>
      <c r="X437" s="61">
        <f t="shared" si="77"/>
        <v>1</v>
      </c>
      <c r="Y437" s="62">
        <f>'Detailed Results'!M437</f>
        <v>10</v>
      </c>
      <c r="Z437" s="62">
        <f>'Detailed Results'!N437</f>
        <v>10</v>
      </c>
      <c r="AA437" s="63">
        <f t="shared" si="78"/>
        <v>1</v>
      </c>
      <c r="AB437" s="63">
        <f t="shared" si="83"/>
        <v>0.90909090909090906</v>
      </c>
      <c r="AC437" s="63">
        <f t="shared" si="79"/>
        <v>0.95238095238095233</v>
      </c>
    </row>
    <row r="438" spans="1:29" ht="15" customHeight="1" thickBot="1" x14ac:dyDescent="0.4">
      <c r="A438" s="185" t="s">
        <v>30</v>
      </c>
      <c r="B438" s="65" t="s">
        <v>15</v>
      </c>
      <c r="C438" s="66" t="s">
        <v>16</v>
      </c>
      <c r="D438" s="66">
        <v>1</v>
      </c>
      <c r="E438" s="65" t="s">
        <v>17</v>
      </c>
      <c r="F438" s="67">
        <f>'GT Input'!C12</f>
        <v>9</v>
      </c>
      <c r="G438" s="67">
        <f>'GT Input'!D12</f>
        <v>12</v>
      </c>
      <c r="H438" s="67">
        <f>'GT Input'!E12</f>
        <v>9</v>
      </c>
      <c r="I438" s="67">
        <f>'GT Input'!F12</f>
        <v>12</v>
      </c>
      <c r="J438" s="68">
        <f>'Detailed Results'!G438</f>
        <v>9</v>
      </c>
      <c r="K438" s="68">
        <f>'Detailed Results'!H438</f>
        <v>9</v>
      </c>
      <c r="L438" s="69">
        <f t="shared" si="72"/>
        <v>1</v>
      </c>
      <c r="M438" s="69">
        <f t="shared" si="80"/>
        <v>1</v>
      </c>
      <c r="N438" s="69">
        <f t="shared" si="73"/>
        <v>1</v>
      </c>
      <c r="O438" s="70">
        <f>'Detailed Results'!I438</f>
        <v>12</v>
      </c>
      <c r="P438" s="70">
        <f>'Detailed Results'!J438</f>
        <v>12</v>
      </c>
      <c r="Q438" s="71">
        <f t="shared" si="74"/>
        <v>1</v>
      </c>
      <c r="R438" s="71">
        <f t="shared" si="81"/>
        <v>1</v>
      </c>
      <c r="S438" s="71">
        <f t="shared" si="75"/>
        <v>1</v>
      </c>
      <c r="T438" s="72">
        <f>'Detailed Results'!K438</f>
        <v>9</v>
      </c>
      <c r="U438" s="72">
        <f>'Detailed Results'!L438</f>
        <v>9</v>
      </c>
      <c r="V438" s="73">
        <f t="shared" si="76"/>
        <v>1</v>
      </c>
      <c r="W438" s="73">
        <f t="shared" si="82"/>
        <v>1</v>
      </c>
      <c r="X438" s="73">
        <f t="shared" si="77"/>
        <v>1</v>
      </c>
      <c r="Y438" s="74">
        <f>'Detailed Results'!M438</f>
        <v>12</v>
      </c>
      <c r="Z438" s="74">
        <f>'Detailed Results'!N438</f>
        <v>9</v>
      </c>
      <c r="AA438" s="75">
        <f t="shared" si="78"/>
        <v>0.75</v>
      </c>
      <c r="AB438" s="75">
        <f t="shared" si="83"/>
        <v>0.75</v>
      </c>
      <c r="AC438" s="75">
        <f t="shared" si="79"/>
        <v>0.75</v>
      </c>
    </row>
    <row r="439" spans="1:29" ht="15" customHeight="1" thickBot="1" x14ac:dyDescent="0.4">
      <c r="A439" s="185"/>
      <c r="B439" s="7" t="s">
        <v>15</v>
      </c>
      <c r="C439" s="8" t="s">
        <v>16</v>
      </c>
      <c r="D439" s="8">
        <v>1</v>
      </c>
      <c r="E439" s="7" t="s">
        <v>109</v>
      </c>
      <c r="F439" s="40">
        <f>'GT Input'!C12</f>
        <v>9</v>
      </c>
      <c r="G439" s="40">
        <f>'GT Input'!D12</f>
        <v>12</v>
      </c>
      <c r="H439" s="40">
        <f>'GT Input'!E12</f>
        <v>9</v>
      </c>
      <c r="I439" s="40">
        <f>'GT Input'!F12</f>
        <v>12</v>
      </c>
      <c r="J439" s="41">
        <f>'Detailed Results'!G439</f>
        <v>9</v>
      </c>
      <c r="K439" s="41">
        <f>'Detailed Results'!H439</f>
        <v>9</v>
      </c>
      <c r="L439" s="42">
        <f t="shared" si="72"/>
        <v>1</v>
      </c>
      <c r="M439" s="42">
        <f t="shared" si="80"/>
        <v>1</v>
      </c>
      <c r="N439" s="42">
        <f t="shared" si="73"/>
        <v>1</v>
      </c>
      <c r="O439" s="43">
        <f>'Detailed Results'!I439</f>
        <v>12</v>
      </c>
      <c r="P439" s="43">
        <f>'Detailed Results'!J439</f>
        <v>12</v>
      </c>
      <c r="Q439" s="44">
        <f t="shared" si="74"/>
        <v>1</v>
      </c>
      <c r="R439" s="44">
        <f t="shared" si="81"/>
        <v>1</v>
      </c>
      <c r="S439" s="44">
        <f t="shared" si="75"/>
        <v>1</v>
      </c>
      <c r="T439" s="45">
        <f>'Detailed Results'!K439</f>
        <v>9</v>
      </c>
      <c r="U439" s="45">
        <f>'Detailed Results'!L439</f>
        <v>9</v>
      </c>
      <c r="V439" s="46">
        <f t="shared" si="76"/>
        <v>1</v>
      </c>
      <c r="W439" s="46">
        <f t="shared" si="82"/>
        <v>1</v>
      </c>
      <c r="X439" s="46">
        <f t="shared" si="77"/>
        <v>1</v>
      </c>
      <c r="Y439" s="47">
        <f>'Detailed Results'!M439</f>
        <v>12</v>
      </c>
      <c r="Z439" s="47">
        <f>'Detailed Results'!N439</f>
        <v>9</v>
      </c>
      <c r="AA439" s="48">
        <f t="shared" si="78"/>
        <v>0.75</v>
      </c>
      <c r="AB439" s="48">
        <f t="shared" si="83"/>
        <v>0.75</v>
      </c>
      <c r="AC439" s="48">
        <f t="shared" si="79"/>
        <v>0.75</v>
      </c>
    </row>
    <row r="440" spans="1:29" ht="15" customHeight="1" thickBot="1" x14ac:dyDescent="0.4">
      <c r="A440" s="185"/>
      <c r="B440" s="10" t="s">
        <v>15</v>
      </c>
      <c r="C440" s="11" t="s">
        <v>16</v>
      </c>
      <c r="D440" s="11">
        <v>2</v>
      </c>
      <c r="E440" s="10" t="s">
        <v>17</v>
      </c>
      <c r="F440" s="40">
        <f>'GT Input'!C12</f>
        <v>9</v>
      </c>
      <c r="G440" s="40">
        <f>'GT Input'!D12</f>
        <v>12</v>
      </c>
      <c r="H440" s="40">
        <f>'GT Input'!E12</f>
        <v>9</v>
      </c>
      <c r="I440" s="40">
        <f>'GT Input'!F12</f>
        <v>12</v>
      </c>
      <c r="J440" s="41">
        <f>'Detailed Results'!G440</f>
        <v>9</v>
      </c>
      <c r="K440" s="41">
        <f>'Detailed Results'!H440</f>
        <v>9</v>
      </c>
      <c r="L440" s="42">
        <f t="shared" si="72"/>
        <v>1</v>
      </c>
      <c r="M440" s="42">
        <f t="shared" si="80"/>
        <v>1</v>
      </c>
      <c r="N440" s="42">
        <f t="shared" si="73"/>
        <v>1</v>
      </c>
      <c r="O440" s="43">
        <f>'Detailed Results'!I440</f>
        <v>12</v>
      </c>
      <c r="P440" s="43">
        <f>'Detailed Results'!J440</f>
        <v>12</v>
      </c>
      <c r="Q440" s="44">
        <f t="shared" si="74"/>
        <v>1</v>
      </c>
      <c r="R440" s="44">
        <f t="shared" si="81"/>
        <v>1</v>
      </c>
      <c r="S440" s="44">
        <f t="shared" si="75"/>
        <v>1</v>
      </c>
      <c r="T440" s="45">
        <f>'Detailed Results'!K440</f>
        <v>9</v>
      </c>
      <c r="U440" s="45">
        <f>'Detailed Results'!L440</f>
        <v>9</v>
      </c>
      <c r="V440" s="46">
        <f t="shared" si="76"/>
        <v>1</v>
      </c>
      <c r="W440" s="46">
        <f t="shared" si="82"/>
        <v>1</v>
      </c>
      <c r="X440" s="46">
        <f t="shared" si="77"/>
        <v>1</v>
      </c>
      <c r="Y440" s="47">
        <f>'Detailed Results'!M440</f>
        <v>12</v>
      </c>
      <c r="Z440" s="47">
        <f>'Detailed Results'!N440</f>
        <v>9</v>
      </c>
      <c r="AA440" s="48">
        <f t="shared" si="78"/>
        <v>0.75</v>
      </c>
      <c r="AB440" s="48">
        <f t="shared" si="83"/>
        <v>0.75</v>
      </c>
      <c r="AC440" s="48">
        <f t="shared" si="79"/>
        <v>0.75</v>
      </c>
    </row>
    <row r="441" spans="1:29" ht="15" customHeight="1" thickBot="1" x14ac:dyDescent="0.4">
      <c r="A441" s="185"/>
      <c r="B441" s="10" t="s">
        <v>15</v>
      </c>
      <c r="C441" s="11" t="s">
        <v>16</v>
      </c>
      <c r="D441" s="11">
        <v>2</v>
      </c>
      <c r="E441" s="10" t="s">
        <v>109</v>
      </c>
      <c r="F441" s="40">
        <f>'GT Input'!C12</f>
        <v>9</v>
      </c>
      <c r="G441" s="40">
        <f>'GT Input'!D12</f>
        <v>12</v>
      </c>
      <c r="H441" s="40">
        <f>'GT Input'!E12</f>
        <v>9</v>
      </c>
      <c r="I441" s="40">
        <f>'GT Input'!F12</f>
        <v>12</v>
      </c>
      <c r="J441" s="41">
        <f>'Detailed Results'!G441</f>
        <v>9</v>
      </c>
      <c r="K441" s="41">
        <f>'Detailed Results'!H441</f>
        <v>9</v>
      </c>
      <c r="L441" s="42">
        <f t="shared" si="72"/>
        <v>1</v>
      </c>
      <c r="M441" s="42">
        <f t="shared" si="80"/>
        <v>1</v>
      </c>
      <c r="N441" s="42">
        <f t="shared" si="73"/>
        <v>1</v>
      </c>
      <c r="O441" s="43">
        <f>'Detailed Results'!I441</f>
        <v>12</v>
      </c>
      <c r="P441" s="43">
        <f>'Detailed Results'!J441</f>
        <v>12</v>
      </c>
      <c r="Q441" s="44">
        <f t="shared" si="74"/>
        <v>1</v>
      </c>
      <c r="R441" s="44">
        <f t="shared" si="81"/>
        <v>1</v>
      </c>
      <c r="S441" s="44">
        <f t="shared" si="75"/>
        <v>1</v>
      </c>
      <c r="T441" s="45">
        <f>'Detailed Results'!K441</f>
        <v>9</v>
      </c>
      <c r="U441" s="45">
        <f>'Detailed Results'!L441</f>
        <v>9</v>
      </c>
      <c r="V441" s="46">
        <f t="shared" si="76"/>
        <v>1</v>
      </c>
      <c r="W441" s="46">
        <f t="shared" si="82"/>
        <v>1</v>
      </c>
      <c r="X441" s="46">
        <f t="shared" si="77"/>
        <v>1</v>
      </c>
      <c r="Y441" s="47">
        <f>'Detailed Results'!M441</f>
        <v>12</v>
      </c>
      <c r="Z441" s="47">
        <f>'Detailed Results'!N441</f>
        <v>9</v>
      </c>
      <c r="AA441" s="48">
        <f t="shared" si="78"/>
        <v>0.75</v>
      </c>
      <c r="AB441" s="48">
        <f t="shared" si="83"/>
        <v>0.75</v>
      </c>
      <c r="AC441" s="48">
        <f t="shared" si="79"/>
        <v>0.75</v>
      </c>
    </row>
    <row r="442" spans="1:29" ht="15" customHeight="1" thickBot="1" x14ac:dyDescent="0.4">
      <c r="A442" s="185"/>
      <c r="B442" s="7" t="s">
        <v>15</v>
      </c>
      <c r="C442" s="8" t="s">
        <v>16</v>
      </c>
      <c r="D442" s="8">
        <v>3</v>
      </c>
      <c r="E442" s="7" t="s">
        <v>17</v>
      </c>
      <c r="F442" s="40">
        <f>'GT Input'!C12</f>
        <v>9</v>
      </c>
      <c r="G442" s="40">
        <f>'GT Input'!D12</f>
        <v>12</v>
      </c>
      <c r="H442" s="40">
        <f>'GT Input'!E12</f>
        <v>9</v>
      </c>
      <c r="I442" s="40">
        <f>'GT Input'!F12</f>
        <v>12</v>
      </c>
      <c r="J442" s="41">
        <f>'Detailed Results'!G442</f>
        <v>9</v>
      </c>
      <c r="K442" s="41">
        <f>'Detailed Results'!H442</f>
        <v>9</v>
      </c>
      <c r="L442" s="42">
        <f t="shared" si="72"/>
        <v>1</v>
      </c>
      <c r="M442" s="42">
        <f t="shared" si="80"/>
        <v>1</v>
      </c>
      <c r="N442" s="42">
        <f t="shared" si="73"/>
        <v>1</v>
      </c>
      <c r="O442" s="43">
        <f>'Detailed Results'!I442</f>
        <v>12</v>
      </c>
      <c r="P442" s="43">
        <f>'Detailed Results'!J442</f>
        <v>12</v>
      </c>
      <c r="Q442" s="44">
        <f t="shared" si="74"/>
        <v>1</v>
      </c>
      <c r="R442" s="44">
        <f t="shared" si="81"/>
        <v>1</v>
      </c>
      <c r="S442" s="44">
        <f t="shared" si="75"/>
        <v>1</v>
      </c>
      <c r="T442" s="45">
        <f>'Detailed Results'!K442</f>
        <v>9</v>
      </c>
      <c r="U442" s="45">
        <f>'Detailed Results'!L442</f>
        <v>9</v>
      </c>
      <c r="V442" s="46">
        <f t="shared" si="76"/>
        <v>1</v>
      </c>
      <c r="W442" s="46">
        <f t="shared" si="82"/>
        <v>1</v>
      </c>
      <c r="X442" s="46">
        <f t="shared" si="77"/>
        <v>1</v>
      </c>
      <c r="Y442" s="47">
        <f>'Detailed Results'!M442</f>
        <v>12</v>
      </c>
      <c r="Z442" s="47">
        <f>'Detailed Results'!N442</f>
        <v>9</v>
      </c>
      <c r="AA442" s="48">
        <f t="shared" si="78"/>
        <v>0.75</v>
      </c>
      <c r="AB442" s="48">
        <f t="shared" si="83"/>
        <v>0.75</v>
      </c>
      <c r="AC442" s="48">
        <f t="shared" si="79"/>
        <v>0.75</v>
      </c>
    </row>
    <row r="443" spans="1:29" ht="15" customHeight="1" thickBot="1" x14ac:dyDescent="0.4">
      <c r="A443" s="185"/>
      <c r="B443" s="7" t="s">
        <v>15</v>
      </c>
      <c r="C443" s="8" t="s">
        <v>16</v>
      </c>
      <c r="D443" s="8">
        <v>3</v>
      </c>
      <c r="E443" s="7" t="s">
        <v>109</v>
      </c>
      <c r="F443" s="40">
        <f>'GT Input'!C12</f>
        <v>9</v>
      </c>
      <c r="G443" s="40">
        <f>'GT Input'!D12</f>
        <v>12</v>
      </c>
      <c r="H443" s="40">
        <f>'GT Input'!E12</f>
        <v>9</v>
      </c>
      <c r="I443" s="40">
        <f>'GT Input'!F12</f>
        <v>12</v>
      </c>
      <c r="J443" s="41">
        <f>'Detailed Results'!G443</f>
        <v>9</v>
      </c>
      <c r="K443" s="41">
        <f>'Detailed Results'!H443</f>
        <v>9</v>
      </c>
      <c r="L443" s="42">
        <f t="shared" si="72"/>
        <v>1</v>
      </c>
      <c r="M443" s="42">
        <f t="shared" si="80"/>
        <v>1</v>
      </c>
      <c r="N443" s="42">
        <f t="shared" si="73"/>
        <v>1</v>
      </c>
      <c r="O443" s="43">
        <f>'Detailed Results'!I443</f>
        <v>12</v>
      </c>
      <c r="P443" s="43">
        <f>'Detailed Results'!J443</f>
        <v>12</v>
      </c>
      <c r="Q443" s="44">
        <f t="shared" si="74"/>
        <v>1</v>
      </c>
      <c r="R443" s="44">
        <f t="shared" si="81"/>
        <v>1</v>
      </c>
      <c r="S443" s="44">
        <f t="shared" si="75"/>
        <v>1</v>
      </c>
      <c r="T443" s="45">
        <f>'Detailed Results'!K443</f>
        <v>9</v>
      </c>
      <c r="U443" s="45">
        <f>'Detailed Results'!L443</f>
        <v>9</v>
      </c>
      <c r="V443" s="46">
        <f t="shared" si="76"/>
        <v>1</v>
      </c>
      <c r="W443" s="46">
        <f t="shared" si="82"/>
        <v>1</v>
      </c>
      <c r="X443" s="46">
        <f t="shared" si="77"/>
        <v>1</v>
      </c>
      <c r="Y443" s="47">
        <f>'Detailed Results'!M443</f>
        <v>12</v>
      </c>
      <c r="Z443" s="47">
        <f>'Detailed Results'!N443</f>
        <v>9</v>
      </c>
      <c r="AA443" s="48">
        <f t="shared" si="78"/>
        <v>0.75</v>
      </c>
      <c r="AB443" s="48">
        <f t="shared" si="83"/>
        <v>0.75</v>
      </c>
      <c r="AC443" s="48">
        <f t="shared" si="79"/>
        <v>0.75</v>
      </c>
    </row>
    <row r="444" spans="1:29" ht="15" customHeight="1" thickBot="1" x14ac:dyDescent="0.4">
      <c r="A444" s="185"/>
      <c r="B444" s="10" t="s">
        <v>15</v>
      </c>
      <c r="C444" s="11" t="s">
        <v>19</v>
      </c>
      <c r="D444" s="11">
        <v>1</v>
      </c>
      <c r="E444" s="10" t="s">
        <v>17</v>
      </c>
      <c r="F444" s="40">
        <f>'GT Input'!C12</f>
        <v>9</v>
      </c>
      <c r="G444" s="40">
        <f>'GT Input'!D12</f>
        <v>12</v>
      </c>
      <c r="H444" s="40">
        <f>'GT Input'!E12</f>
        <v>9</v>
      </c>
      <c r="I444" s="40">
        <f>'GT Input'!F12</f>
        <v>12</v>
      </c>
      <c r="J444" s="41">
        <f>'Detailed Results'!G444</f>
        <v>9</v>
      </c>
      <c r="K444" s="41">
        <f>'Detailed Results'!H444</f>
        <v>9</v>
      </c>
      <c r="L444" s="42">
        <f t="shared" si="72"/>
        <v>1</v>
      </c>
      <c r="M444" s="42">
        <f t="shared" si="80"/>
        <v>1</v>
      </c>
      <c r="N444" s="42">
        <f t="shared" si="73"/>
        <v>1</v>
      </c>
      <c r="O444" s="43">
        <f>'Detailed Results'!I444</f>
        <v>12</v>
      </c>
      <c r="P444" s="43">
        <f>'Detailed Results'!J444</f>
        <v>12</v>
      </c>
      <c r="Q444" s="44">
        <f t="shared" si="74"/>
        <v>1</v>
      </c>
      <c r="R444" s="44">
        <f t="shared" si="81"/>
        <v>1</v>
      </c>
      <c r="S444" s="44">
        <f t="shared" si="75"/>
        <v>1</v>
      </c>
      <c r="T444" s="45">
        <f>'Detailed Results'!K444</f>
        <v>9</v>
      </c>
      <c r="U444" s="45">
        <f>'Detailed Results'!L444</f>
        <v>9</v>
      </c>
      <c r="V444" s="46">
        <f t="shared" si="76"/>
        <v>1</v>
      </c>
      <c r="W444" s="46">
        <f t="shared" si="82"/>
        <v>1</v>
      </c>
      <c r="X444" s="46">
        <f t="shared" si="77"/>
        <v>1</v>
      </c>
      <c r="Y444" s="47">
        <f>'Detailed Results'!M444</f>
        <v>12</v>
      </c>
      <c r="Z444" s="47">
        <f>'Detailed Results'!N444</f>
        <v>9</v>
      </c>
      <c r="AA444" s="48">
        <f t="shared" si="78"/>
        <v>0.75</v>
      </c>
      <c r="AB444" s="48">
        <f t="shared" si="83"/>
        <v>0.75</v>
      </c>
      <c r="AC444" s="48">
        <f t="shared" si="79"/>
        <v>0.75</v>
      </c>
    </row>
    <row r="445" spans="1:29" ht="15" customHeight="1" thickBot="1" x14ac:dyDescent="0.4">
      <c r="A445" s="185"/>
      <c r="B445" s="10" t="s">
        <v>15</v>
      </c>
      <c r="C445" s="11" t="s">
        <v>19</v>
      </c>
      <c r="D445" s="11">
        <v>1</v>
      </c>
      <c r="E445" s="10" t="s">
        <v>109</v>
      </c>
      <c r="F445" s="40">
        <f>'GT Input'!C12</f>
        <v>9</v>
      </c>
      <c r="G445" s="40">
        <f>'GT Input'!D12</f>
        <v>12</v>
      </c>
      <c r="H445" s="40">
        <f>'GT Input'!E12</f>
        <v>9</v>
      </c>
      <c r="I445" s="40">
        <f>'GT Input'!F12</f>
        <v>12</v>
      </c>
      <c r="J445" s="41">
        <f>'Detailed Results'!G445</f>
        <v>9</v>
      </c>
      <c r="K445" s="41">
        <f>'Detailed Results'!H445</f>
        <v>9</v>
      </c>
      <c r="L445" s="42">
        <f t="shared" si="72"/>
        <v>1</v>
      </c>
      <c r="M445" s="42">
        <f t="shared" si="80"/>
        <v>1</v>
      </c>
      <c r="N445" s="42">
        <f t="shared" si="73"/>
        <v>1</v>
      </c>
      <c r="O445" s="43">
        <f>'Detailed Results'!I445</f>
        <v>12</v>
      </c>
      <c r="P445" s="43">
        <f>'Detailed Results'!J445</f>
        <v>12</v>
      </c>
      <c r="Q445" s="44">
        <f t="shared" si="74"/>
        <v>1</v>
      </c>
      <c r="R445" s="44">
        <f t="shared" si="81"/>
        <v>1</v>
      </c>
      <c r="S445" s="44">
        <f t="shared" si="75"/>
        <v>1</v>
      </c>
      <c r="T445" s="45">
        <f>'Detailed Results'!K445</f>
        <v>9</v>
      </c>
      <c r="U445" s="45">
        <f>'Detailed Results'!L445</f>
        <v>9</v>
      </c>
      <c r="V445" s="46">
        <f t="shared" si="76"/>
        <v>1</v>
      </c>
      <c r="W445" s="46">
        <f t="shared" si="82"/>
        <v>1</v>
      </c>
      <c r="X445" s="46">
        <f t="shared" si="77"/>
        <v>1</v>
      </c>
      <c r="Y445" s="47">
        <f>'Detailed Results'!M445</f>
        <v>12</v>
      </c>
      <c r="Z445" s="47">
        <f>'Detailed Results'!N445</f>
        <v>9</v>
      </c>
      <c r="AA445" s="48">
        <f t="shared" si="78"/>
        <v>0.75</v>
      </c>
      <c r="AB445" s="48">
        <f t="shared" si="83"/>
        <v>0.75</v>
      </c>
      <c r="AC445" s="48">
        <f t="shared" si="79"/>
        <v>0.75</v>
      </c>
    </row>
    <row r="446" spans="1:29" ht="15" customHeight="1" thickBot="1" x14ac:dyDescent="0.4">
      <c r="A446" s="185"/>
      <c r="B446" s="7" t="s">
        <v>15</v>
      </c>
      <c r="C446" s="8" t="s">
        <v>19</v>
      </c>
      <c r="D446" s="8">
        <v>2</v>
      </c>
      <c r="E446" s="7" t="s">
        <v>17</v>
      </c>
      <c r="F446" s="40">
        <f>'GT Input'!C12</f>
        <v>9</v>
      </c>
      <c r="G446" s="40">
        <f>'GT Input'!D12</f>
        <v>12</v>
      </c>
      <c r="H446" s="40">
        <f>'GT Input'!E12</f>
        <v>9</v>
      </c>
      <c r="I446" s="40">
        <f>'GT Input'!F12</f>
        <v>12</v>
      </c>
      <c r="J446" s="41">
        <f>'Detailed Results'!G446</f>
        <v>9</v>
      </c>
      <c r="K446" s="41">
        <f>'Detailed Results'!H446</f>
        <v>9</v>
      </c>
      <c r="L446" s="42">
        <f t="shared" si="72"/>
        <v>1</v>
      </c>
      <c r="M446" s="42">
        <f t="shared" si="80"/>
        <v>1</v>
      </c>
      <c r="N446" s="42">
        <f t="shared" si="73"/>
        <v>1</v>
      </c>
      <c r="O446" s="43">
        <f>'Detailed Results'!I446</f>
        <v>16</v>
      </c>
      <c r="P446" s="43">
        <f>'Detailed Results'!J446</f>
        <v>16</v>
      </c>
      <c r="Q446" s="44">
        <f t="shared" si="74"/>
        <v>1</v>
      </c>
      <c r="R446" s="44">
        <f t="shared" si="81"/>
        <v>1.3333333333333333</v>
      </c>
      <c r="S446" s="44">
        <f t="shared" si="75"/>
        <v>1.142857142857143</v>
      </c>
      <c r="T446" s="45">
        <f>'Detailed Results'!K446</f>
        <v>9</v>
      </c>
      <c r="U446" s="45">
        <f>'Detailed Results'!L446</f>
        <v>9</v>
      </c>
      <c r="V446" s="46">
        <f t="shared" si="76"/>
        <v>1</v>
      </c>
      <c r="W446" s="46">
        <f t="shared" si="82"/>
        <v>1</v>
      </c>
      <c r="X446" s="46">
        <f t="shared" si="77"/>
        <v>1</v>
      </c>
      <c r="Y446" s="47">
        <f>'Detailed Results'!M446</f>
        <v>16</v>
      </c>
      <c r="Z446" s="47">
        <f>'Detailed Results'!N446</f>
        <v>10</v>
      </c>
      <c r="AA446" s="48">
        <f t="shared" si="78"/>
        <v>0.625</v>
      </c>
      <c r="AB446" s="48">
        <f t="shared" si="83"/>
        <v>0.83333333333333337</v>
      </c>
      <c r="AC446" s="48">
        <f t="shared" si="79"/>
        <v>0.7142857142857143</v>
      </c>
    </row>
    <row r="447" spans="1:29" ht="15" customHeight="1" thickBot="1" x14ac:dyDescent="0.4">
      <c r="A447" s="185"/>
      <c r="B447" s="7" t="s">
        <v>15</v>
      </c>
      <c r="C447" s="8" t="s">
        <v>19</v>
      </c>
      <c r="D447" s="8">
        <v>2</v>
      </c>
      <c r="E447" s="7" t="s">
        <v>109</v>
      </c>
      <c r="F447" s="40">
        <f>'GT Input'!C12</f>
        <v>9</v>
      </c>
      <c r="G447" s="40">
        <f>'GT Input'!D12</f>
        <v>12</v>
      </c>
      <c r="H447" s="40">
        <f>'GT Input'!E12</f>
        <v>9</v>
      </c>
      <c r="I447" s="40">
        <f>'GT Input'!F12</f>
        <v>12</v>
      </c>
      <c r="J447" s="41">
        <f>'Detailed Results'!G447</f>
        <v>9</v>
      </c>
      <c r="K447" s="41">
        <f>'Detailed Results'!H447</f>
        <v>9</v>
      </c>
      <c r="L447" s="42">
        <f t="shared" si="72"/>
        <v>1</v>
      </c>
      <c r="M447" s="42">
        <f t="shared" si="80"/>
        <v>1</v>
      </c>
      <c r="N447" s="42">
        <f t="shared" si="73"/>
        <v>1</v>
      </c>
      <c r="O447" s="43">
        <f>'Detailed Results'!I447</f>
        <v>12</v>
      </c>
      <c r="P447" s="43">
        <f>'Detailed Results'!J447</f>
        <v>12</v>
      </c>
      <c r="Q447" s="44">
        <f t="shared" si="74"/>
        <v>1</v>
      </c>
      <c r="R447" s="44">
        <f t="shared" si="81"/>
        <v>1</v>
      </c>
      <c r="S447" s="44">
        <f t="shared" si="75"/>
        <v>1</v>
      </c>
      <c r="T447" s="45">
        <f>'Detailed Results'!K447</f>
        <v>9</v>
      </c>
      <c r="U447" s="45">
        <f>'Detailed Results'!L447</f>
        <v>9</v>
      </c>
      <c r="V447" s="46">
        <f t="shared" si="76"/>
        <v>1</v>
      </c>
      <c r="W447" s="46">
        <f t="shared" si="82"/>
        <v>1</v>
      </c>
      <c r="X447" s="46">
        <f t="shared" si="77"/>
        <v>1</v>
      </c>
      <c r="Y447" s="47">
        <f>'Detailed Results'!M447</f>
        <v>12</v>
      </c>
      <c r="Z447" s="47">
        <f>'Detailed Results'!N447</f>
        <v>9</v>
      </c>
      <c r="AA447" s="48">
        <f t="shared" si="78"/>
        <v>0.75</v>
      </c>
      <c r="AB447" s="48">
        <f t="shared" si="83"/>
        <v>0.75</v>
      </c>
      <c r="AC447" s="48">
        <f t="shared" si="79"/>
        <v>0.75</v>
      </c>
    </row>
    <row r="448" spans="1:29" ht="15" customHeight="1" thickBot="1" x14ac:dyDescent="0.4">
      <c r="A448" s="185"/>
      <c r="B448" s="10" t="s">
        <v>15</v>
      </c>
      <c r="C448" s="11" t="s">
        <v>19</v>
      </c>
      <c r="D448" s="11">
        <v>3</v>
      </c>
      <c r="E448" s="10" t="s">
        <v>17</v>
      </c>
      <c r="F448" s="40">
        <f>'GT Input'!C12</f>
        <v>9</v>
      </c>
      <c r="G448" s="40">
        <f>'GT Input'!D12</f>
        <v>12</v>
      </c>
      <c r="H448" s="40">
        <f>'GT Input'!E12</f>
        <v>9</v>
      </c>
      <c r="I448" s="40">
        <f>'GT Input'!F12</f>
        <v>12</v>
      </c>
      <c r="J448" s="41">
        <f>'Detailed Results'!G448</f>
        <v>9</v>
      </c>
      <c r="K448" s="41">
        <f>'Detailed Results'!H448</f>
        <v>9</v>
      </c>
      <c r="L448" s="42">
        <f t="shared" si="72"/>
        <v>1</v>
      </c>
      <c r="M448" s="42">
        <f t="shared" si="80"/>
        <v>1</v>
      </c>
      <c r="N448" s="42">
        <f t="shared" si="73"/>
        <v>1</v>
      </c>
      <c r="O448" s="43">
        <f>'Detailed Results'!I448</f>
        <v>12</v>
      </c>
      <c r="P448" s="43">
        <f>'Detailed Results'!J448</f>
        <v>12</v>
      </c>
      <c r="Q448" s="44">
        <f t="shared" si="74"/>
        <v>1</v>
      </c>
      <c r="R448" s="44">
        <f t="shared" si="81"/>
        <v>1</v>
      </c>
      <c r="S448" s="44">
        <f t="shared" si="75"/>
        <v>1</v>
      </c>
      <c r="T448" s="45">
        <f>'Detailed Results'!K448</f>
        <v>9</v>
      </c>
      <c r="U448" s="45">
        <f>'Detailed Results'!L448</f>
        <v>9</v>
      </c>
      <c r="V448" s="46">
        <f t="shared" si="76"/>
        <v>1</v>
      </c>
      <c r="W448" s="46">
        <f t="shared" si="82"/>
        <v>1</v>
      </c>
      <c r="X448" s="46">
        <f t="shared" si="77"/>
        <v>1</v>
      </c>
      <c r="Y448" s="47">
        <f>'Detailed Results'!M448</f>
        <v>12</v>
      </c>
      <c r="Z448" s="47">
        <f>'Detailed Results'!N448</f>
        <v>9</v>
      </c>
      <c r="AA448" s="48">
        <f t="shared" si="78"/>
        <v>0.75</v>
      </c>
      <c r="AB448" s="48">
        <f t="shared" si="83"/>
        <v>0.75</v>
      </c>
      <c r="AC448" s="48">
        <f t="shared" si="79"/>
        <v>0.75</v>
      </c>
    </row>
    <row r="449" spans="1:29" ht="15" customHeight="1" thickBot="1" x14ac:dyDescent="0.4">
      <c r="A449" s="185"/>
      <c r="B449" s="10" t="s">
        <v>15</v>
      </c>
      <c r="C449" s="11" t="s">
        <v>19</v>
      </c>
      <c r="D449" s="11">
        <v>3</v>
      </c>
      <c r="E449" s="10" t="s">
        <v>109</v>
      </c>
      <c r="F449" s="40">
        <f>'GT Input'!C12</f>
        <v>9</v>
      </c>
      <c r="G449" s="40">
        <f>'GT Input'!D12</f>
        <v>12</v>
      </c>
      <c r="H449" s="40">
        <f>'GT Input'!E12</f>
        <v>9</v>
      </c>
      <c r="I449" s="40">
        <f>'GT Input'!F12</f>
        <v>12</v>
      </c>
      <c r="J449" s="41">
        <f>'Detailed Results'!G449</f>
        <v>9</v>
      </c>
      <c r="K449" s="41">
        <f>'Detailed Results'!H449</f>
        <v>9</v>
      </c>
      <c r="L449" s="42">
        <f t="shared" si="72"/>
        <v>1</v>
      </c>
      <c r="M449" s="42">
        <f t="shared" si="80"/>
        <v>1</v>
      </c>
      <c r="N449" s="42">
        <f t="shared" si="73"/>
        <v>1</v>
      </c>
      <c r="O449" s="43">
        <f>'Detailed Results'!I449</f>
        <v>12</v>
      </c>
      <c r="P449" s="43">
        <f>'Detailed Results'!J449</f>
        <v>12</v>
      </c>
      <c r="Q449" s="44">
        <f t="shared" si="74"/>
        <v>1</v>
      </c>
      <c r="R449" s="44">
        <f t="shared" si="81"/>
        <v>1</v>
      </c>
      <c r="S449" s="44">
        <f t="shared" si="75"/>
        <v>1</v>
      </c>
      <c r="T449" s="45">
        <f>'Detailed Results'!K449</f>
        <v>9</v>
      </c>
      <c r="U449" s="45">
        <f>'Detailed Results'!L449</f>
        <v>9</v>
      </c>
      <c r="V449" s="46">
        <f t="shared" si="76"/>
        <v>1</v>
      </c>
      <c r="W449" s="46">
        <f t="shared" si="82"/>
        <v>1</v>
      </c>
      <c r="X449" s="46">
        <f t="shared" si="77"/>
        <v>1</v>
      </c>
      <c r="Y449" s="47">
        <f>'Detailed Results'!M449</f>
        <v>12</v>
      </c>
      <c r="Z449" s="47">
        <f>'Detailed Results'!N449</f>
        <v>9</v>
      </c>
      <c r="AA449" s="48">
        <f t="shared" si="78"/>
        <v>0.75</v>
      </c>
      <c r="AB449" s="48">
        <f t="shared" si="83"/>
        <v>0.75</v>
      </c>
      <c r="AC449" s="48">
        <f t="shared" si="79"/>
        <v>0.75</v>
      </c>
    </row>
    <row r="450" spans="1:29" ht="15" customHeight="1" thickBot="1" x14ac:dyDescent="0.4">
      <c r="A450" s="185"/>
      <c r="B450" s="7" t="s">
        <v>15</v>
      </c>
      <c r="C450" s="8" t="s">
        <v>20</v>
      </c>
      <c r="D450" s="8">
        <v>1</v>
      </c>
      <c r="E450" s="7" t="s">
        <v>17</v>
      </c>
      <c r="F450" s="40">
        <f>'GT Input'!C12</f>
        <v>9</v>
      </c>
      <c r="G450" s="40">
        <f>'GT Input'!D12</f>
        <v>12</v>
      </c>
      <c r="H450" s="40">
        <f>'GT Input'!E12</f>
        <v>9</v>
      </c>
      <c r="I450" s="40">
        <f>'GT Input'!F12</f>
        <v>12</v>
      </c>
      <c r="J450" s="41">
        <f>'Detailed Results'!G450</f>
        <v>9</v>
      </c>
      <c r="K450" s="41">
        <f>'Detailed Results'!H450</f>
        <v>9</v>
      </c>
      <c r="L450" s="42">
        <f t="shared" si="72"/>
        <v>1</v>
      </c>
      <c r="M450" s="42">
        <f t="shared" si="80"/>
        <v>1</v>
      </c>
      <c r="N450" s="42">
        <f t="shared" si="73"/>
        <v>1</v>
      </c>
      <c r="O450" s="43">
        <f>'Detailed Results'!I450</f>
        <v>12</v>
      </c>
      <c r="P450" s="43">
        <f>'Detailed Results'!J450</f>
        <v>12</v>
      </c>
      <c r="Q450" s="44">
        <f t="shared" si="74"/>
        <v>1</v>
      </c>
      <c r="R450" s="44">
        <f t="shared" si="81"/>
        <v>1</v>
      </c>
      <c r="S450" s="44">
        <f t="shared" si="75"/>
        <v>1</v>
      </c>
      <c r="T450" s="45">
        <f>'Detailed Results'!K450</f>
        <v>9</v>
      </c>
      <c r="U450" s="45">
        <f>'Detailed Results'!L450</f>
        <v>9</v>
      </c>
      <c r="V450" s="46">
        <f t="shared" si="76"/>
        <v>1</v>
      </c>
      <c r="W450" s="46">
        <f t="shared" si="82"/>
        <v>1</v>
      </c>
      <c r="X450" s="46">
        <f t="shared" si="77"/>
        <v>1</v>
      </c>
      <c r="Y450" s="47">
        <f>'Detailed Results'!M450</f>
        <v>12</v>
      </c>
      <c r="Z450" s="47">
        <f>'Detailed Results'!N450</f>
        <v>9</v>
      </c>
      <c r="AA450" s="48">
        <f t="shared" si="78"/>
        <v>0.75</v>
      </c>
      <c r="AB450" s="48">
        <f t="shared" si="83"/>
        <v>0.75</v>
      </c>
      <c r="AC450" s="48">
        <f t="shared" si="79"/>
        <v>0.75</v>
      </c>
    </row>
    <row r="451" spans="1:29" ht="15" customHeight="1" thickBot="1" x14ac:dyDescent="0.4">
      <c r="A451" s="185"/>
      <c r="B451" s="7" t="s">
        <v>15</v>
      </c>
      <c r="C451" s="8" t="s">
        <v>20</v>
      </c>
      <c r="D451" s="8">
        <v>1</v>
      </c>
      <c r="E451" s="7" t="s">
        <v>109</v>
      </c>
      <c r="F451" s="40">
        <f>'GT Input'!C12</f>
        <v>9</v>
      </c>
      <c r="G451" s="40">
        <f>'GT Input'!D12</f>
        <v>12</v>
      </c>
      <c r="H451" s="40">
        <f>'GT Input'!E12</f>
        <v>9</v>
      </c>
      <c r="I451" s="40">
        <f>'GT Input'!F12</f>
        <v>12</v>
      </c>
      <c r="J451" s="41">
        <f>'Detailed Results'!G451</f>
        <v>9</v>
      </c>
      <c r="K451" s="41">
        <f>'Detailed Results'!H451</f>
        <v>9</v>
      </c>
      <c r="L451" s="42">
        <f t="shared" si="72"/>
        <v>1</v>
      </c>
      <c r="M451" s="42">
        <f t="shared" si="80"/>
        <v>1</v>
      </c>
      <c r="N451" s="42">
        <f t="shared" si="73"/>
        <v>1</v>
      </c>
      <c r="O451" s="43">
        <f>'Detailed Results'!I451</f>
        <v>12</v>
      </c>
      <c r="P451" s="43">
        <f>'Detailed Results'!J451</f>
        <v>12</v>
      </c>
      <c r="Q451" s="44">
        <f t="shared" si="74"/>
        <v>1</v>
      </c>
      <c r="R451" s="44">
        <f t="shared" si="81"/>
        <v>1</v>
      </c>
      <c r="S451" s="44">
        <f t="shared" si="75"/>
        <v>1</v>
      </c>
      <c r="T451" s="45">
        <f>'Detailed Results'!K451</f>
        <v>9</v>
      </c>
      <c r="U451" s="45">
        <f>'Detailed Results'!L451</f>
        <v>9</v>
      </c>
      <c r="V451" s="46">
        <f t="shared" si="76"/>
        <v>1</v>
      </c>
      <c r="W451" s="46">
        <f t="shared" si="82"/>
        <v>1</v>
      </c>
      <c r="X451" s="46">
        <f t="shared" si="77"/>
        <v>1</v>
      </c>
      <c r="Y451" s="47">
        <f>'Detailed Results'!M451</f>
        <v>12</v>
      </c>
      <c r="Z451" s="47">
        <f>'Detailed Results'!N451</f>
        <v>9</v>
      </c>
      <c r="AA451" s="48">
        <f t="shared" si="78"/>
        <v>0.75</v>
      </c>
      <c r="AB451" s="48">
        <f t="shared" si="83"/>
        <v>0.75</v>
      </c>
      <c r="AC451" s="48">
        <f t="shared" si="79"/>
        <v>0.75</v>
      </c>
    </row>
    <row r="452" spans="1:29" ht="15" customHeight="1" thickBot="1" x14ac:dyDescent="0.4">
      <c r="A452" s="185"/>
      <c r="B452" s="10" t="s">
        <v>15</v>
      </c>
      <c r="C452" s="11" t="s">
        <v>20</v>
      </c>
      <c r="D452" s="11">
        <v>2</v>
      </c>
      <c r="E452" s="10" t="s">
        <v>17</v>
      </c>
      <c r="F452" s="40">
        <f>'GT Input'!C12</f>
        <v>9</v>
      </c>
      <c r="G452" s="40">
        <f>'GT Input'!D12</f>
        <v>12</v>
      </c>
      <c r="H452" s="40">
        <f>'GT Input'!E12</f>
        <v>9</v>
      </c>
      <c r="I452" s="40">
        <f>'GT Input'!F12</f>
        <v>12</v>
      </c>
      <c r="J452" s="41">
        <f>'Detailed Results'!G452</f>
        <v>9</v>
      </c>
      <c r="K452" s="41">
        <f>'Detailed Results'!H452</f>
        <v>9</v>
      </c>
      <c r="L452" s="42">
        <f t="shared" si="72"/>
        <v>1</v>
      </c>
      <c r="M452" s="42">
        <f t="shared" si="80"/>
        <v>1</v>
      </c>
      <c r="N452" s="42">
        <f t="shared" si="73"/>
        <v>1</v>
      </c>
      <c r="O452" s="43">
        <f>'Detailed Results'!I452</f>
        <v>12</v>
      </c>
      <c r="P452" s="43">
        <f>'Detailed Results'!J452</f>
        <v>12</v>
      </c>
      <c r="Q452" s="44">
        <f t="shared" si="74"/>
        <v>1</v>
      </c>
      <c r="R452" s="44">
        <f t="shared" si="81"/>
        <v>1</v>
      </c>
      <c r="S452" s="44">
        <f t="shared" si="75"/>
        <v>1</v>
      </c>
      <c r="T452" s="45">
        <f>'Detailed Results'!K452</f>
        <v>9</v>
      </c>
      <c r="U452" s="45">
        <f>'Detailed Results'!L452</f>
        <v>9</v>
      </c>
      <c r="V452" s="46">
        <f t="shared" si="76"/>
        <v>1</v>
      </c>
      <c r="W452" s="46">
        <f t="shared" si="82"/>
        <v>1</v>
      </c>
      <c r="X452" s="46">
        <f t="shared" si="77"/>
        <v>1</v>
      </c>
      <c r="Y452" s="47">
        <f>'Detailed Results'!M452</f>
        <v>12</v>
      </c>
      <c r="Z452" s="47">
        <f>'Detailed Results'!N452</f>
        <v>10</v>
      </c>
      <c r="AA452" s="48">
        <f t="shared" si="78"/>
        <v>0.83333333333333337</v>
      </c>
      <c r="AB452" s="48">
        <f t="shared" si="83"/>
        <v>0.83333333333333337</v>
      </c>
      <c r="AC452" s="48">
        <f t="shared" si="79"/>
        <v>0.83333333333333337</v>
      </c>
    </row>
    <row r="453" spans="1:29" ht="15" customHeight="1" thickBot="1" x14ac:dyDescent="0.4">
      <c r="A453" s="185"/>
      <c r="B453" s="10" t="s">
        <v>15</v>
      </c>
      <c r="C453" s="11" t="s">
        <v>20</v>
      </c>
      <c r="D453" s="11">
        <v>2</v>
      </c>
      <c r="E453" s="10" t="s">
        <v>109</v>
      </c>
      <c r="F453" s="40">
        <f>'GT Input'!C12</f>
        <v>9</v>
      </c>
      <c r="G453" s="40">
        <f>'GT Input'!D12</f>
        <v>12</v>
      </c>
      <c r="H453" s="40">
        <f>'GT Input'!E12</f>
        <v>9</v>
      </c>
      <c r="I453" s="40">
        <f>'GT Input'!F12</f>
        <v>12</v>
      </c>
      <c r="J453" s="41">
        <f>'Detailed Results'!G453</f>
        <v>9</v>
      </c>
      <c r="K453" s="41">
        <f>'Detailed Results'!H453</f>
        <v>9</v>
      </c>
      <c r="L453" s="42">
        <f t="shared" si="72"/>
        <v>1</v>
      </c>
      <c r="M453" s="42">
        <f t="shared" si="80"/>
        <v>1</v>
      </c>
      <c r="N453" s="42">
        <f t="shared" si="73"/>
        <v>1</v>
      </c>
      <c r="O453" s="43">
        <f>'Detailed Results'!I453</f>
        <v>16</v>
      </c>
      <c r="P453" s="43">
        <f>'Detailed Results'!J453</f>
        <v>16</v>
      </c>
      <c r="Q453" s="44">
        <f t="shared" si="74"/>
        <v>1</v>
      </c>
      <c r="R453" s="44">
        <f t="shared" si="81"/>
        <v>1.3333333333333333</v>
      </c>
      <c r="S453" s="44">
        <f t="shared" si="75"/>
        <v>1.142857142857143</v>
      </c>
      <c r="T453" s="45">
        <f>'Detailed Results'!K453</f>
        <v>9</v>
      </c>
      <c r="U453" s="45">
        <f>'Detailed Results'!L453</f>
        <v>9</v>
      </c>
      <c r="V453" s="46">
        <f t="shared" si="76"/>
        <v>1</v>
      </c>
      <c r="W453" s="46">
        <f t="shared" si="82"/>
        <v>1</v>
      </c>
      <c r="X453" s="46">
        <f t="shared" si="77"/>
        <v>1</v>
      </c>
      <c r="Y453" s="47">
        <f>'Detailed Results'!M453</f>
        <v>16</v>
      </c>
      <c r="Z453" s="47">
        <f>'Detailed Results'!N453</f>
        <v>9</v>
      </c>
      <c r="AA453" s="48">
        <f t="shared" si="78"/>
        <v>0.5625</v>
      </c>
      <c r="AB453" s="48">
        <f t="shared" si="83"/>
        <v>0.75</v>
      </c>
      <c r="AC453" s="48">
        <f t="shared" si="79"/>
        <v>0.6428571428571429</v>
      </c>
    </row>
    <row r="454" spans="1:29" ht="15" customHeight="1" thickBot="1" x14ac:dyDescent="0.4">
      <c r="A454" s="185"/>
      <c r="B454" s="7" t="s">
        <v>15</v>
      </c>
      <c r="C454" s="8" t="s">
        <v>20</v>
      </c>
      <c r="D454" s="8">
        <v>3</v>
      </c>
      <c r="E454" s="7" t="s">
        <v>17</v>
      </c>
      <c r="F454" s="40">
        <f>'GT Input'!C12</f>
        <v>9</v>
      </c>
      <c r="G454" s="40">
        <f>'GT Input'!D12</f>
        <v>12</v>
      </c>
      <c r="H454" s="40">
        <f>'GT Input'!E12</f>
        <v>9</v>
      </c>
      <c r="I454" s="40">
        <f>'GT Input'!F12</f>
        <v>12</v>
      </c>
      <c r="J454" s="41">
        <f>'Detailed Results'!G454</f>
        <v>9</v>
      </c>
      <c r="K454" s="41">
        <f>'Detailed Results'!H454</f>
        <v>9</v>
      </c>
      <c r="L454" s="42">
        <f t="shared" ref="L454:L517" si="84">IFERROR(K454/J454,"")</f>
        <v>1</v>
      </c>
      <c r="M454" s="42">
        <f t="shared" si="80"/>
        <v>1</v>
      </c>
      <c r="N454" s="42">
        <f t="shared" ref="N454:N517" si="85">IFERROR(2*L454*M454/(L454+M454),"")</f>
        <v>1</v>
      </c>
      <c r="O454" s="43">
        <f>'Detailed Results'!I454</f>
        <v>12</v>
      </c>
      <c r="P454" s="43">
        <f>'Detailed Results'!J454</f>
        <v>12</v>
      </c>
      <c r="Q454" s="44">
        <f t="shared" ref="Q454:Q517" si="86">IFERROR(P454/O454,"")</f>
        <v>1</v>
      </c>
      <c r="R454" s="44">
        <f t="shared" si="81"/>
        <v>1</v>
      </c>
      <c r="S454" s="44">
        <f t="shared" ref="S454:S517" si="87">IFERROR(2*Q454*R454/(Q454+R454),"")</f>
        <v>1</v>
      </c>
      <c r="T454" s="45">
        <f>'Detailed Results'!K454</f>
        <v>9</v>
      </c>
      <c r="U454" s="45">
        <f>'Detailed Results'!L454</f>
        <v>9</v>
      </c>
      <c r="V454" s="46">
        <f t="shared" ref="V454:V517" si="88">IFERROR(U454/T454,"")</f>
        <v>1</v>
      </c>
      <c r="W454" s="46">
        <f t="shared" si="82"/>
        <v>1</v>
      </c>
      <c r="X454" s="46">
        <f t="shared" ref="X454:X517" si="89">IFERROR(2*V454*W454/(V454+W454),"")</f>
        <v>1</v>
      </c>
      <c r="Y454" s="47">
        <f>'Detailed Results'!M454</f>
        <v>12</v>
      </c>
      <c r="Z454" s="47">
        <f>'Detailed Results'!N454</f>
        <v>9</v>
      </c>
      <c r="AA454" s="48">
        <f t="shared" ref="AA454:AA517" si="90">IFERROR(Z454/Y454,"")</f>
        <v>0.75</v>
      </c>
      <c r="AB454" s="48">
        <f t="shared" si="83"/>
        <v>0.75</v>
      </c>
      <c r="AC454" s="48">
        <f t="shared" ref="AC454:AC517" si="91">IFERROR(2*AA454*AB454/(AA454+AB454),"")</f>
        <v>0.75</v>
      </c>
    </row>
    <row r="455" spans="1:29" ht="15" customHeight="1" thickBot="1" x14ac:dyDescent="0.4">
      <c r="A455" s="185"/>
      <c r="B455" s="7" t="s">
        <v>15</v>
      </c>
      <c r="C455" s="8" t="s">
        <v>20</v>
      </c>
      <c r="D455" s="8">
        <v>3</v>
      </c>
      <c r="E455" s="7" t="s">
        <v>109</v>
      </c>
      <c r="F455" s="40">
        <f>'GT Input'!C12</f>
        <v>9</v>
      </c>
      <c r="G455" s="40">
        <f>'GT Input'!D12</f>
        <v>12</v>
      </c>
      <c r="H455" s="40">
        <f>'GT Input'!E12</f>
        <v>9</v>
      </c>
      <c r="I455" s="40">
        <f>'GT Input'!F12</f>
        <v>12</v>
      </c>
      <c r="J455" s="41">
        <f>'Detailed Results'!G455</f>
        <v>9</v>
      </c>
      <c r="K455" s="41">
        <f>'Detailed Results'!H455</f>
        <v>9</v>
      </c>
      <c r="L455" s="42">
        <f t="shared" si="84"/>
        <v>1</v>
      </c>
      <c r="M455" s="42">
        <f t="shared" ref="M455:M518" si="92">IFERROR(K455/F455,"")</f>
        <v>1</v>
      </c>
      <c r="N455" s="42">
        <f t="shared" si="85"/>
        <v>1</v>
      </c>
      <c r="O455" s="43">
        <f>'Detailed Results'!I455</f>
        <v>12</v>
      </c>
      <c r="P455" s="43">
        <f>'Detailed Results'!J455</f>
        <v>12</v>
      </c>
      <c r="Q455" s="44">
        <f t="shared" si="86"/>
        <v>1</v>
      </c>
      <c r="R455" s="44">
        <f t="shared" ref="R455:R518" si="93">IFERROR(P455/G455,"")</f>
        <v>1</v>
      </c>
      <c r="S455" s="44">
        <f t="shared" si="87"/>
        <v>1</v>
      </c>
      <c r="T455" s="45">
        <f>'Detailed Results'!K455</f>
        <v>9</v>
      </c>
      <c r="U455" s="45">
        <f>'Detailed Results'!L455</f>
        <v>9</v>
      </c>
      <c r="V455" s="46">
        <f t="shared" si="88"/>
        <v>1</v>
      </c>
      <c r="W455" s="46">
        <f t="shared" ref="W455:W518" si="94">IFERROR(U455/H455,"")</f>
        <v>1</v>
      </c>
      <c r="X455" s="46">
        <f t="shared" si="89"/>
        <v>1</v>
      </c>
      <c r="Y455" s="47">
        <f>'Detailed Results'!M455</f>
        <v>12</v>
      </c>
      <c r="Z455" s="47">
        <f>'Detailed Results'!N455</f>
        <v>9</v>
      </c>
      <c r="AA455" s="48">
        <f t="shared" si="90"/>
        <v>0.75</v>
      </c>
      <c r="AB455" s="48">
        <f t="shared" ref="AB455:AB518" si="95">IFERROR(Z455/I455,"")</f>
        <v>0.75</v>
      </c>
      <c r="AC455" s="48">
        <f t="shared" si="91"/>
        <v>0.75</v>
      </c>
    </row>
    <row r="456" spans="1:29" ht="15" customHeight="1" thickBot="1" x14ac:dyDescent="0.4">
      <c r="A456" s="185"/>
      <c r="B456" s="12" t="s">
        <v>21</v>
      </c>
      <c r="C456" s="13" t="s">
        <v>16</v>
      </c>
      <c r="D456" s="13">
        <v>1</v>
      </c>
      <c r="E456" s="12" t="s">
        <v>17</v>
      </c>
      <c r="F456" s="40">
        <f>'GT Input'!C12</f>
        <v>9</v>
      </c>
      <c r="G456" s="40">
        <f>'GT Input'!D12</f>
        <v>12</v>
      </c>
      <c r="H456" s="40">
        <f>'GT Input'!E12</f>
        <v>9</v>
      </c>
      <c r="I456" s="40">
        <f>'GT Input'!F12</f>
        <v>12</v>
      </c>
      <c r="J456" s="41">
        <f>'Detailed Results'!G456</f>
        <v>9</v>
      </c>
      <c r="K456" s="41">
        <f>'Detailed Results'!H456</f>
        <v>9</v>
      </c>
      <c r="L456" s="42">
        <f t="shared" si="84"/>
        <v>1</v>
      </c>
      <c r="M456" s="42">
        <f t="shared" si="92"/>
        <v>1</v>
      </c>
      <c r="N456" s="42">
        <f t="shared" si="85"/>
        <v>1</v>
      </c>
      <c r="O456" s="43">
        <f>'Detailed Results'!I456</f>
        <v>16</v>
      </c>
      <c r="P456" s="43">
        <f>'Detailed Results'!J456</f>
        <v>16</v>
      </c>
      <c r="Q456" s="44">
        <f t="shared" si="86"/>
        <v>1</v>
      </c>
      <c r="R456" s="44">
        <f t="shared" si="93"/>
        <v>1.3333333333333333</v>
      </c>
      <c r="S456" s="44">
        <f t="shared" si="87"/>
        <v>1.142857142857143</v>
      </c>
      <c r="T456" s="45">
        <f>'Detailed Results'!K456</f>
        <v>9</v>
      </c>
      <c r="U456" s="45">
        <f>'Detailed Results'!L456</f>
        <v>9</v>
      </c>
      <c r="V456" s="46">
        <f t="shared" si="88"/>
        <v>1</v>
      </c>
      <c r="W456" s="46">
        <f t="shared" si="94"/>
        <v>1</v>
      </c>
      <c r="X456" s="46">
        <f t="shared" si="89"/>
        <v>1</v>
      </c>
      <c r="Y456" s="47">
        <f>'Detailed Results'!M456</f>
        <v>16</v>
      </c>
      <c r="Z456" s="47">
        <f>'Detailed Results'!N456</f>
        <v>10</v>
      </c>
      <c r="AA456" s="48">
        <f t="shared" si="90"/>
        <v>0.625</v>
      </c>
      <c r="AB456" s="48">
        <f t="shared" si="95"/>
        <v>0.83333333333333337</v>
      </c>
      <c r="AC456" s="48">
        <f t="shared" si="91"/>
        <v>0.7142857142857143</v>
      </c>
    </row>
    <row r="457" spans="1:29" ht="15" customHeight="1" thickBot="1" x14ac:dyDescent="0.4">
      <c r="A457" s="185"/>
      <c r="B457" s="12" t="s">
        <v>21</v>
      </c>
      <c r="C457" s="13" t="s">
        <v>16</v>
      </c>
      <c r="D457" s="13">
        <v>1</v>
      </c>
      <c r="E457" s="12" t="s">
        <v>109</v>
      </c>
      <c r="F457" s="40">
        <f>'GT Input'!C12</f>
        <v>9</v>
      </c>
      <c r="G457" s="40">
        <f>'GT Input'!D12</f>
        <v>12</v>
      </c>
      <c r="H457" s="40">
        <f>'GT Input'!E12</f>
        <v>9</v>
      </c>
      <c r="I457" s="40">
        <f>'GT Input'!F12</f>
        <v>12</v>
      </c>
      <c r="J457" s="41">
        <f>'Detailed Results'!G457</f>
        <v>9</v>
      </c>
      <c r="K457" s="41">
        <f>'Detailed Results'!H457</f>
        <v>8</v>
      </c>
      <c r="L457" s="42">
        <f t="shared" si="84"/>
        <v>0.88888888888888884</v>
      </c>
      <c r="M457" s="42">
        <f t="shared" si="92"/>
        <v>0.88888888888888884</v>
      </c>
      <c r="N457" s="42">
        <f t="shared" si="85"/>
        <v>0.88888888888888884</v>
      </c>
      <c r="O457" s="43">
        <f>'Detailed Results'!I457</f>
        <v>16</v>
      </c>
      <c r="P457" s="43">
        <f>'Detailed Results'!J457</f>
        <v>16</v>
      </c>
      <c r="Q457" s="44">
        <f t="shared" si="86"/>
        <v>1</v>
      </c>
      <c r="R457" s="44">
        <f t="shared" si="93"/>
        <v>1.3333333333333333</v>
      </c>
      <c r="S457" s="44">
        <f t="shared" si="87"/>
        <v>1.142857142857143</v>
      </c>
      <c r="T457" s="45">
        <f>'Detailed Results'!K457</f>
        <v>9</v>
      </c>
      <c r="U457" s="45">
        <f>'Detailed Results'!L457</f>
        <v>8</v>
      </c>
      <c r="V457" s="46">
        <f t="shared" si="88"/>
        <v>0.88888888888888884</v>
      </c>
      <c r="W457" s="46">
        <f t="shared" si="94"/>
        <v>0.88888888888888884</v>
      </c>
      <c r="X457" s="46">
        <f t="shared" si="89"/>
        <v>0.88888888888888884</v>
      </c>
      <c r="Y457" s="47">
        <f>'Detailed Results'!M457</f>
        <v>16</v>
      </c>
      <c r="Z457" s="47">
        <f>'Detailed Results'!N457</f>
        <v>8</v>
      </c>
      <c r="AA457" s="48">
        <f t="shared" si="90"/>
        <v>0.5</v>
      </c>
      <c r="AB457" s="48">
        <f t="shared" si="95"/>
        <v>0.66666666666666663</v>
      </c>
      <c r="AC457" s="48">
        <f t="shared" si="91"/>
        <v>0.57142857142857151</v>
      </c>
    </row>
    <row r="458" spans="1:29" ht="15" customHeight="1" thickBot="1" x14ac:dyDescent="0.4">
      <c r="A458" s="185"/>
      <c r="B458" s="14" t="s">
        <v>21</v>
      </c>
      <c r="C458" s="15" t="s">
        <v>16</v>
      </c>
      <c r="D458" s="15">
        <v>2</v>
      </c>
      <c r="E458" s="14" t="s">
        <v>17</v>
      </c>
      <c r="F458" s="40">
        <f>'GT Input'!C12</f>
        <v>9</v>
      </c>
      <c r="G458" s="40">
        <f>'GT Input'!D12</f>
        <v>12</v>
      </c>
      <c r="H458" s="40">
        <f>'GT Input'!E12</f>
        <v>9</v>
      </c>
      <c r="I458" s="40">
        <f>'GT Input'!F12</f>
        <v>12</v>
      </c>
      <c r="J458" s="41">
        <f>'Detailed Results'!G458</f>
        <v>9</v>
      </c>
      <c r="K458" s="41">
        <f>'Detailed Results'!H458</f>
        <v>9</v>
      </c>
      <c r="L458" s="42">
        <f t="shared" si="84"/>
        <v>1</v>
      </c>
      <c r="M458" s="42">
        <f t="shared" si="92"/>
        <v>1</v>
      </c>
      <c r="N458" s="42">
        <f t="shared" si="85"/>
        <v>1</v>
      </c>
      <c r="O458" s="43">
        <f>'Detailed Results'!I458</f>
        <v>12</v>
      </c>
      <c r="P458" s="43">
        <f>'Detailed Results'!J458</f>
        <v>12</v>
      </c>
      <c r="Q458" s="44">
        <f t="shared" si="86"/>
        <v>1</v>
      </c>
      <c r="R458" s="44">
        <f t="shared" si="93"/>
        <v>1</v>
      </c>
      <c r="S458" s="44">
        <f t="shared" si="87"/>
        <v>1</v>
      </c>
      <c r="T458" s="45">
        <f>'Detailed Results'!K458</f>
        <v>9</v>
      </c>
      <c r="U458" s="45">
        <f>'Detailed Results'!L458</f>
        <v>9</v>
      </c>
      <c r="V458" s="46">
        <f t="shared" si="88"/>
        <v>1</v>
      </c>
      <c r="W458" s="46">
        <f t="shared" si="94"/>
        <v>1</v>
      </c>
      <c r="X458" s="46">
        <f t="shared" si="89"/>
        <v>1</v>
      </c>
      <c r="Y458" s="47">
        <f>'Detailed Results'!M458</f>
        <v>12</v>
      </c>
      <c r="Z458" s="47">
        <f>'Detailed Results'!N458</f>
        <v>8</v>
      </c>
      <c r="AA458" s="48">
        <f t="shared" si="90"/>
        <v>0.66666666666666663</v>
      </c>
      <c r="AB458" s="48">
        <f t="shared" si="95"/>
        <v>0.66666666666666663</v>
      </c>
      <c r="AC458" s="48">
        <f t="shared" si="91"/>
        <v>0.66666666666666663</v>
      </c>
    </row>
    <row r="459" spans="1:29" ht="15" customHeight="1" thickBot="1" x14ac:dyDescent="0.4">
      <c r="A459" s="185"/>
      <c r="B459" s="14" t="s">
        <v>21</v>
      </c>
      <c r="C459" s="15" t="s">
        <v>16</v>
      </c>
      <c r="D459" s="15">
        <v>2</v>
      </c>
      <c r="E459" s="14" t="s">
        <v>109</v>
      </c>
      <c r="F459" s="40">
        <f>'GT Input'!C12</f>
        <v>9</v>
      </c>
      <c r="G459" s="40">
        <f>'GT Input'!D12</f>
        <v>12</v>
      </c>
      <c r="H459" s="40">
        <f>'GT Input'!E12</f>
        <v>9</v>
      </c>
      <c r="I459" s="40">
        <f>'GT Input'!F12</f>
        <v>12</v>
      </c>
      <c r="J459" s="41">
        <f>'Detailed Results'!G459</f>
        <v>9</v>
      </c>
      <c r="K459" s="41">
        <f>'Detailed Results'!H459</f>
        <v>8</v>
      </c>
      <c r="L459" s="42">
        <f t="shared" si="84"/>
        <v>0.88888888888888884</v>
      </c>
      <c r="M459" s="42">
        <f t="shared" si="92"/>
        <v>0.88888888888888884</v>
      </c>
      <c r="N459" s="42">
        <f t="shared" si="85"/>
        <v>0.88888888888888884</v>
      </c>
      <c r="O459" s="43">
        <f>'Detailed Results'!I459</f>
        <v>7</v>
      </c>
      <c r="P459" s="43">
        <f>'Detailed Results'!J459</f>
        <v>7</v>
      </c>
      <c r="Q459" s="44">
        <f t="shared" si="86"/>
        <v>1</v>
      </c>
      <c r="R459" s="44">
        <f t="shared" si="93"/>
        <v>0.58333333333333337</v>
      </c>
      <c r="S459" s="44">
        <f t="shared" si="87"/>
        <v>0.73684210526315785</v>
      </c>
      <c r="T459" s="45">
        <f>'Detailed Results'!K459</f>
        <v>9</v>
      </c>
      <c r="U459" s="45">
        <f>'Detailed Results'!L459</f>
        <v>8</v>
      </c>
      <c r="V459" s="46">
        <f t="shared" si="88"/>
        <v>0.88888888888888884</v>
      </c>
      <c r="W459" s="46">
        <f t="shared" si="94"/>
        <v>0.88888888888888884</v>
      </c>
      <c r="X459" s="46">
        <f t="shared" si="89"/>
        <v>0.88888888888888884</v>
      </c>
      <c r="Y459" s="47">
        <f>'Detailed Results'!M459</f>
        <v>7</v>
      </c>
      <c r="Z459" s="47">
        <f>'Detailed Results'!N459</f>
        <v>7</v>
      </c>
      <c r="AA459" s="48">
        <f t="shared" si="90"/>
        <v>1</v>
      </c>
      <c r="AB459" s="48">
        <f t="shared" si="95"/>
        <v>0.58333333333333337</v>
      </c>
      <c r="AC459" s="48">
        <f t="shared" si="91"/>
        <v>0.73684210526315785</v>
      </c>
    </row>
    <row r="460" spans="1:29" ht="15" customHeight="1" thickBot="1" x14ac:dyDescent="0.4">
      <c r="A460" s="185"/>
      <c r="B460" s="12" t="s">
        <v>21</v>
      </c>
      <c r="C460" s="13" t="s">
        <v>16</v>
      </c>
      <c r="D460" s="13">
        <v>3</v>
      </c>
      <c r="E460" s="12" t="s">
        <v>17</v>
      </c>
      <c r="F460" s="40">
        <f>'GT Input'!C12</f>
        <v>9</v>
      </c>
      <c r="G460" s="40">
        <f>'GT Input'!D12</f>
        <v>12</v>
      </c>
      <c r="H460" s="40">
        <f>'GT Input'!E12</f>
        <v>9</v>
      </c>
      <c r="I460" s="40">
        <f>'GT Input'!F12</f>
        <v>12</v>
      </c>
      <c r="J460" s="41">
        <f>'Detailed Results'!G460</f>
        <v>9</v>
      </c>
      <c r="K460" s="41">
        <f>'Detailed Results'!H460</f>
        <v>9</v>
      </c>
      <c r="L460" s="42">
        <f t="shared" si="84"/>
        <v>1</v>
      </c>
      <c r="M460" s="42">
        <f t="shared" si="92"/>
        <v>1</v>
      </c>
      <c r="N460" s="42">
        <f t="shared" si="85"/>
        <v>1</v>
      </c>
      <c r="O460" s="43">
        <f>'Detailed Results'!I460</f>
        <v>12</v>
      </c>
      <c r="P460" s="43">
        <f>'Detailed Results'!J460</f>
        <v>12</v>
      </c>
      <c r="Q460" s="44">
        <f t="shared" si="86"/>
        <v>1</v>
      </c>
      <c r="R460" s="44">
        <f t="shared" si="93"/>
        <v>1</v>
      </c>
      <c r="S460" s="44">
        <f t="shared" si="87"/>
        <v>1</v>
      </c>
      <c r="T460" s="45">
        <f>'Detailed Results'!K460</f>
        <v>9</v>
      </c>
      <c r="U460" s="45">
        <f>'Detailed Results'!L460</f>
        <v>9</v>
      </c>
      <c r="V460" s="46">
        <f t="shared" si="88"/>
        <v>1</v>
      </c>
      <c r="W460" s="46">
        <f t="shared" si="94"/>
        <v>1</v>
      </c>
      <c r="X460" s="46">
        <f t="shared" si="89"/>
        <v>1</v>
      </c>
      <c r="Y460" s="47">
        <f>'Detailed Results'!M460</f>
        <v>12</v>
      </c>
      <c r="Z460" s="47">
        <f>'Detailed Results'!N460</f>
        <v>8</v>
      </c>
      <c r="AA460" s="48">
        <f t="shared" si="90"/>
        <v>0.66666666666666663</v>
      </c>
      <c r="AB460" s="48">
        <f t="shared" si="95"/>
        <v>0.66666666666666663</v>
      </c>
      <c r="AC460" s="48">
        <f t="shared" si="91"/>
        <v>0.66666666666666663</v>
      </c>
    </row>
    <row r="461" spans="1:29" ht="15" customHeight="1" thickBot="1" x14ac:dyDescent="0.4">
      <c r="A461" s="185"/>
      <c r="B461" s="12" t="s">
        <v>21</v>
      </c>
      <c r="C461" s="13" t="s">
        <v>16</v>
      </c>
      <c r="D461" s="13">
        <v>3</v>
      </c>
      <c r="E461" s="12" t="s">
        <v>109</v>
      </c>
      <c r="F461" s="40">
        <f>'GT Input'!C12</f>
        <v>9</v>
      </c>
      <c r="G461" s="40">
        <f>'GT Input'!D12</f>
        <v>12</v>
      </c>
      <c r="H461" s="40">
        <f>'GT Input'!E12</f>
        <v>9</v>
      </c>
      <c r="I461" s="40">
        <f>'GT Input'!F12</f>
        <v>12</v>
      </c>
      <c r="J461" s="41">
        <f>'Detailed Results'!G461</f>
        <v>9</v>
      </c>
      <c r="K461" s="41">
        <f>'Detailed Results'!H461</f>
        <v>8</v>
      </c>
      <c r="L461" s="42">
        <f t="shared" si="84"/>
        <v>0.88888888888888884</v>
      </c>
      <c r="M461" s="42">
        <f t="shared" si="92"/>
        <v>0.88888888888888884</v>
      </c>
      <c r="N461" s="42">
        <f t="shared" si="85"/>
        <v>0.88888888888888884</v>
      </c>
      <c r="O461" s="43">
        <f>'Detailed Results'!I461</f>
        <v>16</v>
      </c>
      <c r="P461" s="43">
        <f>'Detailed Results'!J461</f>
        <v>16</v>
      </c>
      <c r="Q461" s="44">
        <f t="shared" si="86"/>
        <v>1</v>
      </c>
      <c r="R461" s="44">
        <f t="shared" si="93"/>
        <v>1.3333333333333333</v>
      </c>
      <c r="S461" s="44">
        <f t="shared" si="87"/>
        <v>1.142857142857143</v>
      </c>
      <c r="T461" s="45">
        <f>'Detailed Results'!K461</f>
        <v>9</v>
      </c>
      <c r="U461" s="45">
        <f>'Detailed Results'!L461</f>
        <v>8</v>
      </c>
      <c r="V461" s="46">
        <f t="shared" si="88"/>
        <v>0.88888888888888884</v>
      </c>
      <c r="W461" s="46">
        <f t="shared" si="94"/>
        <v>0.88888888888888884</v>
      </c>
      <c r="X461" s="46">
        <f t="shared" si="89"/>
        <v>0.88888888888888884</v>
      </c>
      <c r="Y461" s="47">
        <f>'Detailed Results'!M461</f>
        <v>16</v>
      </c>
      <c r="Z461" s="47">
        <f>'Detailed Results'!N461</f>
        <v>8</v>
      </c>
      <c r="AA461" s="48">
        <f t="shared" si="90"/>
        <v>0.5</v>
      </c>
      <c r="AB461" s="48">
        <f t="shared" si="95"/>
        <v>0.66666666666666663</v>
      </c>
      <c r="AC461" s="48">
        <f t="shared" si="91"/>
        <v>0.57142857142857151</v>
      </c>
    </row>
    <row r="462" spans="1:29" ht="15" customHeight="1" thickBot="1" x14ac:dyDescent="0.4">
      <c r="A462" s="185"/>
      <c r="B462" s="14" t="s">
        <v>21</v>
      </c>
      <c r="C462" s="15" t="s">
        <v>19</v>
      </c>
      <c r="D462" s="15">
        <v>1</v>
      </c>
      <c r="E462" s="14" t="s">
        <v>17</v>
      </c>
      <c r="F462" s="40">
        <f>'GT Input'!C12</f>
        <v>9</v>
      </c>
      <c r="G462" s="40">
        <f>'GT Input'!D12</f>
        <v>12</v>
      </c>
      <c r="H462" s="40">
        <f>'GT Input'!E12</f>
        <v>9</v>
      </c>
      <c r="I462" s="40">
        <f>'GT Input'!F12</f>
        <v>12</v>
      </c>
      <c r="J462" s="41">
        <f>'Detailed Results'!G462</f>
        <v>9</v>
      </c>
      <c r="K462" s="41">
        <f>'Detailed Results'!H462</f>
        <v>9</v>
      </c>
      <c r="L462" s="42">
        <f t="shared" si="84"/>
        <v>1</v>
      </c>
      <c r="M462" s="42">
        <f t="shared" si="92"/>
        <v>1</v>
      </c>
      <c r="N462" s="42">
        <f t="shared" si="85"/>
        <v>1</v>
      </c>
      <c r="O462" s="43">
        <f>'Detailed Results'!I462</f>
        <v>12</v>
      </c>
      <c r="P462" s="43">
        <f>'Detailed Results'!J462</f>
        <v>12</v>
      </c>
      <c r="Q462" s="44">
        <f t="shared" si="86"/>
        <v>1</v>
      </c>
      <c r="R462" s="44">
        <f t="shared" si="93"/>
        <v>1</v>
      </c>
      <c r="S462" s="44">
        <f t="shared" si="87"/>
        <v>1</v>
      </c>
      <c r="T462" s="45">
        <f>'Detailed Results'!K462</f>
        <v>9</v>
      </c>
      <c r="U462" s="45">
        <f>'Detailed Results'!L462</f>
        <v>9</v>
      </c>
      <c r="V462" s="46">
        <f t="shared" si="88"/>
        <v>1</v>
      </c>
      <c r="W462" s="46">
        <f t="shared" si="94"/>
        <v>1</v>
      </c>
      <c r="X462" s="46">
        <f t="shared" si="89"/>
        <v>1</v>
      </c>
      <c r="Y462" s="47">
        <f>'Detailed Results'!M462</f>
        <v>12</v>
      </c>
      <c r="Z462" s="47">
        <f>'Detailed Results'!N462</f>
        <v>8</v>
      </c>
      <c r="AA462" s="48">
        <f t="shared" si="90"/>
        <v>0.66666666666666663</v>
      </c>
      <c r="AB462" s="48">
        <f t="shared" si="95"/>
        <v>0.66666666666666663</v>
      </c>
      <c r="AC462" s="48">
        <f t="shared" si="91"/>
        <v>0.66666666666666663</v>
      </c>
    </row>
    <row r="463" spans="1:29" ht="15" customHeight="1" thickBot="1" x14ac:dyDescent="0.4">
      <c r="A463" s="185"/>
      <c r="B463" s="14" t="s">
        <v>21</v>
      </c>
      <c r="C463" s="15" t="s">
        <v>19</v>
      </c>
      <c r="D463" s="15">
        <v>1</v>
      </c>
      <c r="E463" s="14" t="s">
        <v>109</v>
      </c>
      <c r="F463" s="40">
        <f>'GT Input'!C12</f>
        <v>9</v>
      </c>
      <c r="G463" s="40">
        <f>'GT Input'!D12</f>
        <v>12</v>
      </c>
      <c r="H463" s="40">
        <f>'GT Input'!E12</f>
        <v>9</v>
      </c>
      <c r="I463" s="40">
        <f>'GT Input'!F12</f>
        <v>12</v>
      </c>
      <c r="J463" s="41">
        <f>'Detailed Results'!G463</f>
        <v>9</v>
      </c>
      <c r="K463" s="41">
        <f>'Detailed Results'!H463</f>
        <v>8</v>
      </c>
      <c r="L463" s="42">
        <f t="shared" si="84"/>
        <v>0.88888888888888884</v>
      </c>
      <c r="M463" s="42">
        <f t="shared" si="92"/>
        <v>0.88888888888888884</v>
      </c>
      <c r="N463" s="42">
        <f t="shared" si="85"/>
        <v>0.88888888888888884</v>
      </c>
      <c r="O463" s="43">
        <f>'Detailed Results'!I463</f>
        <v>7</v>
      </c>
      <c r="P463" s="43">
        <f>'Detailed Results'!J463</f>
        <v>7</v>
      </c>
      <c r="Q463" s="44">
        <f t="shared" si="86"/>
        <v>1</v>
      </c>
      <c r="R463" s="44">
        <f t="shared" si="93"/>
        <v>0.58333333333333337</v>
      </c>
      <c r="S463" s="44">
        <f t="shared" si="87"/>
        <v>0.73684210526315785</v>
      </c>
      <c r="T463" s="45">
        <f>'Detailed Results'!K463</f>
        <v>9</v>
      </c>
      <c r="U463" s="45">
        <f>'Detailed Results'!L463</f>
        <v>8</v>
      </c>
      <c r="V463" s="46">
        <f t="shared" si="88"/>
        <v>0.88888888888888884</v>
      </c>
      <c r="W463" s="46">
        <f t="shared" si="94"/>
        <v>0.88888888888888884</v>
      </c>
      <c r="X463" s="46">
        <f t="shared" si="89"/>
        <v>0.88888888888888884</v>
      </c>
      <c r="Y463" s="47">
        <f>'Detailed Results'!M463</f>
        <v>7</v>
      </c>
      <c r="Z463" s="47">
        <f>'Detailed Results'!N463</f>
        <v>7</v>
      </c>
      <c r="AA463" s="48">
        <f t="shared" si="90"/>
        <v>1</v>
      </c>
      <c r="AB463" s="48">
        <f t="shared" si="95"/>
        <v>0.58333333333333337</v>
      </c>
      <c r="AC463" s="48">
        <f t="shared" si="91"/>
        <v>0.73684210526315785</v>
      </c>
    </row>
    <row r="464" spans="1:29" ht="15" customHeight="1" thickBot="1" x14ac:dyDescent="0.4">
      <c r="A464" s="185"/>
      <c r="B464" s="12" t="s">
        <v>21</v>
      </c>
      <c r="C464" s="13" t="s">
        <v>19</v>
      </c>
      <c r="D464" s="13">
        <v>2</v>
      </c>
      <c r="E464" s="12" t="s">
        <v>17</v>
      </c>
      <c r="F464" s="40">
        <f>'GT Input'!C12</f>
        <v>9</v>
      </c>
      <c r="G464" s="40">
        <f>'GT Input'!D12</f>
        <v>12</v>
      </c>
      <c r="H464" s="40">
        <f>'GT Input'!E12</f>
        <v>9</v>
      </c>
      <c r="I464" s="40">
        <f>'GT Input'!F12</f>
        <v>12</v>
      </c>
      <c r="J464" s="41">
        <f>'Detailed Results'!G464</f>
        <v>9</v>
      </c>
      <c r="K464" s="41">
        <f>'Detailed Results'!H464</f>
        <v>9</v>
      </c>
      <c r="L464" s="42">
        <f t="shared" si="84"/>
        <v>1</v>
      </c>
      <c r="M464" s="42">
        <f t="shared" si="92"/>
        <v>1</v>
      </c>
      <c r="N464" s="42">
        <f t="shared" si="85"/>
        <v>1</v>
      </c>
      <c r="O464" s="43">
        <f>'Detailed Results'!I464</f>
        <v>12</v>
      </c>
      <c r="P464" s="43">
        <f>'Detailed Results'!J464</f>
        <v>12</v>
      </c>
      <c r="Q464" s="44">
        <f t="shared" si="86"/>
        <v>1</v>
      </c>
      <c r="R464" s="44">
        <f t="shared" si="93"/>
        <v>1</v>
      </c>
      <c r="S464" s="44">
        <f t="shared" si="87"/>
        <v>1</v>
      </c>
      <c r="T464" s="45">
        <f>'Detailed Results'!K464</f>
        <v>9</v>
      </c>
      <c r="U464" s="45">
        <f>'Detailed Results'!L464</f>
        <v>9</v>
      </c>
      <c r="V464" s="46">
        <f t="shared" si="88"/>
        <v>1</v>
      </c>
      <c r="W464" s="46">
        <f t="shared" si="94"/>
        <v>1</v>
      </c>
      <c r="X464" s="46">
        <f t="shared" si="89"/>
        <v>1</v>
      </c>
      <c r="Y464" s="47">
        <f>'Detailed Results'!M464</f>
        <v>12</v>
      </c>
      <c r="Z464" s="47">
        <f>'Detailed Results'!N464</f>
        <v>8</v>
      </c>
      <c r="AA464" s="48">
        <f t="shared" si="90"/>
        <v>0.66666666666666663</v>
      </c>
      <c r="AB464" s="48">
        <f t="shared" si="95"/>
        <v>0.66666666666666663</v>
      </c>
      <c r="AC464" s="48">
        <f t="shared" si="91"/>
        <v>0.66666666666666663</v>
      </c>
    </row>
    <row r="465" spans="1:29" ht="15" customHeight="1" thickBot="1" x14ac:dyDescent="0.4">
      <c r="A465" s="185"/>
      <c r="B465" s="12" t="s">
        <v>21</v>
      </c>
      <c r="C465" s="13" t="s">
        <v>19</v>
      </c>
      <c r="D465" s="13">
        <v>2</v>
      </c>
      <c r="E465" s="12" t="s">
        <v>109</v>
      </c>
      <c r="F465" s="40">
        <f>'GT Input'!C12</f>
        <v>9</v>
      </c>
      <c r="G465" s="40">
        <f>'GT Input'!D12</f>
        <v>12</v>
      </c>
      <c r="H465" s="40">
        <f>'GT Input'!E12</f>
        <v>9</v>
      </c>
      <c r="I465" s="40">
        <f>'GT Input'!F12</f>
        <v>12</v>
      </c>
      <c r="J465" s="41">
        <f>'Detailed Results'!G465</f>
        <v>9</v>
      </c>
      <c r="K465" s="41">
        <f>'Detailed Results'!H465</f>
        <v>8</v>
      </c>
      <c r="L465" s="42">
        <f t="shared" si="84"/>
        <v>0.88888888888888884</v>
      </c>
      <c r="M465" s="42">
        <f t="shared" si="92"/>
        <v>0.88888888888888884</v>
      </c>
      <c r="N465" s="42">
        <f t="shared" si="85"/>
        <v>0.88888888888888884</v>
      </c>
      <c r="O465" s="43">
        <f>'Detailed Results'!I465</f>
        <v>7</v>
      </c>
      <c r="P465" s="43">
        <f>'Detailed Results'!J465</f>
        <v>7</v>
      </c>
      <c r="Q465" s="44">
        <f t="shared" si="86"/>
        <v>1</v>
      </c>
      <c r="R465" s="44">
        <f t="shared" si="93"/>
        <v>0.58333333333333337</v>
      </c>
      <c r="S465" s="44">
        <f t="shared" si="87"/>
        <v>0.73684210526315785</v>
      </c>
      <c r="T465" s="45">
        <f>'Detailed Results'!K465</f>
        <v>9</v>
      </c>
      <c r="U465" s="45">
        <f>'Detailed Results'!L465</f>
        <v>8</v>
      </c>
      <c r="V465" s="46">
        <f t="shared" si="88"/>
        <v>0.88888888888888884</v>
      </c>
      <c r="W465" s="46">
        <f t="shared" si="94"/>
        <v>0.88888888888888884</v>
      </c>
      <c r="X465" s="46">
        <f t="shared" si="89"/>
        <v>0.88888888888888884</v>
      </c>
      <c r="Y465" s="47">
        <f>'Detailed Results'!M465</f>
        <v>7</v>
      </c>
      <c r="Z465" s="47">
        <f>'Detailed Results'!N465</f>
        <v>7</v>
      </c>
      <c r="AA465" s="48">
        <f t="shared" si="90"/>
        <v>1</v>
      </c>
      <c r="AB465" s="48">
        <f t="shared" si="95"/>
        <v>0.58333333333333337</v>
      </c>
      <c r="AC465" s="48">
        <f t="shared" si="91"/>
        <v>0.73684210526315785</v>
      </c>
    </row>
    <row r="466" spans="1:29" ht="15" customHeight="1" thickBot="1" x14ac:dyDescent="0.4">
      <c r="A466" s="185"/>
      <c r="B466" s="14" t="s">
        <v>21</v>
      </c>
      <c r="C466" s="15" t="s">
        <v>19</v>
      </c>
      <c r="D466" s="15">
        <v>3</v>
      </c>
      <c r="E466" s="14" t="s">
        <v>17</v>
      </c>
      <c r="F466" s="40">
        <f>'GT Input'!C12</f>
        <v>9</v>
      </c>
      <c r="G466" s="40">
        <f>'GT Input'!D12</f>
        <v>12</v>
      </c>
      <c r="H466" s="40">
        <f>'GT Input'!E12</f>
        <v>9</v>
      </c>
      <c r="I466" s="40">
        <f>'GT Input'!F12</f>
        <v>12</v>
      </c>
      <c r="J466" s="41">
        <f>'Detailed Results'!G466</f>
        <v>9</v>
      </c>
      <c r="K466" s="41">
        <f>'Detailed Results'!H466</f>
        <v>9</v>
      </c>
      <c r="L466" s="42">
        <f t="shared" si="84"/>
        <v>1</v>
      </c>
      <c r="M466" s="42">
        <f t="shared" si="92"/>
        <v>1</v>
      </c>
      <c r="N466" s="42">
        <f t="shared" si="85"/>
        <v>1</v>
      </c>
      <c r="O466" s="43">
        <f>'Detailed Results'!I466</f>
        <v>12</v>
      </c>
      <c r="P466" s="43">
        <f>'Detailed Results'!J466</f>
        <v>12</v>
      </c>
      <c r="Q466" s="44">
        <f t="shared" si="86"/>
        <v>1</v>
      </c>
      <c r="R466" s="44">
        <f t="shared" si="93"/>
        <v>1</v>
      </c>
      <c r="S466" s="44">
        <f t="shared" si="87"/>
        <v>1</v>
      </c>
      <c r="T466" s="45">
        <f>'Detailed Results'!K466</f>
        <v>9</v>
      </c>
      <c r="U466" s="45">
        <f>'Detailed Results'!L466</f>
        <v>9</v>
      </c>
      <c r="V466" s="46">
        <f t="shared" si="88"/>
        <v>1</v>
      </c>
      <c r="W466" s="46">
        <f t="shared" si="94"/>
        <v>1</v>
      </c>
      <c r="X466" s="46">
        <f t="shared" si="89"/>
        <v>1</v>
      </c>
      <c r="Y466" s="47">
        <f>'Detailed Results'!M466</f>
        <v>12</v>
      </c>
      <c r="Z466" s="47">
        <f>'Detailed Results'!N466</f>
        <v>8</v>
      </c>
      <c r="AA466" s="48">
        <f t="shared" si="90"/>
        <v>0.66666666666666663</v>
      </c>
      <c r="AB466" s="48">
        <f t="shared" si="95"/>
        <v>0.66666666666666663</v>
      </c>
      <c r="AC466" s="48">
        <f t="shared" si="91"/>
        <v>0.66666666666666663</v>
      </c>
    </row>
    <row r="467" spans="1:29" ht="15" customHeight="1" thickBot="1" x14ac:dyDescent="0.4">
      <c r="A467" s="185"/>
      <c r="B467" s="14" t="s">
        <v>21</v>
      </c>
      <c r="C467" s="15" t="s">
        <v>19</v>
      </c>
      <c r="D467" s="15">
        <v>3</v>
      </c>
      <c r="E467" s="14" t="s">
        <v>109</v>
      </c>
      <c r="F467" s="40">
        <f>'GT Input'!C12</f>
        <v>9</v>
      </c>
      <c r="G467" s="40">
        <f>'GT Input'!D12</f>
        <v>12</v>
      </c>
      <c r="H467" s="40">
        <f>'GT Input'!E12</f>
        <v>9</v>
      </c>
      <c r="I467" s="40">
        <f>'GT Input'!F12</f>
        <v>12</v>
      </c>
      <c r="J467" s="41">
        <f>'Detailed Results'!G467</f>
        <v>9</v>
      </c>
      <c r="K467" s="41">
        <f>'Detailed Results'!H467</f>
        <v>8</v>
      </c>
      <c r="L467" s="42">
        <f t="shared" si="84"/>
        <v>0.88888888888888884</v>
      </c>
      <c r="M467" s="42">
        <f t="shared" si="92"/>
        <v>0.88888888888888884</v>
      </c>
      <c r="N467" s="42">
        <f t="shared" si="85"/>
        <v>0.88888888888888884</v>
      </c>
      <c r="O467" s="43">
        <f>'Detailed Results'!I467</f>
        <v>7</v>
      </c>
      <c r="P467" s="43">
        <f>'Detailed Results'!J467</f>
        <v>7</v>
      </c>
      <c r="Q467" s="44">
        <f t="shared" si="86"/>
        <v>1</v>
      </c>
      <c r="R467" s="44">
        <f t="shared" si="93"/>
        <v>0.58333333333333337</v>
      </c>
      <c r="S467" s="44">
        <f t="shared" si="87"/>
        <v>0.73684210526315785</v>
      </c>
      <c r="T467" s="45">
        <f>'Detailed Results'!K467</f>
        <v>9</v>
      </c>
      <c r="U467" s="45">
        <f>'Detailed Results'!L467</f>
        <v>8</v>
      </c>
      <c r="V467" s="46">
        <f t="shared" si="88"/>
        <v>0.88888888888888884</v>
      </c>
      <c r="W467" s="46">
        <f t="shared" si="94"/>
        <v>0.88888888888888884</v>
      </c>
      <c r="X467" s="46">
        <f t="shared" si="89"/>
        <v>0.88888888888888884</v>
      </c>
      <c r="Y467" s="47">
        <f>'Detailed Results'!M467</f>
        <v>7</v>
      </c>
      <c r="Z467" s="47">
        <f>'Detailed Results'!N467</f>
        <v>7</v>
      </c>
      <c r="AA467" s="48">
        <f t="shared" si="90"/>
        <v>1</v>
      </c>
      <c r="AB467" s="48">
        <f t="shared" si="95"/>
        <v>0.58333333333333337</v>
      </c>
      <c r="AC467" s="48">
        <f t="shared" si="91"/>
        <v>0.73684210526315785</v>
      </c>
    </row>
    <row r="468" spans="1:29" ht="15" customHeight="1" thickBot="1" x14ac:dyDescent="0.4">
      <c r="A468" s="185"/>
      <c r="B468" s="12" t="s">
        <v>21</v>
      </c>
      <c r="C468" s="13" t="s">
        <v>20</v>
      </c>
      <c r="D468" s="13">
        <v>1</v>
      </c>
      <c r="E468" s="12" t="s">
        <v>17</v>
      </c>
      <c r="F468" s="40">
        <f>'GT Input'!C12</f>
        <v>9</v>
      </c>
      <c r="G468" s="40">
        <f>'GT Input'!D12</f>
        <v>12</v>
      </c>
      <c r="H468" s="40">
        <f>'GT Input'!E12</f>
        <v>9</v>
      </c>
      <c r="I468" s="40">
        <f>'GT Input'!F12</f>
        <v>12</v>
      </c>
      <c r="J468" s="41">
        <f>'Detailed Results'!G468</f>
        <v>9</v>
      </c>
      <c r="K468" s="41">
        <f>'Detailed Results'!H468</f>
        <v>9</v>
      </c>
      <c r="L468" s="42">
        <f t="shared" si="84"/>
        <v>1</v>
      </c>
      <c r="M468" s="42">
        <f t="shared" si="92"/>
        <v>1</v>
      </c>
      <c r="N468" s="42">
        <f t="shared" si="85"/>
        <v>1</v>
      </c>
      <c r="O468" s="43">
        <f>'Detailed Results'!I468</f>
        <v>12</v>
      </c>
      <c r="P468" s="43">
        <f>'Detailed Results'!J468</f>
        <v>12</v>
      </c>
      <c r="Q468" s="44">
        <f t="shared" si="86"/>
        <v>1</v>
      </c>
      <c r="R468" s="44">
        <f t="shared" si="93"/>
        <v>1</v>
      </c>
      <c r="S468" s="44">
        <f t="shared" si="87"/>
        <v>1</v>
      </c>
      <c r="T468" s="45">
        <f>'Detailed Results'!K468</f>
        <v>9</v>
      </c>
      <c r="U468" s="45">
        <f>'Detailed Results'!L468</f>
        <v>9</v>
      </c>
      <c r="V468" s="46">
        <f t="shared" si="88"/>
        <v>1</v>
      </c>
      <c r="W468" s="46">
        <f t="shared" si="94"/>
        <v>1</v>
      </c>
      <c r="X468" s="46">
        <f t="shared" si="89"/>
        <v>1</v>
      </c>
      <c r="Y468" s="47">
        <f>'Detailed Results'!M468</f>
        <v>12</v>
      </c>
      <c r="Z468" s="47">
        <f>'Detailed Results'!N468</f>
        <v>8</v>
      </c>
      <c r="AA468" s="48">
        <f t="shared" si="90"/>
        <v>0.66666666666666663</v>
      </c>
      <c r="AB468" s="48">
        <f t="shared" si="95"/>
        <v>0.66666666666666663</v>
      </c>
      <c r="AC468" s="48">
        <f t="shared" si="91"/>
        <v>0.66666666666666663</v>
      </c>
    </row>
    <row r="469" spans="1:29" ht="15" customHeight="1" thickBot="1" x14ac:dyDescent="0.4">
      <c r="A469" s="185"/>
      <c r="B469" s="12" t="s">
        <v>21</v>
      </c>
      <c r="C469" s="13" t="s">
        <v>20</v>
      </c>
      <c r="D469" s="13">
        <v>1</v>
      </c>
      <c r="E469" s="12" t="s">
        <v>109</v>
      </c>
      <c r="F469" s="40">
        <f>'GT Input'!C12</f>
        <v>9</v>
      </c>
      <c r="G469" s="40">
        <f>'GT Input'!D12</f>
        <v>12</v>
      </c>
      <c r="H469" s="40">
        <f>'GT Input'!E12</f>
        <v>9</v>
      </c>
      <c r="I469" s="40">
        <f>'GT Input'!F12</f>
        <v>12</v>
      </c>
      <c r="J469" s="41">
        <f>'Detailed Results'!G469</f>
        <v>9</v>
      </c>
      <c r="K469" s="41">
        <f>'Detailed Results'!H469</f>
        <v>9</v>
      </c>
      <c r="L469" s="42">
        <f t="shared" si="84"/>
        <v>1</v>
      </c>
      <c r="M469" s="42">
        <f t="shared" si="92"/>
        <v>1</v>
      </c>
      <c r="N469" s="42">
        <f t="shared" si="85"/>
        <v>1</v>
      </c>
      <c r="O469" s="43">
        <f>'Detailed Results'!I469</f>
        <v>16</v>
      </c>
      <c r="P469" s="43">
        <f>'Detailed Results'!J469</f>
        <v>16</v>
      </c>
      <c r="Q469" s="44">
        <f t="shared" si="86"/>
        <v>1</v>
      </c>
      <c r="R469" s="44">
        <f t="shared" si="93"/>
        <v>1.3333333333333333</v>
      </c>
      <c r="S469" s="44">
        <f t="shared" si="87"/>
        <v>1.142857142857143</v>
      </c>
      <c r="T469" s="45">
        <f>'Detailed Results'!K469</f>
        <v>9</v>
      </c>
      <c r="U469" s="45">
        <f>'Detailed Results'!L469</f>
        <v>9</v>
      </c>
      <c r="V469" s="46">
        <f t="shared" si="88"/>
        <v>1</v>
      </c>
      <c r="W469" s="46">
        <f t="shared" si="94"/>
        <v>1</v>
      </c>
      <c r="X469" s="46">
        <f t="shared" si="89"/>
        <v>1</v>
      </c>
      <c r="Y469" s="47">
        <f>'Detailed Results'!M469</f>
        <v>16</v>
      </c>
      <c r="Z469" s="47">
        <f>'Detailed Results'!N469</f>
        <v>8</v>
      </c>
      <c r="AA469" s="48">
        <f t="shared" si="90"/>
        <v>0.5</v>
      </c>
      <c r="AB469" s="48">
        <f t="shared" si="95"/>
        <v>0.66666666666666663</v>
      </c>
      <c r="AC469" s="48">
        <f t="shared" si="91"/>
        <v>0.57142857142857151</v>
      </c>
    </row>
    <row r="470" spans="1:29" ht="15" customHeight="1" thickBot="1" x14ac:dyDescent="0.4">
      <c r="A470" s="185"/>
      <c r="B470" s="14" t="s">
        <v>21</v>
      </c>
      <c r="C470" s="15" t="s">
        <v>20</v>
      </c>
      <c r="D470" s="15">
        <v>2</v>
      </c>
      <c r="E470" s="14" t="s">
        <v>17</v>
      </c>
      <c r="F470" s="40">
        <f>'GT Input'!C12</f>
        <v>9</v>
      </c>
      <c r="G470" s="40">
        <f>'GT Input'!D12</f>
        <v>12</v>
      </c>
      <c r="H470" s="40">
        <f>'GT Input'!E12</f>
        <v>9</v>
      </c>
      <c r="I470" s="40">
        <f>'GT Input'!F12</f>
        <v>12</v>
      </c>
      <c r="J470" s="41">
        <f>'Detailed Results'!G470</f>
        <v>9</v>
      </c>
      <c r="K470" s="41">
        <f>'Detailed Results'!H470</f>
        <v>9</v>
      </c>
      <c r="L470" s="42">
        <f t="shared" si="84"/>
        <v>1</v>
      </c>
      <c r="M470" s="42">
        <f t="shared" si="92"/>
        <v>1</v>
      </c>
      <c r="N470" s="42">
        <f t="shared" si="85"/>
        <v>1</v>
      </c>
      <c r="O470" s="43">
        <f>'Detailed Results'!I470</f>
        <v>12</v>
      </c>
      <c r="P470" s="43">
        <f>'Detailed Results'!J470</f>
        <v>12</v>
      </c>
      <c r="Q470" s="44">
        <f t="shared" si="86"/>
        <v>1</v>
      </c>
      <c r="R470" s="44">
        <f t="shared" si="93"/>
        <v>1</v>
      </c>
      <c r="S470" s="44">
        <f t="shared" si="87"/>
        <v>1</v>
      </c>
      <c r="T470" s="45">
        <f>'Detailed Results'!K470</f>
        <v>9</v>
      </c>
      <c r="U470" s="45">
        <f>'Detailed Results'!L470</f>
        <v>9</v>
      </c>
      <c r="V470" s="46">
        <f t="shared" si="88"/>
        <v>1</v>
      </c>
      <c r="W470" s="46">
        <f t="shared" si="94"/>
        <v>1</v>
      </c>
      <c r="X470" s="46">
        <f t="shared" si="89"/>
        <v>1</v>
      </c>
      <c r="Y470" s="47">
        <f>'Detailed Results'!M470</f>
        <v>12</v>
      </c>
      <c r="Z470" s="47">
        <f>'Detailed Results'!N470</f>
        <v>8</v>
      </c>
      <c r="AA470" s="48">
        <f t="shared" si="90"/>
        <v>0.66666666666666663</v>
      </c>
      <c r="AB470" s="48">
        <f t="shared" si="95"/>
        <v>0.66666666666666663</v>
      </c>
      <c r="AC470" s="48">
        <f t="shared" si="91"/>
        <v>0.66666666666666663</v>
      </c>
    </row>
    <row r="471" spans="1:29" ht="15" customHeight="1" thickBot="1" x14ac:dyDescent="0.4">
      <c r="A471" s="185"/>
      <c r="B471" s="14" t="s">
        <v>21</v>
      </c>
      <c r="C471" s="15" t="s">
        <v>20</v>
      </c>
      <c r="D471" s="15">
        <v>2</v>
      </c>
      <c r="E471" s="14" t="s">
        <v>109</v>
      </c>
      <c r="F471" s="40">
        <f>'GT Input'!C12</f>
        <v>9</v>
      </c>
      <c r="G471" s="40">
        <f>'GT Input'!D12</f>
        <v>12</v>
      </c>
      <c r="H471" s="40">
        <f>'GT Input'!E12</f>
        <v>9</v>
      </c>
      <c r="I471" s="40">
        <f>'GT Input'!F12</f>
        <v>12</v>
      </c>
      <c r="J471" s="41">
        <f>'Detailed Results'!G471</f>
        <v>9</v>
      </c>
      <c r="K471" s="41">
        <f>'Detailed Results'!H471</f>
        <v>8</v>
      </c>
      <c r="L471" s="42">
        <f t="shared" si="84"/>
        <v>0.88888888888888884</v>
      </c>
      <c r="M471" s="42">
        <f t="shared" si="92"/>
        <v>0.88888888888888884</v>
      </c>
      <c r="N471" s="42">
        <f t="shared" si="85"/>
        <v>0.88888888888888884</v>
      </c>
      <c r="O471" s="43">
        <f>'Detailed Results'!I471</f>
        <v>16</v>
      </c>
      <c r="P471" s="43">
        <f>'Detailed Results'!J471</f>
        <v>16</v>
      </c>
      <c r="Q471" s="44">
        <f t="shared" si="86"/>
        <v>1</v>
      </c>
      <c r="R471" s="44">
        <f t="shared" si="93"/>
        <v>1.3333333333333333</v>
      </c>
      <c r="S471" s="44">
        <f t="shared" si="87"/>
        <v>1.142857142857143</v>
      </c>
      <c r="T471" s="45">
        <f>'Detailed Results'!K471</f>
        <v>9</v>
      </c>
      <c r="U471" s="45">
        <f>'Detailed Results'!L471</f>
        <v>8</v>
      </c>
      <c r="V471" s="46">
        <f t="shared" si="88"/>
        <v>0.88888888888888884</v>
      </c>
      <c r="W471" s="46">
        <f t="shared" si="94"/>
        <v>0.88888888888888884</v>
      </c>
      <c r="X471" s="46">
        <f t="shared" si="89"/>
        <v>0.88888888888888884</v>
      </c>
      <c r="Y471" s="47">
        <f>'Detailed Results'!M471</f>
        <v>16</v>
      </c>
      <c r="Z471" s="47">
        <f>'Detailed Results'!N471</f>
        <v>8</v>
      </c>
      <c r="AA471" s="48">
        <f t="shared" si="90"/>
        <v>0.5</v>
      </c>
      <c r="AB471" s="48">
        <f t="shared" si="95"/>
        <v>0.66666666666666663</v>
      </c>
      <c r="AC471" s="48">
        <f t="shared" si="91"/>
        <v>0.57142857142857151</v>
      </c>
    </row>
    <row r="472" spans="1:29" ht="15" customHeight="1" thickBot="1" x14ac:dyDescent="0.4">
      <c r="A472" s="185"/>
      <c r="B472" s="12" t="s">
        <v>21</v>
      </c>
      <c r="C472" s="13" t="s">
        <v>20</v>
      </c>
      <c r="D472" s="13">
        <v>3</v>
      </c>
      <c r="E472" s="12" t="s">
        <v>17</v>
      </c>
      <c r="F472" s="40">
        <f>'GT Input'!C12</f>
        <v>9</v>
      </c>
      <c r="G472" s="40">
        <f>'GT Input'!D12</f>
        <v>12</v>
      </c>
      <c r="H472" s="40">
        <f>'GT Input'!E12</f>
        <v>9</v>
      </c>
      <c r="I472" s="40">
        <f>'GT Input'!F12</f>
        <v>12</v>
      </c>
      <c r="J472" s="41">
        <f>'Detailed Results'!G472</f>
        <v>9</v>
      </c>
      <c r="K472" s="41">
        <f>'Detailed Results'!H472</f>
        <v>9</v>
      </c>
      <c r="L472" s="42">
        <f t="shared" si="84"/>
        <v>1</v>
      </c>
      <c r="M472" s="42">
        <f t="shared" si="92"/>
        <v>1</v>
      </c>
      <c r="N472" s="42">
        <f t="shared" si="85"/>
        <v>1</v>
      </c>
      <c r="O472" s="43">
        <f>'Detailed Results'!I472</f>
        <v>12</v>
      </c>
      <c r="P472" s="43">
        <f>'Detailed Results'!J472</f>
        <v>12</v>
      </c>
      <c r="Q472" s="44">
        <f t="shared" si="86"/>
        <v>1</v>
      </c>
      <c r="R472" s="44">
        <f t="shared" si="93"/>
        <v>1</v>
      </c>
      <c r="S472" s="44">
        <f t="shared" si="87"/>
        <v>1</v>
      </c>
      <c r="T472" s="45">
        <f>'Detailed Results'!K472</f>
        <v>9</v>
      </c>
      <c r="U472" s="45">
        <f>'Detailed Results'!L472</f>
        <v>9</v>
      </c>
      <c r="V472" s="46">
        <f t="shared" si="88"/>
        <v>1</v>
      </c>
      <c r="W472" s="46">
        <f t="shared" si="94"/>
        <v>1</v>
      </c>
      <c r="X472" s="46">
        <f t="shared" si="89"/>
        <v>1</v>
      </c>
      <c r="Y472" s="47">
        <f>'Detailed Results'!M472</f>
        <v>12</v>
      </c>
      <c r="Z472" s="47">
        <f>'Detailed Results'!N472</f>
        <v>8</v>
      </c>
      <c r="AA472" s="48">
        <f t="shared" si="90"/>
        <v>0.66666666666666663</v>
      </c>
      <c r="AB472" s="48">
        <f t="shared" si="95"/>
        <v>0.66666666666666663</v>
      </c>
      <c r="AC472" s="48">
        <f t="shared" si="91"/>
        <v>0.66666666666666663</v>
      </c>
    </row>
    <row r="473" spans="1:29" ht="15" customHeight="1" thickBot="1" x14ac:dyDescent="0.4">
      <c r="A473" s="185"/>
      <c r="B473" s="12" t="s">
        <v>21</v>
      </c>
      <c r="C473" s="13" t="s">
        <v>20</v>
      </c>
      <c r="D473" s="13">
        <v>3</v>
      </c>
      <c r="E473" s="12" t="s">
        <v>109</v>
      </c>
      <c r="F473" s="40">
        <f>'GT Input'!C12</f>
        <v>9</v>
      </c>
      <c r="G473" s="40">
        <f>'GT Input'!D12</f>
        <v>12</v>
      </c>
      <c r="H473" s="40">
        <f>'GT Input'!E12</f>
        <v>9</v>
      </c>
      <c r="I473" s="40">
        <f>'GT Input'!F12</f>
        <v>12</v>
      </c>
      <c r="J473" s="41">
        <f>'Detailed Results'!G473</f>
        <v>9</v>
      </c>
      <c r="K473" s="41">
        <f>'Detailed Results'!H473</f>
        <v>8</v>
      </c>
      <c r="L473" s="42">
        <f t="shared" si="84"/>
        <v>0.88888888888888884</v>
      </c>
      <c r="M473" s="42">
        <f t="shared" si="92"/>
        <v>0.88888888888888884</v>
      </c>
      <c r="N473" s="42">
        <f t="shared" si="85"/>
        <v>0.88888888888888884</v>
      </c>
      <c r="O473" s="43">
        <f>'Detailed Results'!I473</f>
        <v>7</v>
      </c>
      <c r="P473" s="43">
        <f>'Detailed Results'!J473</f>
        <v>7</v>
      </c>
      <c r="Q473" s="44">
        <f t="shared" si="86"/>
        <v>1</v>
      </c>
      <c r="R473" s="44">
        <f t="shared" si="93"/>
        <v>0.58333333333333337</v>
      </c>
      <c r="S473" s="44">
        <f t="shared" si="87"/>
        <v>0.73684210526315785</v>
      </c>
      <c r="T473" s="45">
        <f>'Detailed Results'!K473</f>
        <v>9</v>
      </c>
      <c r="U473" s="45">
        <f>'Detailed Results'!L473</f>
        <v>8</v>
      </c>
      <c r="V473" s="46">
        <f t="shared" si="88"/>
        <v>0.88888888888888884</v>
      </c>
      <c r="W473" s="46">
        <f t="shared" si="94"/>
        <v>0.88888888888888884</v>
      </c>
      <c r="X473" s="46">
        <f t="shared" si="89"/>
        <v>0.88888888888888884</v>
      </c>
      <c r="Y473" s="47">
        <f>'Detailed Results'!M473</f>
        <v>7</v>
      </c>
      <c r="Z473" s="47">
        <f>'Detailed Results'!N473</f>
        <v>7</v>
      </c>
      <c r="AA473" s="48">
        <f t="shared" si="90"/>
        <v>1</v>
      </c>
      <c r="AB473" s="48">
        <f t="shared" si="95"/>
        <v>0.58333333333333337</v>
      </c>
      <c r="AC473" s="48">
        <f t="shared" si="91"/>
        <v>0.73684210526315785</v>
      </c>
    </row>
    <row r="474" spans="1:29" ht="15" customHeight="1" thickBot="1" x14ac:dyDescent="0.4">
      <c r="A474" s="185"/>
      <c r="B474" s="16" t="s">
        <v>22</v>
      </c>
      <c r="C474" s="17" t="s">
        <v>16</v>
      </c>
      <c r="D474" s="17">
        <v>1</v>
      </c>
      <c r="E474" s="16" t="s">
        <v>17</v>
      </c>
      <c r="F474" s="40">
        <f>'GT Input'!C12</f>
        <v>9</v>
      </c>
      <c r="G474" s="40">
        <f>'GT Input'!D12</f>
        <v>12</v>
      </c>
      <c r="H474" s="40">
        <f>'GT Input'!E12</f>
        <v>9</v>
      </c>
      <c r="I474" s="40">
        <f>'GT Input'!F12</f>
        <v>12</v>
      </c>
      <c r="J474" s="41">
        <f>'Detailed Results'!G474</f>
        <v>9</v>
      </c>
      <c r="K474" s="41">
        <f>'Detailed Results'!H474</f>
        <v>9</v>
      </c>
      <c r="L474" s="42">
        <f t="shared" si="84"/>
        <v>1</v>
      </c>
      <c r="M474" s="42">
        <f t="shared" si="92"/>
        <v>1</v>
      </c>
      <c r="N474" s="42">
        <f t="shared" si="85"/>
        <v>1</v>
      </c>
      <c r="O474" s="43">
        <f>'Detailed Results'!I474</f>
        <v>12</v>
      </c>
      <c r="P474" s="43">
        <f>'Detailed Results'!J474</f>
        <v>12</v>
      </c>
      <c r="Q474" s="44">
        <f t="shared" si="86"/>
        <v>1</v>
      </c>
      <c r="R474" s="44">
        <f t="shared" si="93"/>
        <v>1</v>
      </c>
      <c r="S474" s="44">
        <f t="shared" si="87"/>
        <v>1</v>
      </c>
      <c r="T474" s="45">
        <f>'Detailed Results'!K474</f>
        <v>9</v>
      </c>
      <c r="U474" s="45">
        <f>'Detailed Results'!L474</f>
        <v>9</v>
      </c>
      <c r="V474" s="46">
        <f t="shared" si="88"/>
        <v>1</v>
      </c>
      <c r="W474" s="46">
        <f t="shared" si="94"/>
        <v>1</v>
      </c>
      <c r="X474" s="46">
        <f t="shared" si="89"/>
        <v>1</v>
      </c>
      <c r="Y474" s="47">
        <f>'Detailed Results'!M474</f>
        <v>12</v>
      </c>
      <c r="Z474" s="47">
        <f>'Detailed Results'!N474</f>
        <v>8</v>
      </c>
      <c r="AA474" s="48">
        <f t="shared" si="90"/>
        <v>0.66666666666666663</v>
      </c>
      <c r="AB474" s="48">
        <f t="shared" si="95"/>
        <v>0.66666666666666663</v>
      </c>
      <c r="AC474" s="48">
        <f t="shared" si="91"/>
        <v>0.66666666666666663</v>
      </c>
    </row>
    <row r="475" spans="1:29" ht="15" customHeight="1" thickBot="1" x14ac:dyDescent="0.4">
      <c r="A475" s="185"/>
      <c r="B475" s="16" t="s">
        <v>22</v>
      </c>
      <c r="C475" s="17" t="s">
        <v>16</v>
      </c>
      <c r="D475" s="17">
        <v>1</v>
      </c>
      <c r="E475" s="16" t="s">
        <v>109</v>
      </c>
      <c r="F475" s="40">
        <f>'GT Input'!C12</f>
        <v>9</v>
      </c>
      <c r="G475" s="40">
        <f>'GT Input'!D12</f>
        <v>12</v>
      </c>
      <c r="H475" s="40">
        <f>'GT Input'!E12</f>
        <v>9</v>
      </c>
      <c r="I475" s="40">
        <f>'GT Input'!F12</f>
        <v>12</v>
      </c>
      <c r="J475" s="41">
        <f>'Detailed Results'!G475</f>
        <v>9</v>
      </c>
      <c r="K475" s="41">
        <f>'Detailed Results'!H475</f>
        <v>9</v>
      </c>
      <c r="L475" s="42">
        <f t="shared" si="84"/>
        <v>1</v>
      </c>
      <c r="M475" s="42">
        <f t="shared" si="92"/>
        <v>1</v>
      </c>
      <c r="N475" s="42">
        <f t="shared" si="85"/>
        <v>1</v>
      </c>
      <c r="O475" s="43">
        <f>'Detailed Results'!I475</f>
        <v>16</v>
      </c>
      <c r="P475" s="43">
        <f>'Detailed Results'!J475</f>
        <v>16</v>
      </c>
      <c r="Q475" s="44">
        <f t="shared" si="86"/>
        <v>1</v>
      </c>
      <c r="R475" s="44">
        <f t="shared" si="93"/>
        <v>1.3333333333333333</v>
      </c>
      <c r="S475" s="44">
        <f t="shared" si="87"/>
        <v>1.142857142857143</v>
      </c>
      <c r="T475" s="45">
        <f>'Detailed Results'!K475</f>
        <v>9</v>
      </c>
      <c r="U475" s="45">
        <f>'Detailed Results'!L475</f>
        <v>9</v>
      </c>
      <c r="V475" s="46">
        <f t="shared" si="88"/>
        <v>1</v>
      </c>
      <c r="W475" s="46">
        <f t="shared" si="94"/>
        <v>1</v>
      </c>
      <c r="X475" s="46">
        <f t="shared" si="89"/>
        <v>1</v>
      </c>
      <c r="Y475" s="47">
        <f>'Detailed Results'!M475</f>
        <v>16</v>
      </c>
      <c r="Z475" s="47">
        <f>'Detailed Results'!N475</f>
        <v>8</v>
      </c>
      <c r="AA475" s="48">
        <f t="shared" si="90"/>
        <v>0.5</v>
      </c>
      <c r="AB475" s="48">
        <f t="shared" si="95"/>
        <v>0.66666666666666663</v>
      </c>
      <c r="AC475" s="48">
        <f t="shared" si="91"/>
        <v>0.57142857142857151</v>
      </c>
    </row>
    <row r="476" spans="1:29" ht="15" customHeight="1" thickBot="1" x14ac:dyDescent="0.4">
      <c r="A476" s="185"/>
      <c r="B476" s="18" t="s">
        <v>22</v>
      </c>
      <c r="C476" s="19" t="s">
        <v>16</v>
      </c>
      <c r="D476" s="19">
        <v>2</v>
      </c>
      <c r="E476" s="18" t="s">
        <v>17</v>
      </c>
      <c r="F476" s="40">
        <f>'GT Input'!C12</f>
        <v>9</v>
      </c>
      <c r="G476" s="40">
        <f>'GT Input'!D12</f>
        <v>12</v>
      </c>
      <c r="H476" s="40">
        <f>'GT Input'!E12</f>
        <v>9</v>
      </c>
      <c r="I476" s="40">
        <f>'GT Input'!F12</f>
        <v>12</v>
      </c>
      <c r="J476" s="41">
        <f>'Detailed Results'!G476</f>
        <v>9</v>
      </c>
      <c r="K476" s="41">
        <f>'Detailed Results'!H476</f>
        <v>9</v>
      </c>
      <c r="L476" s="42">
        <f t="shared" si="84"/>
        <v>1</v>
      </c>
      <c r="M476" s="42">
        <f t="shared" si="92"/>
        <v>1</v>
      </c>
      <c r="N476" s="42">
        <f t="shared" si="85"/>
        <v>1</v>
      </c>
      <c r="O476" s="43">
        <f>'Detailed Results'!I476</f>
        <v>12</v>
      </c>
      <c r="P476" s="43">
        <f>'Detailed Results'!J476</f>
        <v>12</v>
      </c>
      <c r="Q476" s="44">
        <f t="shared" si="86"/>
        <v>1</v>
      </c>
      <c r="R476" s="44">
        <f t="shared" si="93"/>
        <v>1</v>
      </c>
      <c r="S476" s="44">
        <f t="shared" si="87"/>
        <v>1</v>
      </c>
      <c r="T476" s="45">
        <f>'Detailed Results'!K476</f>
        <v>9</v>
      </c>
      <c r="U476" s="45">
        <f>'Detailed Results'!L476</f>
        <v>9</v>
      </c>
      <c r="V476" s="46">
        <f t="shared" si="88"/>
        <v>1</v>
      </c>
      <c r="W476" s="46">
        <f t="shared" si="94"/>
        <v>1</v>
      </c>
      <c r="X476" s="46">
        <f t="shared" si="89"/>
        <v>1</v>
      </c>
      <c r="Y476" s="47">
        <f>'Detailed Results'!M476</f>
        <v>12</v>
      </c>
      <c r="Z476" s="47">
        <f>'Detailed Results'!N476</f>
        <v>8</v>
      </c>
      <c r="AA476" s="48">
        <f t="shared" si="90"/>
        <v>0.66666666666666663</v>
      </c>
      <c r="AB476" s="48">
        <f t="shared" si="95"/>
        <v>0.66666666666666663</v>
      </c>
      <c r="AC476" s="48">
        <f t="shared" si="91"/>
        <v>0.66666666666666663</v>
      </c>
    </row>
    <row r="477" spans="1:29" ht="15" customHeight="1" thickBot="1" x14ac:dyDescent="0.4">
      <c r="A477" s="185"/>
      <c r="B477" s="18" t="s">
        <v>22</v>
      </c>
      <c r="C477" s="19" t="s">
        <v>16</v>
      </c>
      <c r="D477" s="19">
        <v>2</v>
      </c>
      <c r="E477" s="18" t="s">
        <v>109</v>
      </c>
      <c r="F477" s="40">
        <f>'GT Input'!C12</f>
        <v>9</v>
      </c>
      <c r="G477" s="40">
        <f>'GT Input'!D12</f>
        <v>12</v>
      </c>
      <c r="H477" s="40">
        <f>'GT Input'!E12</f>
        <v>9</v>
      </c>
      <c r="I477" s="40">
        <f>'GT Input'!F12</f>
        <v>12</v>
      </c>
      <c r="J477" s="41">
        <f>'Detailed Results'!G477</f>
        <v>9</v>
      </c>
      <c r="K477" s="41">
        <f>'Detailed Results'!H477</f>
        <v>9</v>
      </c>
      <c r="L477" s="42">
        <f t="shared" si="84"/>
        <v>1</v>
      </c>
      <c r="M477" s="42">
        <f t="shared" si="92"/>
        <v>1</v>
      </c>
      <c r="N477" s="42">
        <f t="shared" si="85"/>
        <v>1</v>
      </c>
      <c r="O477" s="43">
        <f>'Detailed Results'!I477</f>
        <v>16</v>
      </c>
      <c r="P477" s="43">
        <f>'Detailed Results'!J477</f>
        <v>16</v>
      </c>
      <c r="Q477" s="44">
        <f t="shared" si="86"/>
        <v>1</v>
      </c>
      <c r="R477" s="44">
        <f t="shared" si="93"/>
        <v>1.3333333333333333</v>
      </c>
      <c r="S477" s="44">
        <f t="shared" si="87"/>
        <v>1.142857142857143</v>
      </c>
      <c r="T477" s="45">
        <f>'Detailed Results'!K477</f>
        <v>9</v>
      </c>
      <c r="U477" s="45">
        <f>'Detailed Results'!L477</f>
        <v>9</v>
      </c>
      <c r="V477" s="46">
        <f t="shared" si="88"/>
        <v>1</v>
      </c>
      <c r="W477" s="46">
        <f t="shared" si="94"/>
        <v>1</v>
      </c>
      <c r="X477" s="46">
        <f t="shared" si="89"/>
        <v>1</v>
      </c>
      <c r="Y477" s="47">
        <f>'Detailed Results'!M477</f>
        <v>16</v>
      </c>
      <c r="Z477" s="47">
        <f>'Detailed Results'!N477</f>
        <v>10</v>
      </c>
      <c r="AA477" s="48">
        <f t="shared" si="90"/>
        <v>0.625</v>
      </c>
      <c r="AB477" s="48">
        <f t="shared" si="95"/>
        <v>0.83333333333333337</v>
      </c>
      <c r="AC477" s="48">
        <f t="shared" si="91"/>
        <v>0.7142857142857143</v>
      </c>
    </row>
    <row r="478" spans="1:29" ht="15" customHeight="1" thickBot="1" x14ac:dyDescent="0.4">
      <c r="A478" s="185"/>
      <c r="B478" s="16" t="s">
        <v>22</v>
      </c>
      <c r="C478" s="17" t="s">
        <v>16</v>
      </c>
      <c r="D478" s="17">
        <v>3</v>
      </c>
      <c r="E478" s="16" t="s">
        <v>17</v>
      </c>
      <c r="F478" s="40">
        <f>'GT Input'!C12</f>
        <v>9</v>
      </c>
      <c r="G478" s="40">
        <f>'GT Input'!D12</f>
        <v>12</v>
      </c>
      <c r="H478" s="40">
        <f>'GT Input'!E12</f>
        <v>9</v>
      </c>
      <c r="I478" s="40">
        <f>'GT Input'!F12</f>
        <v>12</v>
      </c>
      <c r="J478" s="41">
        <f>'Detailed Results'!G478</f>
        <v>9</v>
      </c>
      <c r="K478" s="41">
        <f>'Detailed Results'!H478</f>
        <v>9</v>
      </c>
      <c r="L478" s="42">
        <f t="shared" si="84"/>
        <v>1</v>
      </c>
      <c r="M478" s="42">
        <f t="shared" si="92"/>
        <v>1</v>
      </c>
      <c r="N478" s="42">
        <f t="shared" si="85"/>
        <v>1</v>
      </c>
      <c r="O478" s="43">
        <f>'Detailed Results'!I478</f>
        <v>12</v>
      </c>
      <c r="P478" s="43">
        <f>'Detailed Results'!J478</f>
        <v>12</v>
      </c>
      <c r="Q478" s="44">
        <f t="shared" si="86"/>
        <v>1</v>
      </c>
      <c r="R478" s="44">
        <f t="shared" si="93"/>
        <v>1</v>
      </c>
      <c r="S478" s="44">
        <f t="shared" si="87"/>
        <v>1</v>
      </c>
      <c r="T478" s="45">
        <f>'Detailed Results'!K478</f>
        <v>9</v>
      </c>
      <c r="U478" s="45">
        <f>'Detailed Results'!L478</f>
        <v>9</v>
      </c>
      <c r="V478" s="46">
        <f t="shared" si="88"/>
        <v>1</v>
      </c>
      <c r="W478" s="46">
        <f t="shared" si="94"/>
        <v>1</v>
      </c>
      <c r="X478" s="46">
        <f t="shared" si="89"/>
        <v>1</v>
      </c>
      <c r="Y478" s="47">
        <f>'Detailed Results'!M478</f>
        <v>12</v>
      </c>
      <c r="Z478" s="47">
        <f>'Detailed Results'!N478</f>
        <v>8</v>
      </c>
      <c r="AA478" s="48">
        <f t="shared" si="90"/>
        <v>0.66666666666666663</v>
      </c>
      <c r="AB478" s="48">
        <f t="shared" si="95"/>
        <v>0.66666666666666663</v>
      </c>
      <c r="AC478" s="48">
        <f t="shared" si="91"/>
        <v>0.66666666666666663</v>
      </c>
    </row>
    <row r="479" spans="1:29" ht="15" customHeight="1" thickBot="1" x14ac:dyDescent="0.4">
      <c r="A479" s="185"/>
      <c r="B479" s="16" t="s">
        <v>22</v>
      </c>
      <c r="C479" s="17" t="s">
        <v>16</v>
      </c>
      <c r="D479" s="17">
        <v>3</v>
      </c>
      <c r="E479" s="16" t="s">
        <v>109</v>
      </c>
      <c r="F479" s="40">
        <f>'GT Input'!C12</f>
        <v>9</v>
      </c>
      <c r="G479" s="40">
        <f>'GT Input'!D12</f>
        <v>12</v>
      </c>
      <c r="H479" s="40">
        <f>'GT Input'!E12</f>
        <v>9</v>
      </c>
      <c r="I479" s="40">
        <f>'GT Input'!F12</f>
        <v>12</v>
      </c>
      <c r="J479" s="41">
        <f>'Detailed Results'!G479</f>
        <v>9</v>
      </c>
      <c r="K479" s="41">
        <f>'Detailed Results'!H479</f>
        <v>9</v>
      </c>
      <c r="L479" s="42">
        <f t="shared" si="84"/>
        <v>1</v>
      </c>
      <c r="M479" s="42">
        <f t="shared" si="92"/>
        <v>1</v>
      </c>
      <c r="N479" s="42">
        <f t="shared" si="85"/>
        <v>1</v>
      </c>
      <c r="O479" s="43">
        <f>'Detailed Results'!I479</f>
        <v>16</v>
      </c>
      <c r="P479" s="43">
        <f>'Detailed Results'!J479</f>
        <v>16</v>
      </c>
      <c r="Q479" s="44">
        <f t="shared" si="86"/>
        <v>1</v>
      </c>
      <c r="R479" s="44">
        <f t="shared" si="93"/>
        <v>1.3333333333333333</v>
      </c>
      <c r="S479" s="44">
        <f t="shared" si="87"/>
        <v>1.142857142857143</v>
      </c>
      <c r="T479" s="45">
        <f>'Detailed Results'!K479</f>
        <v>9</v>
      </c>
      <c r="U479" s="45">
        <f>'Detailed Results'!L479</f>
        <v>9</v>
      </c>
      <c r="V479" s="46">
        <f t="shared" si="88"/>
        <v>1</v>
      </c>
      <c r="W479" s="46">
        <f t="shared" si="94"/>
        <v>1</v>
      </c>
      <c r="X479" s="46">
        <f t="shared" si="89"/>
        <v>1</v>
      </c>
      <c r="Y479" s="47">
        <f>'Detailed Results'!M479</f>
        <v>16</v>
      </c>
      <c r="Z479" s="47">
        <f>'Detailed Results'!N479</f>
        <v>10</v>
      </c>
      <c r="AA479" s="48">
        <f t="shared" si="90"/>
        <v>0.625</v>
      </c>
      <c r="AB479" s="48">
        <f t="shared" si="95"/>
        <v>0.83333333333333337</v>
      </c>
      <c r="AC479" s="48">
        <f t="shared" si="91"/>
        <v>0.7142857142857143</v>
      </c>
    </row>
    <row r="480" spans="1:29" ht="15" customHeight="1" thickBot="1" x14ac:dyDescent="0.4">
      <c r="A480" s="185"/>
      <c r="B480" s="18" t="s">
        <v>22</v>
      </c>
      <c r="C480" s="19" t="s">
        <v>19</v>
      </c>
      <c r="D480" s="19">
        <v>1</v>
      </c>
      <c r="E480" s="18" t="s">
        <v>17</v>
      </c>
      <c r="F480" s="40">
        <f>'GT Input'!C12</f>
        <v>9</v>
      </c>
      <c r="G480" s="40">
        <f>'GT Input'!D12</f>
        <v>12</v>
      </c>
      <c r="H480" s="40">
        <f>'GT Input'!E12</f>
        <v>9</v>
      </c>
      <c r="I480" s="40">
        <f>'GT Input'!F12</f>
        <v>12</v>
      </c>
      <c r="J480" s="41">
        <f>'Detailed Results'!G480</f>
        <v>9</v>
      </c>
      <c r="K480" s="41">
        <f>'Detailed Results'!H480</f>
        <v>9</v>
      </c>
      <c r="L480" s="42">
        <f t="shared" si="84"/>
        <v>1</v>
      </c>
      <c r="M480" s="42">
        <f t="shared" si="92"/>
        <v>1</v>
      </c>
      <c r="N480" s="42">
        <f t="shared" si="85"/>
        <v>1</v>
      </c>
      <c r="O480" s="43">
        <f>'Detailed Results'!I480</f>
        <v>12</v>
      </c>
      <c r="P480" s="43">
        <f>'Detailed Results'!J480</f>
        <v>12</v>
      </c>
      <c r="Q480" s="44">
        <f t="shared" si="86"/>
        <v>1</v>
      </c>
      <c r="R480" s="44">
        <f t="shared" si="93"/>
        <v>1</v>
      </c>
      <c r="S480" s="44">
        <f t="shared" si="87"/>
        <v>1</v>
      </c>
      <c r="T480" s="45">
        <f>'Detailed Results'!K480</f>
        <v>9</v>
      </c>
      <c r="U480" s="45">
        <f>'Detailed Results'!L480</f>
        <v>9</v>
      </c>
      <c r="V480" s="46">
        <f t="shared" si="88"/>
        <v>1</v>
      </c>
      <c r="W480" s="46">
        <f t="shared" si="94"/>
        <v>1</v>
      </c>
      <c r="X480" s="46">
        <f t="shared" si="89"/>
        <v>1</v>
      </c>
      <c r="Y480" s="47">
        <f>'Detailed Results'!M480</f>
        <v>12</v>
      </c>
      <c r="Z480" s="47">
        <f>'Detailed Results'!N480</f>
        <v>8</v>
      </c>
      <c r="AA480" s="48">
        <f t="shared" si="90"/>
        <v>0.66666666666666663</v>
      </c>
      <c r="AB480" s="48">
        <f t="shared" si="95"/>
        <v>0.66666666666666663</v>
      </c>
      <c r="AC480" s="48">
        <f t="shared" si="91"/>
        <v>0.66666666666666663</v>
      </c>
    </row>
    <row r="481" spans="1:29" ht="15" customHeight="1" thickBot="1" x14ac:dyDescent="0.4">
      <c r="A481" s="185"/>
      <c r="B481" s="18" t="s">
        <v>22</v>
      </c>
      <c r="C481" s="19" t="s">
        <v>19</v>
      </c>
      <c r="D481" s="19">
        <v>1</v>
      </c>
      <c r="E481" s="18" t="s">
        <v>109</v>
      </c>
      <c r="F481" s="40">
        <f>'GT Input'!C12</f>
        <v>9</v>
      </c>
      <c r="G481" s="40">
        <f>'GT Input'!D12</f>
        <v>12</v>
      </c>
      <c r="H481" s="40">
        <f>'GT Input'!E12</f>
        <v>9</v>
      </c>
      <c r="I481" s="40">
        <f>'GT Input'!F12</f>
        <v>12</v>
      </c>
      <c r="J481" s="41">
        <f>'Detailed Results'!G481</f>
        <v>9</v>
      </c>
      <c r="K481" s="41">
        <f>'Detailed Results'!H481</f>
        <v>9</v>
      </c>
      <c r="L481" s="42">
        <f t="shared" si="84"/>
        <v>1</v>
      </c>
      <c r="M481" s="42">
        <f t="shared" si="92"/>
        <v>1</v>
      </c>
      <c r="N481" s="42">
        <f t="shared" si="85"/>
        <v>1</v>
      </c>
      <c r="O481" s="43">
        <f>'Detailed Results'!I481</f>
        <v>16</v>
      </c>
      <c r="P481" s="43">
        <f>'Detailed Results'!J481</f>
        <v>16</v>
      </c>
      <c r="Q481" s="44">
        <f t="shared" si="86"/>
        <v>1</v>
      </c>
      <c r="R481" s="44">
        <f t="shared" si="93"/>
        <v>1.3333333333333333</v>
      </c>
      <c r="S481" s="44">
        <f t="shared" si="87"/>
        <v>1.142857142857143</v>
      </c>
      <c r="T481" s="45">
        <f>'Detailed Results'!K481</f>
        <v>9</v>
      </c>
      <c r="U481" s="45">
        <f>'Detailed Results'!L481</f>
        <v>9</v>
      </c>
      <c r="V481" s="46">
        <f t="shared" si="88"/>
        <v>1</v>
      </c>
      <c r="W481" s="46">
        <f t="shared" si="94"/>
        <v>1</v>
      </c>
      <c r="X481" s="46">
        <f t="shared" si="89"/>
        <v>1</v>
      </c>
      <c r="Y481" s="47">
        <f>'Detailed Results'!M481</f>
        <v>16</v>
      </c>
      <c r="Z481" s="47">
        <f>'Detailed Results'!N481</f>
        <v>10</v>
      </c>
      <c r="AA481" s="48">
        <f t="shared" si="90"/>
        <v>0.625</v>
      </c>
      <c r="AB481" s="48">
        <f t="shared" si="95"/>
        <v>0.83333333333333337</v>
      </c>
      <c r="AC481" s="48">
        <f t="shared" si="91"/>
        <v>0.7142857142857143</v>
      </c>
    </row>
    <row r="482" spans="1:29" ht="15" customHeight="1" thickBot="1" x14ac:dyDescent="0.4">
      <c r="A482" s="185"/>
      <c r="B482" s="16" t="s">
        <v>22</v>
      </c>
      <c r="C482" s="17" t="s">
        <v>19</v>
      </c>
      <c r="D482" s="17">
        <v>2</v>
      </c>
      <c r="E482" s="16" t="s">
        <v>17</v>
      </c>
      <c r="F482" s="40">
        <f>'GT Input'!C12</f>
        <v>9</v>
      </c>
      <c r="G482" s="40">
        <f>'GT Input'!D12</f>
        <v>12</v>
      </c>
      <c r="H482" s="40">
        <f>'GT Input'!E12</f>
        <v>9</v>
      </c>
      <c r="I482" s="40">
        <f>'GT Input'!F12</f>
        <v>12</v>
      </c>
      <c r="J482" s="41">
        <f>'Detailed Results'!G482</f>
        <v>9</v>
      </c>
      <c r="K482" s="41">
        <f>'Detailed Results'!H482</f>
        <v>9</v>
      </c>
      <c r="L482" s="42">
        <f t="shared" si="84"/>
        <v>1</v>
      </c>
      <c r="M482" s="42">
        <f t="shared" si="92"/>
        <v>1</v>
      </c>
      <c r="N482" s="42">
        <f t="shared" si="85"/>
        <v>1</v>
      </c>
      <c r="O482" s="43">
        <f>'Detailed Results'!I482</f>
        <v>12</v>
      </c>
      <c r="P482" s="43">
        <f>'Detailed Results'!J482</f>
        <v>12</v>
      </c>
      <c r="Q482" s="44">
        <f t="shared" si="86"/>
        <v>1</v>
      </c>
      <c r="R482" s="44">
        <f t="shared" si="93"/>
        <v>1</v>
      </c>
      <c r="S482" s="44">
        <f t="shared" si="87"/>
        <v>1</v>
      </c>
      <c r="T482" s="45">
        <f>'Detailed Results'!K482</f>
        <v>9</v>
      </c>
      <c r="U482" s="45">
        <f>'Detailed Results'!L482</f>
        <v>9</v>
      </c>
      <c r="V482" s="46">
        <f t="shared" si="88"/>
        <v>1</v>
      </c>
      <c r="W482" s="46">
        <f t="shared" si="94"/>
        <v>1</v>
      </c>
      <c r="X482" s="46">
        <f t="shared" si="89"/>
        <v>1</v>
      </c>
      <c r="Y482" s="47">
        <f>'Detailed Results'!M482</f>
        <v>12</v>
      </c>
      <c r="Z482" s="47">
        <f>'Detailed Results'!N482</f>
        <v>8</v>
      </c>
      <c r="AA482" s="48">
        <f t="shared" si="90"/>
        <v>0.66666666666666663</v>
      </c>
      <c r="AB482" s="48">
        <f t="shared" si="95"/>
        <v>0.66666666666666663</v>
      </c>
      <c r="AC482" s="48">
        <f t="shared" si="91"/>
        <v>0.66666666666666663</v>
      </c>
    </row>
    <row r="483" spans="1:29" ht="15" customHeight="1" thickBot="1" x14ac:dyDescent="0.4">
      <c r="A483" s="185"/>
      <c r="B483" s="16" t="s">
        <v>22</v>
      </c>
      <c r="C483" s="17" t="s">
        <v>19</v>
      </c>
      <c r="D483" s="17">
        <v>2</v>
      </c>
      <c r="E483" s="16" t="s">
        <v>109</v>
      </c>
      <c r="F483" s="40">
        <f>'GT Input'!C12</f>
        <v>9</v>
      </c>
      <c r="G483" s="40">
        <f>'GT Input'!D12</f>
        <v>12</v>
      </c>
      <c r="H483" s="40">
        <f>'GT Input'!E12</f>
        <v>9</v>
      </c>
      <c r="I483" s="40">
        <f>'GT Input'!F12</f>
        <v>12</v>
      </c>
      <c r="J483" s="41">
        <f>'Detailed Results'!G483</f>
        <v>9</v>
      </c>
      <c r="K483" s="41">
        <f>'Detailed Results'!H483</f>
        <v>9</v>
      </c>
      <c r="L483" s="42">
        <f t="shared" si="84"/>
        <v>1</v>
      </c>
      <c r="M483" s="42">
        <f t="shared" si="92"/>
        <v>1</v>
      </c>
      <c r="N483" s="42">
        <f t="shared" si="85"/>
        <v>1</v>
      </c>
      <c r="O483" s="43">
        <f>'Detailed Results'!I483</f>
        <v>8</v>
      </c>
      <c r="P483" s="43">
        <f>'Detailed Results'!J483</f>
        <v>8</v>
      </c>
      <c r="Q483" s="44">
        <f t="shared" si="86"/>
        <v>1</v>
      </c>
      <c r="R483" s="44">
        <f t="shared" si="93"/>
        <v>0.66666666666666663</v>
      </c>
      <c r="S483" s="44">
        <f t="shared" si="87"/>
        <v>0.8</v>
      </c>
      <c r="T483" s="45">
        <f>'Detailed Results'!K483</f>
        <v>9</v>
      </c>
      <c r="U483" s="45">
        <f>'Detailed Results'!L483</f>
        <v>9</v>
      </c>
      <c r="V483" s="46">
        <f t="shared" si="88"/>
        <v>1</v>
      </c>
      <c r="W483" s="46">
        <f t="shared" si="94"/>
        <v>1</v>
      </c>
      <c r="X483" s="46">
        <f t="shared" si="89"/>
        <v>1</v>
      </c>
      <c r="Y483" s="47">
        <f>'Detailed Results'!M483</f>
        <v>8</v>
      </c>
      <c r="Z483" s="47">
        <f>'Detailed Results'!N483</f>
        <v>8</v>
      </c>
      <c r="AA483" s="48">
        <f t="shared" si="90"/>
        <v>1</v>
      </c>
      <c r="AB483" s="48">
        <f t="shared" si="95"/>
        <v>0.66666666666666663</v>
      </c>
      <c r="AC483" s="48">
        <f t="shared" si="91"/>
        <v>0.8</v>
      </c>
    </row>
    <row r="484" spans="1:29" ht="15" customHeight="1" thickBot="1" x14ac:dyDescent="0.4">
      <c r="A484" s="185"/>
      <c r="B484" s="18" t="s">
        <v>22</v>
      </c>
      <c r="C484" s="19" t="s">
        <v>19</v>
      </c>
      <c r="D484" s="19">
        <v>3</v>
      </c>
      <c r="E484" s="18" t="s">
        <v>17</v>
      </c>
      <c r="F484" s="40">
        <f>'GT Input'!C12</f>
        <v>9</v>
      </c>
      <c r="G484" s="40">
        <f>'GT Input'!D12</f>
        <v>12</v>
      </c>
      <c r="H484" s="40">
        <f>'GT Input'!E12</f>
        <v>9</v>
      </c>
      <c r="I484" s="40">
        <f>'GT Input'!F12</f>
        <v>12</v>
      </c>
      <c r="J484" s="41">
        <f>'Detailed Results'!G484</f>
        <v>9</v>
      </c>
      <c r="K484" s="41">
        <f>'Detailed Results'!H484</f>
        <v>9</v>
      </c>
      <c r="L484" s="42">
        <f t="shared" si="84"/>
        <v>1</v>
      </c>
      <c r="M484" s="42">
        <f t="shared" si="92"/>
        <v>1</v>
      </c>
      <c r="N484" s="42">
        <f t="shared" si="85"/>
        <v>1</v>
      </c>
      <c r="O484" s="43">
        <f>'Detailed Results'!I484</f>
        <v>12</v>
      </c>
      <c r="P484" s="43">
        <f>'Detailed Results'!J484</f>
        <v>12</v>
      </c>
      <c r="Q484" s="44">
        <f t="shared" si="86"/>
        <v>1</v>
      </c>
      <c r="R484" s="44">
        <f t="shared" si="93"/>
        <v>1</v>
      </c>
      <c r="S484" s="44">
        <f t="shared" si="87"/>
        <v>1</v>
      </c>
      <c r="T484" s="45">
        <f>'Detailed Results'!K484</f>
        <v>9</v>
      </c>
      <c r="U484" s="45">
        <f>'Detailed Results'!L484</f>
        <v>9</v>
      </c>
      <c r="V484" s="46">
        <f t="shared" si="88"/>
        <v>1</v>
      </c>
      <c r="W484" s="46">
        <f t="shared" si="94"/>
        <v>1</v>
      </c>
      <c r="X484" s="46">
        <f t="shared" si="89"/>
        <v>1</v>
      </c>
      <c r="Y484" s="47">
        <f>'Detailed Results'!M484</f>
        <v>12</v>
      </c>
      <c r="Z484" s="47">
        <f>'Detailed Results'!N484</f>
        <v>8</v>
      </c>
      <c r="AA484" s="48">
        <f t="shared" si="90"/>
        <v>0.66666666666666663</v>
      </c>
      <c r="AB484" s="48">
        <f t="shared" si="95"/>
        <v>0.66666666666666663</v>
      </c>
      <c r="AC484" s="48">
        <f t="shared" si="91"/>
        <v>0.66666666666666663</v>
      </c>
    </row>
    <row r="485" spans="1:29" ht="15" customHeight="1" thickBot="1" x14ac:dyDescent="0.4">
      <c r="A485" s="185"/>
      <c r="B485" s="18" t="s">
        <v>22</v>
      </c>
      <c r="C485" s="19" t="s">
        <v>19</v>
      </c>
      <c r="D485" s="19">
        <v>3</v>
      </c>
      <c r="E485" s="18" t="s">
        <v>109</v>
      </c>
      <c r="F485" s="40">
        <f>'GT Input'!C12</f>
        <v>9</v>
      </c>
      <c r="G485" s="40">
        <f>'GT Input'!D12</f>
        <v>12</v>
      </c>
      <c r="H485" s="40">
        <f>'GT Input'!E12</f>
        <v>9</v>
      </c>
      <c r="I485" s="40">
        <f>'GT Input'!F12</f>
        <v>12</v>
      </c>
      <c r="J485" s="41">
        <f>'Detailed Results'!G485</f>
        <v>9</v>
      </c>
      <c r="K485" s="41">
        <f>'Detailed Results'!H485</f>
        <v>9</v>
      </c>
      <c r="L485" s="42">
        <f t="shared" si="84"/>
        <v>1</v>
      </c>
      <c r="M485" s="42">
        <f t="shared" si="92"/>
        <v>1</v>
      </c>
      <c r="N485" s="42">
        <f t="shared" si="85"/>
        <v>1</v>
      </c>
      <c r="O485" s="43">
        <f>'Detailed Results'!I485</f>
        <v>11</v>
      </c>
      <c r="P485" s="43">
        <f>'Detailed Results'!J485</f>
        <v>11</v>
      </c>
      <c r="Q485" s="44">
        <f t="shared" si="86"/>
        <v>1</v>
      </c>
      <c r="R485" s="44">
        <f t="shared" si="93"/>
        <v>0.91666666666666663</v>
      </c>
      <c r="S485" s="44">
        <f t="shared" si="87"/>
        <v>0.95652173913043481</v>
      </c>
      <c r="T485" s="45">
        <f>'Detailed Results'!K485</f>
        <v>9</v>
      </c>
      <c r="U485" s="45">
        <f>'Detailed Results'!L485</f>
        <v>9</v>
      </c>
      <c r="V485" s="46">
        <f t="shared" si="88"/>
        <v>1</v>
      </c>
      <c r="W485" s="46">
        <f t="shared" si="94"/>
        <v>1</v>
      </c>
      <c r="X485" s="46">
        <f t="shared" si="89"/>
        <v>1</v>
      </c>
      <c r="Y485" s="47">
        <f>'Detailed Results'!M485</f>
        <v>11</v>
      </c>
      <c r="Z485" s="47">
        <f>'Detailed Results'!N485</f>
        <v>8</v>
      </c>
      <c r="AA485" s="48">
        <f t="shared" si="90"/>
        <v>0.72727272727272729</v>
      </c>
      <c r="AB485" s="48">
        <f t="shared" si="95"/>
        <v>0.66666666666666663</v>
      </c>
      <c r="AC485" s="48">
        <f t="shared" si="91"/>
        <v>0.69565217391304346</v>
      </c>
    </row>
    <row r="486" spans="1:29" ht="15" customHeight="1" thickBot="1" x14ac:dyDescent="0.4">
      <c r="A486" s="185"/>
      <c r="B486" s="16" t="s">
        <v>22</v>
      </c>
      <c r="C486" s="17" t="s">
        <v>20</v>
      </c>
      <c r="D486" s="17">
        <v>1</v>
      </c>
      <c r="E486" s="16" t="s">
        <v>17</v>
      </c>
      <c r="F486" s="40">
        <f>'GT Input'!C12</f>
        <v>9</v>
      </c>
      <c r="G486" s="40">
        <f>'GT Input'!D12</f>
        <v>12</v>
      </c>
      <c r="H486" s="40">
        <f>'GT Input'!E12</f>
        <v>9</v>
      </c>
      <c r="I486" s="40">
        <f>'GT Input'!F12</f>
        <v>12</v>
      </c>
      <c r="J486" s="41">
        <f>'Detailed Results'!G486</f>
        <v>9</v>
      </c>
      <c r="K486" s="41">
        <f>'Detailed Results'!H486</f>
        <v>9</v>
      </c>
      <c r="L486" s="42">
        <f t="shared" si="84"/>
        <v>1</v>
      </c>
      <c r="M486" s="42">
        <f t="shared" si="92"/>
        <v>1</v>
      </c>
      <c r="N486" s="42">
        <f t="shared" si="85"/>
        <v>1</v>
      </c>
      <c r="O486" s="43">
        <f>'Detailed Results'!I486</f>
        <v>12</v>
      </c>
      <c r="P486" s="43">
        <f>'Detailed Results'!J486</f>
        <v>12</v>
      </c>
      <c r="Q486" s="44">
        <f t="shared" si="86"/>
        <v>1</v>
      </c>
      <c r="R486" s="44">
        <f t="shared" si="93"/>
        <v>1</v>
      </c>
      <c r="S486" s="44">
        <f t="shared" si="87"/>
        <v>1</v>
      </c>
      <c r="T486" s="45">
        <f>'Detailed Results'!K486</f>
        <v>9</v>
      </c>
      <c r="U486" s="45">
        <f>'Detailed Results'!L486</f>
        <v>9</v>
      </c>
      <c r="V486" s="46">
        <f t="shared" si="88"/>
        <v>1</v>
      </c>
      <c r="W486" s="46">
        <f t="shared" si="94"/>
        <v>1</v>
      </c>
      <c r="X486" s="46">
        <f t="shared" si="89"/>
        <v>1</v>
      </c>
      <c r="Y486" s="47">
        <f>'Detailed Results'!M486</f>
        <v>12</v>
      </c>
      <c r="Z486" s="47">
        <f>'Detailed Results'!N486</f>
        <v>8</v>
      </c>
      <c r="AA486" s="48">
        <f t="shared" si="90"/>
        <v>0.66666666666666663</v>
      </c>
      <c r="AB486" s="48">
        <f t="shared" si="95"/>
        <v>0.66666666666666663</v>
      </c>
      <c r="AC486" s="48">
        <f t="shared" si="91"/>
        <v>0.66666666666666663</v>
      </c>
    </row>
    <row r="487" spans="1:29" ht="15" customHeight="1" thickBot="1" x14ac:dyDescent="0.4">
      <c r="A487" s="185"/>
      <c r="B487" s="16" t="s">
        <v>22</v>
      </c>
      <c r="C487" s="17" t="s">
        <v>20</v>
      </c>
      <c r="D487" s="17">
        <v>1</v>
      </c>
      <c r="E487" s="16" t="s">
        <v>109</v>
      </c>
      <c r="F487" s="40">
        <f>'GT Input'!C12</f>
        <v>9</v>
      </c>
      <c r="G487" s="40">
        <f>'GT Input'!D12</f>
        <v>12</v>
      </c>
      <c r="H487" s="40">
        <f>'GT Input'!E12</f>
        <v>9</v>
      </c>
      <c r="I487" s="40">
        <f>'GT Input'!F12</f>
        <v>12</v>
      </c>
      <c r="J487" s="41">
        <f>'Detailed Results'!G487</f>
        <v>9</v>
      </c>
      <c r="K487" s="41">
        <f>'Detailed Results'!H487</f>
        <v>9</v>
      </c>
      <c r="L487" s="42">
        <f t="shared" si="84"/>
        <v>1</v>
      </c>
      <c r="M487" s="42">
        <f t="shared" si="92"/>
        <v>1</v>
      </c>
      <c r="N487" s="42">
        <f t="shared" si="85"/>
        <v>1</v>
      </c>
      <c r="O487" s="43">
        <f>'Detailed Results'!I487</f>
        <v>16</v>
      </c>
      <c r="P487" s="43">
        <f>'Detailed Results'!J487</f>
        <v>16</v>
      </c>
      <c r="Q487" s="44">
        <f t="shared" si="86"/>
        <v>1</v>
      </c>
      <c r="R487" s="44">
        <f t="shared" si="93"/>
        <v>1.3333333333333333</v>
      </c>
      <c r="S487" s="44">
        <f t="shared" si="87"/>
        <v>1.142857142857143</v>
      </c>
      <c r="T487" s="45">
        <f>'Detailed Results'!K487</f>
        <v>9</v>
      </c>
      <c r="U487" s="45">
        <f>'Detailed Results'!L487</f>
        <v>9</v>
      </c>
      <c r="V487" s="46">
        <f t="shared" si="88"/>
        <v>1</v>
      </c>
      <c r="W487" s="46">
        <f t="shared" si="94"/>
        <v>1</v>
      </c>
      <c r="X487" s="46">
        <f t="shared" si="89"/>
        <v>1</v>
      </c>
      <c r="Y487" s="47">
        <f>'Detailed Results'!M487</f>
        <v>16</v>
      </c>
      <c r="Z487" s="47">
        <f>'Detailed Results'!N487</f>
        <v>8</v>
      </c>
      <c r="AA487" s="48">
        <f t="shared" si="90"/>
        <v>0.5</v>
      </c>
      <c r="AB487" s="48">
        <f t="shared" si="95"/>
        <v>0.66666666666666663</v>
      </c>
      <c r="AC487" s="48">
        <f t="shared" si="91"/>
        <v>0.57142857142857151</v>
      </c>
    </row>
    <row r="488" spans="1:29" ht="15" customHeight="1" thickBot="1" x14ac:dyDescent="0.4">
      <c r="A488" s="185"/>
      <c r="B488" s="18" t="s">
        <v>22</v>
      </c>
      <c r="C488" s="19" t="s">
        <v>20</v>
      </c>
      <c r="D488" s="19">
        <v>2</v>
      </c>
      <c r="E488" s="18" t="s">
        <v>17</v>
      </c>
      <c r="F488" s="40">
        <f>'GT Input'!C12</f>
        <v>9</v>
      </c>
      <c r="G488" s="40">
        <f>'GT Input'!D12</f>
        <v>12</v>
      </c>
      <c r="H488" s="40">
        <f>'GT Input'!E12</f>
        <v>9</v>
      </c>
      <c r="I488" s="40">
        <f>'GT Input'!F12</f>
        <v>12</v>
      </c>
      <c r="J488" s="41">
        <f>'Detailed Results'!G488</f>
        <v>9</v>
      </c>
      <c r="K488" s="41">
        <f>'Detailed Results'!H488</f>
        <v>9</v>
      </c>
      <c r="L488" s="42">
        <f t="shared" si="84"/>
        <v>1</v>
      </c>
      <c r="M488" s="42">
        <f t="shared" si="92"/>
        <v>1</v>
      </c>
      <c r="N488" s="42">
        <f t="shared" si="85"/>
        <v>1</v>
      </c>
      <c r="O488" s="43">
        <f>'Detailed Results'!I488</f>
        <v>12</v>
      </c>
      <c r="P488" s="43">
        <f>'Detailed Results'!J488</f>
        <v>12</v>
      </c>
      <c r="Q488" s="44">
        <f t="shared" si="86"/>
        <v>1</v>
      </c>
      <c r="R488" s="44">
        <f t="shared" si="93"/>
        <v>1</v>
      </c>
      <c r="S488" s="44">
        <f t="shared" si="87"/>
        <v>1</v>
      </c>
      <c r="T488" s="45">
        <f>'Detailed Results'!K488</f>
        <v>9</v>
      </c>
      <c r="U488" s="45">
        <f>'Detailed Results'!L488</f>
        <v>9</v>
      </c>
      <c r="V488" s="46">
        <f t="shared" si="88"/>
        <v>1</v>
      </c>
      <c r="W488" s="46">
        <f t="shared" si="94"/>
        <v>1</v>
      </c>
      <c r="X488" s="46">
        <f t="shared" si="89"/>
        <v>1</v>
      </c>
      <c r="Y488" s="47">
        <f>'Detailed Results'!M488</f>
        <v>12</v>
      </c>
      <c r="Z488" s="47">
        <f>'Detailed Results'!N488</f>
        <v>8</v>
      </c>
      <c r="AA488" s="48">
        <f t="shared" si="90"/>
        <v>0.66666666666666663</v>
      </c>
      <c r="AB488" s="48">
        <f t="shared" si="95"/>
        <v>0.66666666666666663</v>
      </c>
      <c r="AC488" s="48">
        <f t="shared" si="91"/>
        <v>0.66666666666666663</v>
      </c>
    </row>
    <row r="489" spans="1:29" ht="15" customHeight="1" thickBot="1" x14ac:dyDescent="0.4">
      <c r="A489" s="185"/>
      <c r="B489" s="18" t="s">
        <v>22</v>
      </c>
      <c r="C489" s="19" t="s">
        <v>20</v>
      </c>
      <c r="D489" s="19">
        <v>2</v>
      </c>
      <c r="E489" s="18" t="s">
        <v>109</v>
      </c>
      <c r="F489" s="40">
        <f>'GT Input'!C12</f>
        <v>9</v>
      </c>
      <c r="G489" s="40">
        <f>'GT Input'!D12</f>
        <v>12</v>
      </c>
      <c r="H489" s="40">
        <f>'GT Input'!E12</f>
        <v>9</v>
      </c>
      <c r="I489" s="40">
        <f>'GT Input'!F12</f>
        <v>12</v>
      </c>
      <c r="J489" s="41">
        <f>'Detailed Results'!G489</f>
        <v>9</v>
      </c>
      <c r="K489" s="41">
        <f>'Detailed Results'!H489</f>
        <v>9</v>
      </c>
      <c r="L489" s="42">
        <f t="shared" si="84"/>
        <v>1</v>
      </c>
      <c r="M489" s="42">
        <f t="shared" si="92"/>
        <v>1</v>
      </c>
      <c r="N489" s="42">
        <f t="shared" si="85"/>
        <v>1</v>
      </c>
      <c r="O489" s="43">
        <f>'Detailed Results'!I489</f>
        <v>11</v>
      </c>
      <c r="P489" s="43">
        <f>'Detailed Results'!J489</f>
        <v>11</v>
      </c>
      <c r="Q489" s="44">
        <f t="shared" si="86"/>
        <v>1</v>
      </c>
      <c r="R489" s="44">
        <f t="shared" si="93"/>
        <v>0.91666666666666663</v>
      </c>
      <c r="S489" s="44">
        <f t="shared" si="87"/>
        <v>0.95652173913043481</v>
      </c>
      <c r="T489" s="45">
        <f>'Detailed Results'!K489</f>
        <v>9</v>
      </c>
      <c r="U489" s="45">
        <f>'Detailed Results'!L489</f>
        <v>9</v>
      </c>
      <c r="V489" s="46">
        <f t="shared" si="88"/>
        <v>1</v>
      </c>
      <c r="W489" s="46">
        <f t="shared" si="94"/>
        <v>1</v>
      </c>
      <c r="X489" s="46">
        <f t="shared" si="89"/>
        <v>1</v>
      </c>
      <c r="Y489" s="47">
        <f>'Detailed Results'!M489</f>
        <v>11</v>
      </c>
      <c r="Z489" s="47">
        <f>'Detailed Results'!N489</f>
        <v>8</v>
      </c>
      <c r="AA489" s="48">
        <f t="shared" si="90"/>
        <v>0.72727272727272729</v>
      </c>
      <c r="AB489" s="48">
        <f t="shared" si="95"/>
        <v>0.66666666666666663</v>
      </c>
      <c r="AC489" s="48">
        <f t="shared" si="91"/>
        <v>0.69565217391304346</v>
      </c>
    </row>
    <row r="490" spans="1:29" ht="15" customHeight="1" thickBot="1" x14ac:dyDescent="0.4">
      <c r="A490" s="185"/>
      <c r="B490" s="16" t="s">
        <v>22</v>
      </c>
      <c r="C490" s="17" t="s">
        <v>20</v>
      </c>
      <c r="D490" s="17">
        <v>3</v>
      </c>
      <c r="E490" s="16" t="s">
        <v>17</v>
      </c>
      <c r="F490" s="40">
        <f>'GT Input'!C12</f>
        <v>9</v>
      </c>
      <c r="G490" s="40">
        <f>'GT Input'!D12</f>
        <v>12</v>
      </c>
      <c r="H490" s="40">
        <f>'GT Input'!E12</f>
        <v>9</v>
      </c>
      <c r="I490" s="40">
        <f>'GT Input'!F12</f>
        <v>12</v>
      </c>
      <c r="J490" s="41">
        <f>'Detailed Results'!G490</f>
        <v>9</v>
      </c>
      <c r="K490" s="41">
        <f>'Detailed Results'!H490</f>
        <v>9</v>
      </c>
      <c r="L490" s="42">
        <f t="shared" si="84"/>
        <v>1</v>
      </c>
      <c r="M490" s="42">
        <f t="shared" si="92"/>
        <v>1</v>
      </c>
      <c r="N490" s="42">
        <f t="shared" si="85"/>
        <v>1</v>
      </c>
      <c r="O490" s="43">
        <f>'Detailed Results'!I490</f>
        <v>12</v>
      </c>
      <c r="P490" s="43">
        <f>'Detailed Results'!J490</f>
        <v>12</v>
      </c>
      <c r="Q490" s="44">
        <f t="shared" si="86"/>
        <v>1</v>
      </c>
      <c r="R490" s="44">
        <f t="shared" si="93"/>
        <v>1</v>
      </c>
      <c r="S490" s="44">
        <f t="shared" si="87"/>
        <v>1</v>
      </c>
      <c r="T490" s="45">
        <f>'Detailed Results'!K490</f>
        <v>9</v>
      </c>
      <c r="U490" s="45">
        <f>'Detailed Results'!L490</f>
        <v>9</v>
      </c>
      <c r="V490" s="46">
        <f t="shared" si="88"/>
        <v>1</v>
      </c>
      <c r="W490" s="46">
        <f t="shared" si="94"/>
        <v>1</v>
      </c>
      <c r="X490" s="46">
        <f t="shared" si="89"/>
        <v>1</v>
      </c>
      <c r="Y490" s="47">
        <f>'Detailed Results'!M490</f>
        <v>12</v>
      </c>
      <c r="Z490" s="47">
        <f>'Detailed Results'!N490</f>
        <v>8</v>
      </c>
      <c r="AA490" s="48">
        <f t="shared" si="90"/>
        <v>0.66666666666666663</v>
      </c>
      <c r="AB490" s="48">
        <f t="shared" si="95"/>
        <v>0.66666666666666663</v>
      </c>
      <c r="AC490" s="48">
        <f t="shared" si="91"/>
        <v>0.66666666666666663</v>
      </c>
    </row>
    <row r="491" spans="1:29" s="64" customFormat="1" ht="15" customHeight="1" thickBot="1" x14ac:dyDescent="0.4">
      <c r="A491" s="185"/>
      <c r="B491" s="53" t="s">
        <v>22</v>
      </c>
      <c r="C491" s="54" t="s">
        <v>20</v>
      </c>
      <c r="D491" s="54">
        <v>3</v>
      </c>
      <c r="E491" s="53" t="s">
        <v>109</v>
      </c>
      <c r="F491" s="55">
        <f>'GT Input'!C12</f>
        <v>9</v>
      </c>
      <c r="G491" s="55">
        <f>'GT Input'!D12</f>
        <v>12</v>
      </c>
      <c r="H491" s="55">
        <f>'GT Input'!E12</f>
        <v>9</v>
      </c>
      <c r="I491" s="55">
        <f>'GT Input'!F12</f>
        <v>12</v>
      </c>
      <c r="J491" s="56">
        <f>'Detailed Results'!G491</f>
        <v>9</v>
      </c>
      <c r="K491" s="56">
        <f>'Detailed Results'!H491</f>
        <v>9</v>
      </c>
      <c r="L491" s="57">
        <f t="shared" si="84"/>
        <v>1</v>
      </c>
      <c r="M491" s="57">
        <f t="shared" si="92"/>
        <v>1</v>
      </c>
      <c r="N491" s="57">
        <f t="shared" si="85"/>
        <v>1</v>
      </c>
      <c r="O491" s="58">
        <f>'Detailed Results'!I491</f>
        <v>16</v>
      </c>
      <c r="P491" s="58">
        <f>'Detailed Results'!J491</f>
        <v>16</v>
      </c>
      <c r="Q491" s="59">
        <f t="shared" si="86"/>
        <v>1</v>
      </c>
      <c r="R491" s="59">
        <f t="shared" si="93"/>
        <v>1.3333333333333333</v>
      </c>
      <c r="S491" s="59">
        <f t="shared" si="87"/>
        <v>1.142857142857143</v>
      </c>
      <c r="T491" s="60">
        <f>'Detailed Results'!K491</f>
        <v>9</v>
      </c>
      <c r="U491" s="60">
        <f>'Detailed Results'!L491</f>
        <v>9</v>
      </c>
      <c r="V491" s="61">
        <f t="shared" si="88"/>
        <v>1</v>
      </c>
      <c r="W491" s="61">
        <f t="shared" si="94"/>
        <v>1</v>
      </c>
      <c r="X491" s="61">
        <f t="shared" si="89"/>
        <v>1</v>
      </c>
      <c r="Y491" s="62">
        <f>'Detailed Results'!M491</f>
        <v>16</v>
      </c>
      <c r="Z491" s="62">
        <f>'Detailed Results'!N491</f>
        <v>8</v>
      </c>
      <c r="AA491" s="63">
        <f t="shared" si="90"/>
        <v>0.5</v>
      </c>
      <c r="AB491" s="63">
        <f t="shared" si="95"/>
        <v>0.66666666666666663</v>
      </c>
      <c r="AC491" s="63">
        <f t="shared" si="91"/>
        <v>0.57142857142857151</v>
      </c>
    </row>
    <row r="492" spans="1:29" ht="15" customHeight="1" thickBot="1" x14ac:dyDescent="0.4">
      <c r="A492" s="185" t="s">
        <v>31</v>
      </c>
      <c r="B492" s="65" t="s">
        <v>15</v>
      </c>
      <c r="C492" s="66" t="s">
        <v>16</v>
      </c>
      <c r="D492" s="66">
        <v>1</v>
      </c>
      <c r="E492" s="65" t="s">
        <v>17</v>
      </c>
      <c r="F492" s="67">
        <f>'GT Input'!C13</f>
        <v>7</v>
      </c>
      <c r="G492" s="67">
        <f>'GT Input'!D13</f>
        <v>14</v>
      </c>
      <c r="H492" s="67">
        <f>'GT Input'!E13</f>
        <v>7</v>
      </c>
      <c r="I492" s="67">
        <f>'GT Input'!F13</f>
        <v>14</v>
      </c>
      <c r="J492" s="68">
        <f>'Detailed Results'!G492</f>
        <v>9</v>
      </c>
      <c r="K492" s="68">
        <f>'Detailed Results'!H492</f>
        <v>9</v>
      </c>
      <c r="L492" s="69">
        <f t="shared" si="84"/>
        <v>1</v>
      </c>
      <c r="M492" s="69">
        <f t="shared" si="92"/>
        <v>1.2857142857142858</v>
      </c>
      <c r="N492" s="69">
        <f t="shared" si="85"/>
        <v>1.1250000000000002</v>
      </c>
      <c r="O492" s="70">
        <f>'Detailed Results'!I492</f>
        <v>13</v>
      </c>
      <c r="P492" s="70">
        <f>'Detailed Results'!J492</f>
        <v>13</v>
      </c>
      <c r="Q492" s="71">
        <f t="shared" si="86"/>
        <v>1</v>
      </c>
      <c r="R492" s="71">
        <f t="shared" si="93"/>
        <v>0.9285714285714286</v>
      </c>
      <c r="S492" s="71">
        <f t="shared" si="87"/>
        <v>0.96296296296296302</v>
      </c>
      <c r="T492" s="72">
        <f>'Detailed Results'!K492</f>
        <v>9</v>
      </c>
      <c r="U492" s="72">
        <f>'Detailed Results'!L492</f>
        <v>6</v>
      </c>
      <c r="V492" s="73">
        <f t="shared" si="88"/>
        <v>0.66666666666666663</v>
      </c>
      <c r="W492" s="73">
        <f t="shared" si="94"/>
        <v>0.8571428571428571</v>
      </c>
      <c r="X492" s="73">
        <f t="shared" si="89"/>
        <v>0.75</v>
      </c>
      <c r="Y492" s="74">
        <f>'Detailed Results'!M492</f>
        <v>13</v>
      </c>
      <c r="Z492" s="74">
        <f>'Detailed Results'!N492</f>
        <v>5</v>
      </c>
      <c r="AA492" s="75">
        <f t="shared" si="90"/>
        <v>0.38461538461538464</v>
      </c>
      <c r="AB492" s="75">
        <f t="shared" si="95"/>
        <v>0.35714285714285715</v>
      </c>
      <c r="AC492" s="75">
        <f t="shared" si="91"/>
        <v>0.37037037037037041</v>
      </c>
    </row>
    <row r="493" spans="1:29" ht="15" customHeight="1" thickBot="1" x14ac:dyDescent="0.4">
      <c r="A493" s="185"/>
      <c r="B493" s="7" t="s">
        <v>15</v>
      </c>
      <c r="C493" s="8" t="s">
        <v>16</v>
      </c>
      <c r="D493" s="8">
        <v>1</v>
      </c>
      <c r="E493" s="7" t="s">
        <v>109</v>
      </c>
      <c r="F493" s="40">
        <f>'GT Input'!C13</f>
        <v>7</v>
      </c>
      <c r="G493" s="40">
        <f>'GT Input'!D13</f>
        <v>14</v>
      </c>
      <c r="H493" s="40">
        <f>'GT Input'!E13</f>
        <v>7</v>
      </c>
      <c r="I493" s="40">
        <f>'GT Input'!F13</f>
        <v>14</v>
      </c>
      <c r="J493" s="41">
        <f>'Detailed Results'!G493</f>
        <v>7</v>
      </c>
      <c r="K493" s="41">
        <f>'Detailed Results'!H493</f>
        <v>7</v>
      </c>
      <c r="L493" s="42">
        <f t="shared" si="84"/>
        <v>1</v>
      </c>
      <c r="M493" s="42">
        <f t="shared" si="92"/>
        <v>1</v>
      </c>
      <c r="N493" s="42">
        <f t="shared" si="85"/>
        <v>1</v>
      </c>
      <c r="O493" s="43">
        <f>'Detailed Results'!I493</f>
        <v>10</v>
      </c>
      <c r="P493" s="43">
        <f>'Detailed Results'!J493</f>
        <v>10</v>
      </c>
      <c r="Q493" s="44">
        <f t="shared" si="86"/>
        <v>1</v>
      </c>
      <c r="R493" s="44">
        <f t="shared" si="93"/>
        <v>0.7142857142857143</v>
      </c>
      <c r="S493" s="44">
        <f t="shared" si="87"/>
        <v>0.83333333333333326</v>
      </c>
      <c r="T493" s="45">
        <f>'Detailed Results'!K493</f>
        <v>7</v>
      </c>
      <c r="U493" s="45">
        <f>'Detailed Results'!L493</f>
        <v>7</v>
      </c>
      <c r="V493" s="46">
        <f t="shared" si="88"/>
        <v>1</v>
      </c>
      <c r="W493" s="46">
        <f t="shared" si="94"/>
        <v>1</v>
      </c>
      <c r="X493" s="46">
        <f t="shared" si="89"/>
        <v>1</v>
      </c>
      <c r="Y493" s="47">
        <f>'Detailed Results'!M493</f>
        <v>10</v>
      </c>
      <c r="Z493" s="47">
        <f>'Detailed Results'!N493</f>
        <v>10</v>
      </c>
      <c r="AA493" s="48">
        <f t="shared" si="90"/>
        <v>1</v>
      </c>
      <c r="AB493" s="48">
        <f t="shared" si="95"/>
        <v>0.7142857142857143</v>
      </c>
      <c r="AC493" s="48">
        <f t="shared" si="91"/>
        <v>0.83333333333333326</v>
      </c>
    </row>
    <row r="494" spans="1:29" ht="15" customHeight="1" thickBot="1" x14ac:dyDescent="0.4">
      <c r="A494" s="185"/>
      <c r="B494" s="10" t="s">
        <v>15</v>
      </c>
      <c r="C494" s="11" t="s">
        <v>16</v>
      </c>
      <c r="D494" s="11">
        <v>2</v>
      </c>
      <c r="E494" s="10" t="s">
        <v>17</v>
      </c>
      <c r="F494" s="40">
        <f>'GT Input'!C13</f>
        <v>7</v>
      </c>
      <c r="G494" s="40">
        <f>'GT Input'!D13</f>
        <v>14</v>
      </c>
      <c r="H494" s="40">
        <f>'GT Input'!E13</f>
        <v>7</v>
      </c>
      <c r="I494" s="40">
        <f>'GT Input'!F13</f>
        <v>14</v>
      </c>
      <c r="J494" s="41">
        <f>'Detailed Results'!G494</f>
        <v>9</v>
      </c>
      <c r="K494" s="41">
        <f>'Detailed Results'!H494</f>
        <v>9</v>
      </c>
      <c r="L494" s="42">
        <f t="shared" si="84"/>
        <v>1</v>
      </c>
      <c r="M494" s="42">
        <f t="shared" si="92"/>
        <v>1.2857142857142858</v>
      </c>
      <c r="N494" s="42">
        <f t="shared" si="85"/>
        <v>1.1250000000000002</v>
      </c>
      <c r="O494" s="43">
        <f>'Detailed Results'!I494</f>
        <v>12</v>
      </c>
      <c r="P494" s="43">
        <f>'Detailed Results'!J494</f>
        <v>12</v>
      </c>
      <c r="Q494" s="44">
        <f t="shared" si="86"/>
        <v>1</v>
      </c>
      <c r="R494" s="44">
        <f t="shared" si="93"/>
        <v>0.8571428571428571</v>
      </c>
      <c r="S494" s="44">
        <f t="shared" si="87"/>
        <v>0.92307692307692302</v>
      </c>
      <c r="T494" s="45">
        <f>'Detailed Results'!K494</f>
        <v>9</v>
      </c>
      <c r="U494" s="45">
        <f>'Detailed Results'!L494</f>
        <v>6</v>
      </c>
      <c r="V494" s="46">
        <f t="shared" si="88"/>
        <v>0.66666666666666663</v>
      </c>
      <c r="W494" s="46">
        <f t="shared" si="94"/>
        <v>0.8571428571428571</v>
      </c>
      <c r="X494" s="46">
        <f t="shared" si="89"/>
        <v>0.75</v>
      </c>
      <c r="Y494" s="47">
        <f>'Detailed Results'!M494</f>
        <v>12</v>
      </c>
      <c r="Z494" s="47">
        <f>'Detailed Results'!N494</f>
        <v>5</v>
      </c>
      <c r="AA494" s="48">
        <f t="shared" si="90"/>
        <v>0.41666666666666669</v>
      </c>
      <c r="AB494" s="48">
        <f t="shared" si="95"/>
        <v>0.35714285714285715</v>
      </c>
      <c r="AC494" s="48">
        <f t="shared" si="91"/>
        <v>0.38461538461538458</v>
      </c>
    </row>
    <row r="495" spans="1:29" ht="15" customHeight="1" thickBot="1" x14ac:dyDescent="0.4">
      <c r="A495" s="185"/>
      <c r="B495" s="10" t="s">
        <v>15</v>
      </c>
      <c r="C495" s="11" t="s">
        <v>16</v>
      </c>
      <c r="D495" s="11">
        <v>2</v>
      </c>
      <c r="E495" s="10" t="s">
        <v>109</v>
      </c>
      <c r="F495" s="40">
        <f>'GT Input'!C13</f>
        <v>7</v>
      </c>
      <c r="G495" s="40">
        <f>'GT Input'!D13</f>
        <v>14</v>
      </c>
      <c r="H495" s="40">
        <f>'GT Input'!E13</f>
        <v>7</v>
      </c>
      <c r="I495" s="40">
        <f>'GT Input'!F13</f>
        <v>14</v>
      </c>
      <c r="J495" s="41">
        <f>'Detailed Results'!G495</f>
        <v>7</v>
      </c>
      <c r="K495" s="41">
        <f>'Detailed Results'!H495</f>
        <v>7</v>
      </c>
      <c r="L495" s="42">
        <f t="shared" si="84"/>
        <v>1</v>
      </c>
      <c r="M495" s="42">
        <f t="shared" si="92"/>
        <v>1</v>
      </c>
      <c r="N495" s="42">
        <f t="shared" si="85"/>
        <v>1</v>
      </c>
      <c r="O495" s="43">
        <f>'Detailed Results'!I495</f>
        <v>10</v>
      </c>
      <c r="P495" s="43">
        <f>'Detailed Results'!J495</f>
        <v>10</v>
      </c>
      <c r="Q495" s="44">
        <f t="shared" si="86"/>
        <v>1</v>
      </c>
      <c r="R495" s="44">
        <f t="shared" si="93"/>
        <v>0.7142857142857143</v>
      </c>
      <c r="S495" s="44">
        <f t="shared" si="87"/>
        <v>0.83333333333333326</v>
      </c>
      <c r="T495" s="45">
        <f>'Detailed Results'!K495</f>
        <v>7</v>
      </c>
      <c r="U495" s="45">
        <f>'Detailed Results'!L495</f>
        <v>7</v>
      </c>
      <c r="V495" s="46">
        <f t="shared" si="88"/>
        <v>1</v>
      </c>
      <c r="W495" s="46">
        <f t="shared" si="94"/>
        <v>1</v>
      </c>
      <c r="X495" s="46">
        <f t="shared" si="89"/>
        <v>1</v>
      </c>
      <c r="Y495" s="47">
        <f>'Detailed Results'!M495</f>
        <v>10</v>
      </c>
      <c r="Z495" s="47">
        <f>'Detailed Results'!N495</f>
        <v>10</v>
      </c>
      <c r="AA495" s="48">
        <f t="shared" si="90"/>
        <v>1</v>
      </c>
      <c r="AB495" s="48">
        <f t="shared" si="95"/>
        <v>0.7142857142857143</v>
      </c>
      <c r="AC495" s="48">
        <f t="shared" si="91"/>
        <v>0.83333333333333326</v>
      </c>
    </row>
    <row r="496" spans="1:29" ht="15" customHeight="1" thickBot="1" x14ac:dyDescent="0.4">
      <c r="A496" s="185"/>
      <c r="B496" s="7" t="s">
        <v>15</v>
      </c>
      <c r="C496" s="8" t="s">
        <v>16</v>
      </c>
      <c r="D496" s="8">
        <v>3</v>
      </c>
      <c r="E496" s="7" t="s">
        <v>17</v>
      </c>
      <c r="F496" s="40">
        <f>'GT Input'!C13</f>
        <v>7</v>
      </c>
      <c r="G496" s="40">
        <f>'GT Input'!D13</f>
        <v>14</v>
      </c>
      <c r="H496" s="40">
        <f>'GT Input'!E13</f>
        <v>7</v>
      </c>
      <c r="I496" s="40">
        <f>'GT Input'!F13</f>
        <v>14</v>
      </c>
      <c r="J496" s="41">
        <f>'Detailed Results'!G496</f>
        <v>9</v>
      </c>
      <c r="K496" s="41">
        <f>'Detailed Results'!H496</f>
        <v>9</v>
      </c>
      <c r="L496" s="42">
        <f t="shared" si="84"/>
        <v>1</v>
      </c>
      <c r="M496" s="42">
        <f t="shared" si="92"/>
        <v>1.2857142857142858</v>
      </c>
      <c r="N496" s="42">
        <f t="shared" si="85"/>
        <v>1.1250000000000002</v>
      </c>
      <c r="O496" s="43">
        <f>'Detailed Results'!I496</f>
        <v>16</v>
      </c>
      <c r="P496" s="43">
        <f>'Detailed Results'!J496</f>
        <v>16</v>
      </c>
      <c r="Q496" s="44">
        <f t="shared" si="86"/>
        <v>1</v>
      </c>
      <c r="R496" s="44">
        <f t="shared" si="93"/>
        <v>1.1428571428571428</v>
      </c>
      <c r="S496" s="44">
        <f t="shared" si="87"/>
        <v>1.0666666666666667</v>
      </c>
      <c r="T496" s="45">
        <f>'Detailed Results'!K496</f>
        <v>9</v>
      </c>
      <c r="U496" s="45">
        <f>'Detailed Results'!L496</f>
        <v>6</v>
      </c>
      <c r="V496" s="46">
        <f t="shared" si="88"/>
        <v>0.66666666666666663</v>
      </c>
      <c r="W496" s="46">
        <f t="shared" si="94"/>
        <v>0.8571428571428571</v>
      </c>
      <c r="X496" s="46">
        <f t="shared" si="89"/>
        <v>0.75</v>
      </c>
      <c r="Y496" s="47">
        <f>'Detailed Results'!M496</f>
        <v>16</v>
      </c>
      <c r="Z496" s="47">
        <f>'Detailed Results'!N496</f>
        <v>5</v>
      </c>
      <c r="AA496" s="48">
        <f t="shared" si="90"/>
        <v>0.3125</v>
      </c>
      <c r="AB496" s="48">
        <f t="shared" si="95"/>
        <v>0.35714285714285715</v>
      </c>
      <c r="AC496" s="48">
        <f t="shared" si="91"/>
        <v>0.33333333333333331</v>
      </c>
    </row>
    <row r="497" spans="1:29" ht="15" customHeight="1" thickBot="1" x14ac:dyDescent="0.4">
      <c r="A497" s="185"/>
      <c r="B497" s="7" t="s">
        <v>15</v>
      </c>
      <c r="C497" s="8" t="s">
        <v>16</v>
      </c>
      <c r="D497" s="8">
        <v>3</v>
      </c>
      <c r="E497" s="7" t="s">
        <v>109</v>
      </c>
      <c r="F497" s="40">
        <f>'GT Input'!C13</f>
        <v>7</v>
      </c>
      <c r="G497" s="40">
        <f>'GT Input'!D13</f>
        <v>14</v>
      </c>
      <c r="H497" s="40">
        <f>'GT Input'!E13</f>
        <v>7</v>
      </c>
      <c r="I497" s="40">
        <f>'GT Input'!F13</f>
        <v>14</v>
      </c>
      <c r="J497" s="41">
        <f>'Detailed Results'!G497</f>
        <v>7</v>
      </c>
      <c r="K497" s="41">
        <f>'Detailed Results'!H497</f>
        <v>7</v>
      </c>
      <c r="L497" s="42">
        <f t="shared" si="84"/>
        <v>1</v>
      </c>
      <c r="M497" s="42">
        <f t="shared" si="92"/>
        <v>1</v>
      </c>
      <c r="N497" s="42">
        <f t="shared" si="85"/>
        <v>1</v>
      </c>
      <c r="O497" s="43">
        <f>'Detailed Results'!I497</f>
        <v>10</v>
      </c>
      <c r="P497" s="43">
        <f>'Detailed Results'!J497</f>
        <v>10</v>
      </c>
      <c r="Q497" s="44">
        <f t="shared" si="86"/>
        <v>1</v>
      </c>
      <c r="R497" s="44">
        <f t="shared" si="93"/>
        <v>0.7142857142857143</v>
      </c>
      <c r="S497" s="44">
        <f t="shared" si="87"/>
        <v>0.83333333333333326</v>
      </c>
      <c r="T497" s="45">
        <f>'Detailed Results'!K497</f>
        <v>7</v>
      </c>
      <c r="U497" s="45">
        <f>'Detailed Results'!L497</f>
        <v>7</v>
      </c>
      <c r="V497" s="46">
        <f t="shared" si="88"/>
        <v>1</v>
      </c>
      <c r="W497" s="46">
        <f t="shared" si="94"/>
        <v>1</v>
      </c>
      <c r="X497" s="46">
        <f t="shared" si="89"/>
        <v>1</v>
      </c>
      <c r="Y497" s="47">
        <f>'Detailed Results'!M497</f>
        <v>10</v>
      </c>
      <c r="Z497" s="47">
        <f>'Detailed Results'!N497</f>
        <v>10</v>
      </c>
      <c r="AA497" s="48">
        <f t="shared" si="90"/>
        <v>1</v>
      </c>
      <c r="AB497" s="48">
        <f t="shared" si="95"/>
        <v>0.7142857142857143</v>
      </c>
      <c r="AC497" s="48">
        <f t="shared" si="91"/>
        <v>0.83333333333333326</v>
      </c>
    </row>
    <row r="498" spans="1:29" ht="15" customHeight="1" thickBot="1" x14ac:dyDescent="0.4">
      <c r="A498" s="185"/>
      <c r="B498" s="10" t="s">
        <v>15</v>
      </c>
      <c r="C498" s="11" t="s">
        <v>19</v>
      </c>
      <c r="D498" s="11">
        <v>1</v>
      </c>
      <c r="E498" s="10" t="s">
        <v>17</v>
      </c>
      <c r="F498" s="40">
        <f>'GT Input'!C13</f>
        <v>7</v>
      </c>
      <c r="G498" s="40">
        <f>'GT Input'!D13</f>
        <v>14</v>
      </c>
      <c r="H498" s="40">
        <f>'GT Input'!E13</f>
        <v>7</v>
      </c>
      <c r="I498" s="40">
        <f>'GT Input'!F13</f>
        <v>14</v>
      </c>
      <c r="J498" s="41">
        <f>'Detailed Results'!G498</f>
        <v>7</v>
      </c>
      <c r="K498" s="41">
        <f>'Detailed Results'!H498</f>
        <v>7</v>
      </c>
      <c r="L498" s="42">
        <f t="shared" si="84"/>
        <v>1</v>
      </c>
      <c r="M498" s="42">
        <f t="shared" si="92"/>
        <v>1</v>
      </c>
      <c r="N498" s="42">
        <f t="shared" si="85"/>
        <v>1</v>
      </c>
      <c r="O498" s="43">
        <f>'Detailed Results'!I498</f>
        <v>11</v>
      </c>
      <c r="P498" s="43">
        <f>'Detailed Results'!J498</f>
        <v>11</v>
      </c>
      <c r="Q498" s="44">
        <f t="shared" si="86"/>
        <v>1</v>
      </c>
      <c r="R498" s="44">
        <f t="shared" si="93"/>
        <v>0.7857142857142857</v>
      </c>
      <c r="S498" s="44">
        <f t="shared" si="87"/>
        <v>0.88</v>
      </c>
      <c r="T498" s="45">
        <f>'Detailed Results'!K498</f>
        <v>7</v>
      </c>
      <c r="U498" s="45">
        <f>'Detailed Results'!L498</f>
        <v>7</v>
      </c>
      <c r="V498" s="46">
        <f t="shared" si="88"/>
        <v>1</v>
      </c>
      <c r="W498" s="46">
        <f t="shared" si="94"/>
        <v>1</v>
      </c>
      <c r="X498" s="46">
        <f t="shared" si="89"/>
        <v>1</v>
      </c>
      <c r="Y498" s="47">
        <f>'Detailed Results'!M498</f>
        <v>11</v>
      </c>
      <c r="Z498" s="47">
        <f>'Detailed Results'!N498</f>
        <v>11</v>
      </c>
      <c r="AA498" s="48">
        <f t="shared" si="90"/>
        <v>1</v>
      </c>
      <c r="AB498" s="48">
        <f t="shared" si="95"/>
        <v>0.7857142857142857</v>
      </c>
      <c r="AC498" s="48">
        <f t="shared" si="91"/>
        <v>0.88</v>
      </c>
    </row>
    <row r="499" spans="1:29" ht="15" customHeight="1" thickBot="1" x14ac:dyDescent="0.4">
      <c r="A499" s="185"/>
      <c r="B499" s="10" t="s">
        <v>15</v>
      </c>
      <c r="C499" s="11" t="s">
        <v>19</v>
      </c>
      <c r="D499" s="11">
        <v>1</v>
      </c>
      <c r="E499" s="10" t="s">
        <v>109</v>
      </c>
      <c r="F499" s="40">
        <f>'GT Input'!C13</f>
        <v>7</v>
      </c>
      <c r="G499" s="40">
        <f>'GT Input'!D13</f>
        <v>14</v>
      </c>
      <c r="H499" s="40">
        <f>'GT Input'!E13</f>
        <v>7</v>
      </c>
      <c r="I499" s="40">
        <f>'GT Input'!F13</f>
        <v>14</v>
      </c>
      <c r="J499" s="41">
        <f>'Detailed Results'!G499</f>
        <v>7</v>
      </c>
      <c r="K499" s="41">
        <f>'Detailed Results'!H499</f>
        <v>7</v>
      </c>
      <c r="L499" s="42">
        <f t="shared" si="84"/>
        <v>1</v>
      </c>
      <c r="M499" s="42">
        <f t="shared" si="92"/>
        <v>1</v>
      </c>
      <c r="N499" s="42">
        <f t="shared" si="85"/>
        <v>1</v>
      </c>
      <c r="O499" s="43">
        <f>'Detailed Results'!I499</f>
        <v>11</v>
      </c>
      <c r="P499" s="43">
        <f>'Detailed Results'!J499</f>
        <v>11</v>
      </c>
      <c r="Q499" s="44">
        <f t="shared" si="86"/>
        <v>1</v>
      </c>
      <c r="R499" s="44">
        <f t="shared" si="93"/>
        <v>0.7857142857142857</v>
      </c>
      <c r="S499" s="44">
        <f t="shared" si="87"/>
        <v>0.88</v>
      </c>
      <c r="T499" s="45">
        <f>'Detailed Results'!K499</f>
        <v>7</v>
      </c>
      <c r="U499" s="45">
        <f>'Detailed Results'!L499</f>
        <v>7</v>
      </c>
      <c r="V499" s="46">
        <f t="shared" si="88"/>
        <v>1</v>
      </c>
      <c r="W499" s="46">
        <f t="shared" si="94"/>
        <v>1</v>
      </c>
      <c r="X499" s="46">
        <f t="shared" si="89"/>
        <v>1</v>
      </c>
      <c r="Y499" s="47">
        <f>'Detailed Results'!M499</f>
        <v>11</v>
      </c>
      <c r="Z499" s="47">
        <f>'Detailed Results'!N499</f>
        <v>11</v>
      </c>
      <c r="AA499" s="48">
        <f t="shared" si="90"/>
        <v>1</v>
      </c>
      <c r="AB499" s="48">
        <f t="shared" si="95"/>
        <v>0.7857142857142857</v>
      </c>
      <c r="AC499" s="48">
        <f t="shared" si="91"/>
        <v>0.88</v>
      </c>
    </row>
    <row r="500" spans="1:29" ht="15" customHeight="1" thickBot="1" x14ac:dyDescent="0.4">
      <c r="A500" s="185"/>
      <c r="B500" s="7" t="s">
        <v>15</v>
      </c>
      <c r="C500" s="8" t="s">
        <v>19</v>
      </c>
      <c r="D500" s="8">
        <v>2</v>
      </c>
      <c r="E500" s="7" t="s">
        <v>17</v>
      </c>
      <c r="F500" s="40">
        <f>'GT Input'!C13</f>
        <v>7</v>
      </c>
      <c r="G500" s="40">
        <f>'GT Input'!D13</f>
        <v>14</v>
      </c>
      <c r="H500" s="40">
        <f>'GT Input'!E13</f>
        <v>7</v>
      </c>
      <c r="I500" s="40">
        <f>'GT Input'!F13</f>
        <v>14</v>
      </c>
      <c r="J500" s="41">
        <f>'Detailed Results'!G500</f>
        <v>7</v>
      </c>
      <c r="K500" s="41">
        <f>'Detailed Results'!H500</f>
        <v>7</v>
      </c>
      <c r="L500" s="42">
        <f t="shared" si="84"/>
        <v>1</v>
      </c>
      <c r="M500" s="42">
        <f t="shared" si="92"/>
        <v>1</v>
      </c>
      <c r="N500" s="42">
        <f t="shared" si="85"/>
        <v>1</v>
      </c>
      <c r="O500" s="43">
        <f>'Detailed Results'!I500</f>
        <v>12</v>
      </c>
      <c r="P500" s="43">
        <f>'Detailed Results'!J500</f>
        <v>12</v>
      </c>
      <c r="Q500" s="44">
        <f t="shared" si="86"/>
        <v>1</v>
      </c>
      <c r="R500" s="44">
        <f t="shared" si="93"/>
        <v>0.8571428571428571</v>
      </c>
      <c r="S500" s="44">
        <f t="shared" si="87"/>
        <v>0.92307692307692302</v>
      </c>
      <c r="T500" s="45">
        <f>'Detailed Results'!K500</f>
        <v>7</v>
      </c>
      <c r="U500" s="45">
        <f>'Detailed Results'!L500</f>
        <v>7</v>
      </c>
      <c r="V500" s="46">
        <f t="shared" si="88"/>
        <v>1</v>
      </c>
      <c r="W500" s="46">
        <f t="shared" si="94"/>
        <v>1</v>
      </c>
      <c r="X500" s="46">
        <f t="shared" si="89"/>
        <v>1</v>
      </c>
      <c r="Y500" s="47">
        <f>'Detailed Results'!M500</f>
        <v>12</v>
      </c>
      <c r="Z500" s="47">
        <f>'Detailed Results'!N500</f>
        <v>12</v>
      </c>
      <c r="AA500" s="48">
        <f t="shared" si="90"/>
        <v>1</v>
      </c>
      <c r="AB500" s="48">
        <f t="shared" si="95"/>
        <v>0.8571428571428571</v>
      </c>
      <c r="AC500" s="48">
        <f t="shared" si="91"/>
        <v>0.92307692307692302</v>
      </c>
    </row>
    <row r="501" spans="1:29" ht="15" customHeight="1" thickBot="1" x14ac:dyDescent="0.4">
      <c r="A501" s="185"/>
      <c r="B501" s="7" t="s">
        <v>15</v>
      </c>
      <c r="C501" s="8" t="s">
        <v>19</v>
      </c>
      <c r="D501" s="8">
        <v>2</v>
      </c>
      <c r="E501" s="7" t="s">
        <v>109</v>
      </c>
      <c r="F501" s="40">
        <f>'GT Input'!C13</f>
        <v>7</v>
      </c>
      <c r="G501" s="40">
        <f>'GT Input'!D13</f>
        <v>14</v>
      </c>
      <c r="H501" s="40">
        <f>'GT Input'!E13</f>
        <v>7</v>
      </c>
      <c r="I501" s="40">
        <f>'GT Input'!F13</f>
        <v>14</v>
      </c>
      <c r="J501" s="41">
        <f>'Detailed Results'!G501</f>
        <v>7</v>
      </c>
      <c r="K501" s="41">
        <f>'Detailed Results'!H501</f>
        <v>7</v>
      </c>
      <c r="L501" s="42">
        <f t="shared" si="84"/>
        <v>1</v>
      </c>
      <c r="M501" s="42">
        <f t="shared" si="92"/>
        <v>1</v>
      </c>
      <c r="N501" s="42">
        <f t="shared" si="85"/>
        <v>1</v>
      </c>
      <c r="O501" s="43">
        <f>'Detailed Results'!I501</f>
        <v>12</v>
      </c>
      <c r="P501" s="43">
        <f>'Detailed Results'!J501</f>
        <v>12</v>
      </c>
      <c r="Q501" s="44">
        <f t="shared" si="86"/>
        <v>1</v>
      </c>
      <c r="R501" s="44">
        <f t="shared" si="93"/>
        <v>0.8571428571428571</v>
      </c>
      <c r="S501" s="44">
        <f t="shared" si="87"/>
        <v>0.92307692307692302</v>
      </c>
      <c r="T501" s="45">
        <f>'Detailed Results'!K501</f>
        <v>7</v>
      </c>
      <c r="U501" s="45">
        <f>'Detailed Results'!L501</f>
        <v>7</v>
      </c>
      <c r="V501" s="46">
        <f t="shared" si="88"/>
        <v>1</v>
      </c>
      <c r="W501" s="46">
        <f t="shared" si="94"/>
        <v>1</v>
      </c>
      <c r="X501" s="46">
        <f t="shared" si="89"/>
        <v>1</v>
      </c>
      <c r="Y501" s="47">
        <f>'Detailed Results'!M501</f>
        <v>12</v>
      </c>
      <c r="Z501" s="47">
        <f>'Detailed Results'!N501</f>
        <v>9</v>
      </c>
      <c r="AA501" s="48">
        <f t="shared" si="90"/>
        <v>0.75</v>
      </c>
      <c r="AB501" s="48">
        <f t="shared" si="95"/>
        <v>0.6428571428571429</v>
      </c>
      <c r="AC501" s="48">
        <f t="shared" si="91"/>
        <v>0.6923076923076924</v>
      </c>
    </row>
    <row r="502" spans="1:29" ht="15" customHeight="1" thickBot="1" x14ac:dyDescent="0.4">
      <c r="A502" s="185"/>
      <c r="B502" s="10" t="s">
        <v>15</v>
      </c>
      <c r="C502" s="11" t="s">
        <v>19</v>
      </c>
      <c r="D502" s="11">
        <v>3</v>
      </c>
      <c r="E502" s="10" t="s">
        <v>17</v>
      </c>
      <c r="F502" s="40">
        <f>'GT Input'!C13</f>
        <v>7</v>
      </c>
      <c r="G502" s="40">
        <f>'GT Input'!D13</f>
        <v>14</v>
      </c>
      <c r="H502" s="40">
        <f>'GT Input'!E13</f>
        <v>7</v>
      </c>
      <c r="I502" s="40">
        <f>'GT Input'!F13</f>
        <v>14</v>
      </c>
      <c r="J502" s="41">
        <f>'Detailed Results'!G502</f>
        <v>9</v>
      </c>
      <c r="K502" s="41">
        <f>'Detailed Results'!H502</f>
        <v>9</v>
      </c>
      <c r="L502" s="42">
        <f t="shared" si="84"/>
        <v>1</v>
      </c>
      <c r="M502" s="42">
        <f t="shared" si="92"/>
        <v>1.2857142857142858</v>
      </c>
      <c r="N502" s="42">
        <f t="shared" si="85"/>
        <v>1.1250000000000002</v>
      </c>
      <c r="O502" s="43">
        <f>'Detailed Results'!I502</f>
        <v>12</v>
      </c>
      <c r="P502" s="43">
        <f>'Detailed Results'!J502</f>
        <v>12</v>
      </c>
      <c r="Q502" s="44">
        <f t="shared" si="86"/>
        <v>1</v>
      </c>
      <c r="R502" s="44">
        <f t="shared" si="93"/>
        <v>0.8571428571428571</v>
      </c>
      <c r="S502" s="44">
        <f t="shared" si="87"/>
        <v>0.92307692307692302</v>
      </c>
      <c r="T502" s="45">
        <f>'Detailed Results'!K502</f>
        <v>9</v>
      </c>
      <c r="U502" s="45">
        <f>'Detailed Results'!L502</f>
        <v>6</v>
      </c>
      <c r="V502" s="46">
        <f t="shared" si="88"/>
        <v>0.66666666666666663</v>
      </c>
      <c r="W502" s="46">
        <f t="shared" si="94"/>
        <v>0.8571428571428571</v>
      </c>
      <c r="X502" s="46">
        <f t="shared" si="89"/>
        <v>0.75</v>
      </c>
      <c r="Y502" s="47">
        <f>'Detailed Results'!M502</f>
        <v>12</v>
      </c>
      <c r="Z502" s="47">
        <f>'Detailed Results'!N502</f>
        <v>5</v>
      </c>
      <c r="AA502" s="48">
        <f t="shared" si="90"/>
        <v>0.41666666666666669</v>
      </c>
      <c r="AB502" s="48">
        <f t="shared" si="95"/>
        <v>0.35714285714285715</v>
      </c>
      <c r="AC502" s="48">
        <f t="shared" si="91"/>
        <v>0.38461538461538458</v>
      </c>
    </row>
    <row r="503" spans="1:29" ht="15" customHeight="1" thickBot="1" x14ac:dyDescent="0.4">
      <c r="A503" s="185"/>
      <c r="B503" s="10" t="s">
        <v>15</v>
      </c>
      <c r="C503" s="11" t="s">
        <v>19</v>
      </c>
      <c r="D503" s="11">
        <v>3</v>
      </c>
      <c r="E503" s="10" t="s">
        <v>109</v>
      </c>
      <c r="F503" s="40">
        <f>'GT Input'!C13</f>
        <v>7</v>
      </c>
      <c r="G503" s="40">
        <f>'GT Input'!D13</f>
        <v>14</v>
      </c>
      <c r="H503" s="40">
        <f>'GT Input'!E13</f>
        <v>7</v>
      </c>
      <c r="I503" s="40">
        <f>'GT Input'!F13</f>
        <v>14</v>
      </c>
      <c r="J503" s="41">
        <f>'Detailed Results'!G503</f>
        <v>7</v>
      </c>
      <c r="K503" s="41">
        <f>'Detailed Results'!H503</f>
        <v>7</v>
      </c>
      <c r="L503" s="42">
        <f t="shared" si="84"/>
        <v>1</v>
      </c>
      <c r="M503" s="42">
        <f t="shared" si="92"/>
        <v>1</v>
      </c>
      <c r="N503" s="42">
        <f t="shared" si="85"/>
        <v>1</v>
      </c>
      <c r="O503" s="43">
        <f>'Detailed Results'!I503</f>
        <v>10</v>
      </c>
      <c r="P503" s="43">
        <f>'Detailed Results'!J503</f>
        <v>10</v>
      </c>
      <c r="Q503" s="44">
        <f t="shared" si="86"/>
        <v>1</v>
      </c>
      <c r="R503" s="44">
        <f t="shared" si="93"/>
        <v>0.7142857142857143</v>
      </c>
      <c r="S503" s="44">
        <f t="shared" si="87"/>
        <v>0.83333333333333326</v>
      </c>
      <c r="T503" s="45">
        <f>'Detailed Results'!K503</f>
        <v>7</v>
      </c>
      <c r="U503" s="45">
        <f>'Detailed Results'!L503</f>
        <v>7</v>
      </c>
      <c r="V503" s="46">
        <f t="shared" si="88"/>
        <v>1</v>
      </c>
      <c r="W503" s="46">
        <f t="shared" si="94"/>
        <v>1</v>
      </c>
      <c r="X503" s="46">
        <f t="shared" si="89"/>
        <v>1</v>
      </c>
      <c r="Y503" s="47">
        <f>'Detailed Results'!M503</f>
        <v>10</v>
      </c>
      <c r="Z503" s="47">
        <f>'Detailed Results'!N503</f>
        <v>10</v>
      </c>
      <c r="AA503" s="48">
        <f t="shared" si="90"/>
        <v>1</v>
      </c>
      <c r="AB503" s="48">
        <f t="shared" si="95"/>
        <v>0.7142857142857143</v>
      </c>
      <c r="AC503" s="48">
        <f t="shared" si="91"/>
        <v>0.83333333333333326</v>
      </c>
    </row>
    <row r="504" spans="1:29" ht="15" customHeight="1" thickBot="1" x14ac:dyDescent="0.4">
      <c r="A504" s="185"/>
      <c r="B504" s="7" t="s">
        <v>15</v>
      </c>
      <c r="C504" s="8" t="s">
        <v>20</v>
      </c>
      <c r="D504" s="8">
        <v>1</v>
      </c>
      <c r="E504" s="7" t="s">
        <v>17</v>
      </c>
      <c r="F504" s="40">
        <f>'GT Input'!C13</f>
        <v>7</v>
      </c>
      <c r="G504" s="40">
        <f>'GT Input'!D13</f>
        <v>14</v>
      </c>
      <c r="H504" s="40">
        <f>'GT Input'!E13</f>
        <v>7</v>
      </c>
      <c r="I504" s="40">
        <f>'GT Input'!F13</f>
        <v>14</v>
      </c>
      <c r="J504" s="41">
        <f>'Detailed Results'!G504</f>
        <v>7</v>
      </c>
      <c r="K504" s="41">
        <f>'Detailed Results'!H504</f>
        <v>7</v>
      </c>
      <c r="L504" s="42">
        <f t="shared" si="84"/>
        <v>1</v>
      </c>
      <c r="M504" s="42">
        <f t="shared" si="92"/>
        <v>1</v>
      </c>
      <c r="N504" s="42">
        <f t="shared" si="85"/>
        <v>1</v>
      </c>
      <c r="O504" s="43">
        <f>'Detailed Results'!I504</f>
        <v>11</v>
      </c>
      <c r="P504" s="43">
        <f>'Detailed Results'!J504</f>
        <v>11</v>
      </c>
      <c r="Q504" s="44">
        <f t="shared" si="86"/>
        <v>1</v>
      </c>
      <c r="R504" s="44">
        <f t="shared" si="93"/>
        <v>0.7857142857142857</v>
      </c>
      <c r="S504" s="44">
        <f t="shared" si="87"/>
        <v>0.88</v>
      </c>
      <c r="T504" s="45">
        <f>'Detailed Results'!K504</f>
        <v>7</v>
      </c>
      <c r="U504" s="45">
        <f>'Detailed Results'!L504</f>
        <v>7</v>
      </c>
      <c r="V504" s="46">
        <f t="shared" si="88"/>
        <v>1</v>
      </c>
      <c r="W504" s="46">
        <f t="shared" si="94"/>
        <v>1</v>
      </c>
      <c r="X504" s="46">
        <f t="shared" si="89"/>
        <v>1</v>
      </c>
      <c r="Y504" s="47">
        <f>'Detailed Results'!M504</f>
        <v>11</v>
      </c>
      <c r="Z504" s="47">
        <f>'Detailed Results'!N504</f>
        <v>9</v>
      </c>
      <c r="AA504" s="48">
        <f t="shared" si="90"/>
        <v>0.81818181818181823</v>
      </c>
      <c r="AB504" s="48">
        <f t="shared" si="95"/>
        <v>0.6428571428571429</v>
      </c>
      <c r="AC504" s="48">
        <f t="shared" si="91"/>
        <v>0.72000000000000008</v>
      </c>
    </row>
    <row r="505" spans="1:29" ht="15" customHeight="1" thickBot="1" x14ac:dyDescent="0.4">
      <c r="A505" s="185"/>
      <c r="B505" s="7" t="s">
        <v>15</v>
      </c>
      <c r="C505" s="8" t="s">
        <v>20</v>
      </c>
      <c r="D505" s="8">
        <v>1</v>
      </c>
      <c r="E505" s="7" t="s">
        <v>109</v>
      </c>
      <c r="F505" s="40">
        <f>'GT Input'!C13</f>
        <v>7</v>
      </c>
      <c r="G505" s="40">
        <f>'GT Input'!D13</f>
        <v>14</v>
      </c>
      <c r="H505" s="40">
        <f>'GT Input'!E13</f>
        <v>7</v>
      </c>
      <c r="I505" s="40">
        <f>'GT Input'!F13</f>
        <v>14</v>
      </c>
      <c r="J505" s="41">
        <f>'Detailed Results'!G505</f>
        <v>7</v>
      </c>
      <c r="K505" s="41">
        <f>'Detailed Results'!H505</f>
        <v>7</v>
      </c>
      <c r="L505" s="42">
        <f t="shared" si="84"/>
        <v>1</v>
      </c>
      <c r="M505" s="42">
        <f t="shared" si="92"/>
        <v>1</v>
      </c>
      <c r="N505" s="42">
        <f t="shared" si="85"/>
        <v>1</v>
      </c>
      <c r="O505" s="43">
        <f>'Detailed Results'!I505</f>
        <v>10</v>
      </c>
      <c r="P505" s="43">
        <f>'Detailed Results'!J505</f>
        <v>10</v>
      </c>
      <c r="Q505" s="44">
        <f t="shared" si="86"/>
        <v>1</v>
      </c>
      <c r="R505" s="44">
        <f t="shared" si="93"/>
        <v>0.7142857142857143</v>
      </c>
      <c r="S505" s="44">
        <f t="shared" si="87"/>
        <v>0.83333333333333326</v>
      </c>
      <c r="T505" s="45">
        <f>'Detailed Results'!K505</f>
        <v>7</v>
      </c>
      <c r="U505" s="45">
        <f>'Detailed Results'!L505</f>
        <v>7</v>
      </c>
      <c r="V505" s="46">
        <f t="shared" si="88"/>
        <v>1</v>
      </c>
      <c r="W505" s="46">
        <f t="shared" si="94"/>
        <v>1</v>
      </c>
      <c r="X505" s="46">
        <f t="shared" si="89"/>
        <v>1</v>
      </c>
      <c r="Y505" s="47">
        <f>'Detailed Results'!M505</f>
        <v>10</v>
      </c>
      <c r="Z505" s="47">
        <f>'Detailed Results'!N505</f>
        <v>10</v>
      </c>
      <c r="AA505" s="48">
        <f t="shared" si="90"/>
        <v>1</v>
      </c>
      <c r="AB505" s="48">
        <f t="shared" si="95"/>
        <v>0.7142857142857143</v>
      </c>
      <c r="AC505" s="48">
        <f t="shared" si="91"/>
        <v>0.83333333333333326</v>
      </c>
    </row>
    <row r="506" spans="1:29" ht="15" customHeight="1" thickBot="1" x14ac:dyDescent="0.4">
      <c r="A506" s="185"/>
      <c r="B506" s="10" t="s">
        <v>15</v>
      </c>
      <c r="C506" s="11" t="s">
        <v>20</v>
      </c>
      <c r="D506" s="11">
        <v>2</v>
      </c>
      <c r="E506" s="10" t="s">
        <v>17</v>
      </c>
      <c r="F506" s="40">
        <f>'GT Input'!C13</f>
        <v>7</v>
      </c>
      <c r="G506" s="40">
        <f>'GT Input'!D13</f>
        <v>14</v>
      </c>
      <c r="H506" s="40">
        <f>'GT Input'!E13</f>
        <v>7</v>
      </c>
      <c r="I506" s="40">
        <f>'GT Input'!F13</f>
        <v>14</v>
      </c>
      <c r="J506" s="41">
        <f>'Detailed Results'!G506</f>
        <v>7</v>
      </c>
      <c r="K506" s="41">
        <f>'Detailed Results'!H506</f>
        <v>7</v>
      </c>
      <c r="L506" s="42">
        <f t="shared" si="84"/>
        <v>1</v>
      </c>
      <c r="M506" s="42">
        <f t="shared" si="92"/>
        <v>1</v>
      </c>
      <c r="N506" s="42">
        <f t="shared" si="85"/>
        <v>1</v>
      </c>
      <c r="O506" s="43">
        <f>'Detailed Results'!I506</f>
        <v>12</v>
      </c>
      <c r="P506" s="43">
        <f>'Detailed Results'!J506</f>
        <v>12</v>
      </c>
      <c r="Q506" s="44">
        <f t="shared" si="86"/>
        <v>1</v>
      </c>
      <c r="R506" s="44">
        <f t="shared" si="93"/>
        <v>0.8571428571428571</v>
      </c>
      <c r="S506" s="44">
        <f t="shared" si="87"/>
        <v>0.92307692307692302</v>
      </c>
      <c r="T506" s="45">
        <f>'Detailed Results'!K506</f>
        <v>7</v>
      </c>
      <c r="U506" s="45">
        <f>'Detailed Results'!L506</f>
        <v>7</v>
      </c>
      <c r="V506" s="46">
        <f t="shared" si="88"/>
        <v>1</v>
      </c>
      <c r="W506" s="46">
        <f t="shared" si="94"/>
        <v>1</v>
      </c>
      <c r="X506" s="46">
        <f t="shared" si="89"/>
        <v>1</v>
      </c>
      <c r="Y506" s="47">
        <f>'Detailed Results'!M506</f>
        <v>12</v>
      </c>
      <c r="Z506" s="47">
        <f>'Detailed Results'!N506</f>
        <v>12</v>
      </c>
      <c r="AA506" s="48">
        <f t="shared" si="90"/>
        <v>1</v>
      </c>
      <c r="AB506" s="48">
        <f t="shared" si="95"/>
        <v>0.8571428571428571</v>
      </c>
      <c r="AC506" s="48">
        <f t="shared" si="91"/>
        <v>0.92307692307692302</v>
      </c>
    </row>
    <row r="507" spans="1:29" ht="15" customHeight="1" thickBot="1" x14ac:dyDescent="0.4">
      <c r="A507" s="185"/>
      <c r="B507" s="10" t="s">
        <v>15</v>
      </c>
      <c r="C507" s="11" t="s">
        <v>20</v>
      </c>
      <c r="D507" s="11">
        <v>2</v>
      </c>
      <c r="E507" s="10" t="s">
        <v>109</v>
      </c>
      <c r="F507" s="40">
        <f>'GT Input'!C13</f>
        <v>7</v>
      </c>
      <c r="G507" s="40">
        <f>'GT Input'!D13</f>
        <v>14</v>
      </c>
      <c r="H507" s="40">
        <f>'GT Input'!E13</f>
        <v>7</v>
      </c>
      <c r="I507" s="40">
        <f>'GT Input'!F13</f>
        <v>14</v>
      </c>
      <c r="J507" s="41">
        <f>'Detailed Results'!G507</f>
        <v>7</v>
      </c>
      <c r="K507" s="41">
        <f>'Detailed Results'!H507</f>
        <v>7</v>
      </c>
      <c r="L507" s="42">
        <f t="shared" si="84"/>
        <v>1</v>
      </c>
      <c r="M507" s="42">
        <f t="shared" si="92"/>
        <v>1</v>
      </c>
      <c r="N507" s="42">
        <f t="shared" si="85"/>
        <v>1</v>
      </c>
      <c r="O507" s="43">
        <f>'Detailed Results'!I507</f>
        <v>10</v>
      </c>
      <c r="P507" s="43">
        <f>'Detailed Results'!J507</f>
        <v>10</v>
      </c>
      <c r="Q507" s="44">
        <f t="shared" si="86"/>
        <v>1</v>
      </c>
      <c r="R507" s="44">
        <f t="shared" si="93"/>
        <v>0.7142857142857143</v>
      </c>
      <c r="S507" s="44">
        <f t="shared" si="87"/>
        <v>0.83333333333333326</v>
      </c>
      <c r="T507" s="45">
        <f>'Detailed Results'!K507</f>
        <v>7</v>
      </c>
      <c r="U507" s="45">
        <f>'Detailed Results'!L507</f>
        <v>7</v>
      </c>
      <c r="V507" s="46">
        <f t="shared" si="88"/>
        <v>1</v>
      </c>
      <c r="W507" s="46">
        <f t="shared" si="94"/>
        <v>1</v>
      </c>
      <c r="X507" s="46">
        <f t="shared" si="89"/>
        <v>1</v>
      </c>
      <c r="Y507" s="47">
        <f>'Detailed Results'!M507</f>
        <v>10</v>
      </c>
      <c r="Z507" s="47">
        <f>'Detailed Results'!N507</f>
        <v>10</v>
      </c>
      <c r="AA507" s="48">
        <f t="shared" si="90"/>
        <v>1</v>
      </c>
      <c r="AB507" s="48">
        <f t="shared" si="95"/>
        <v>0.7142857142857143</v>
      </c>
      <c r="AC507" s="48">
        <f t="shared" si="91"/>
        <v>0.83333333333333326</v>
      </c>
    </row>
    <row r="508" spans="1:29" ht="15" customHeight="1" thickBot="1" x14ac:dyDescent="0.4">
      <c r="A508" s="185"/>
      <c r="B508" s="7" t="s">
        <v>15</v>
      </c>
      <c r="C508" s="8" t="s">
        <v>20</v>
      </c>
      <c r="D508" s="8">
        <v>3</v>
      </c>
      <c r="E508" s="7" t="s">
        <v>17</v>
      </c>
      <c r="F508" s="40">
        <f>'GT Input'!C13</f>
        <v>7</v>
      </c>
      <c r="G508" s="40">
        <f>'GT Input'!D13</f>
        <v>14</v>
      </c>
      <c r="H508" s="40">
        <f>'GT Input'!E13</f>
        <v>7</v>
      </c>
      <c r="I508" s="40">
        <f>'GT Input'!F13</f>
        <v>14</v>
      </c>
      <c r="J508" s="41">
        <f>'Detailed Results'!G508</f>
        <v>9</v>
      </c>
      <c r="K508" s="41">
        <f>'Detailed Results'!H508</f>
        <v>9</v>
      </c>
      <c r="L508" s="42">
        <f t="shared" si="84"/>
        <v>1</v>
      </c>
      <c r="M508" s="42">
        <f t="shared" si="92"/>
        <v>1.2857142857142858</v>
      </c>
      <c r="N508" s="42">
        <f t="shared" si="85"/>
        <v>1.1250000000000002</v>
      </c>
      <c r="O508" s="43">
        <f>'Detailed Results'!I508</f>
        <v>12</v>
      </c>
      <c r="P508" s="43">
        <f>'Detailed Results'!J508</f>
        <v>12</v>
      </c>
      <c r="Q508" s="44">
        <f t="shared" si="86"/>
        <v>1</v>
      </c>
      <c r="R508" s="44">
        <f t="shared" si="93"/>
        <v>0.8571428571428571</v>
      </c>
      <c r="S508" s="44">
        <f t="shared" si="87"/>
        <v>0.92307692307692302</v>
      </c>
      <c r="T508" s="45">
        <f>'Detailed Results'!K508</f>
        <v>9</v>
      </c>
      <c r="U508" s="45">
        <f>'Detailed Results'!L508</f>
        <v>6</v>
      </c>
      <c r="V508" s="46">
        <f t="shared" si="88"/>
        <v>0.66666666666666663</v>
      </c>
      <c r="W508" s="46">
        <f t="shared" si="94"/>
        <v>0.8571428571428571</v>
      </c>
      <c r="X508" s="46">
        <f t="shared" si="89"/>
        <v>0.75</v>
      </c>
      <c r="Y508" s="47">
        <f>'Detailed Results'!M508</f>
        <v>12</v>
      </c>
      <c r="Z508" s="47">
        <f>'Detailed Results'!N508</f>
        <v>5</v>
      </c>
      <c r="AA508" s="48">
        <f t="shared" si="90"/>
        <v>0.41666666666666669</v>
      </c>
      <c r="AB508" s="48">
        <f t="shared" si="95"/>
        <v>0.35714285714285715</v>
      </c>
      <c r="AC508" s="48">
        <f t="shared" si="91"/>
        <v>0.38461538461538458</v>
      </c>
    </row>
    <row r="509" spans="1:29" ht="15" customHeight="1" thickBot="1" x14ac:dyDescent="0.4">
      <c r="A509" s="185"/>
      <c r="B509" s="7" t="s">
        <v>15</v>
      </c>
      <c r="C509" s="8" t="s">
        <v>20</v>
      </c>
      <c r="D509" s="8">
        <v>3</v>
      </c>
      <c r="E509" s="7" t="s">
        <v>109</v>
      </c>
      <c r="F509" s="40">
        <f>'GT Input'!C13</f>
        <v>7</v>
      </c>
      <c r="G509" s="40">
        <f>'GT Input'!D13</f>
        <v>14</v>
      </c>
      <c r="H509" s="40">
        <f>'GT Input'!E13</f>
        <v>7</v>
      </c>
      <c r="I509" s="40">
        <f>'GT Input'!F13</f>
        <v>14</v>
      </c>
      <c r="J509" s="41">
        <f>'Detailed Results'!G509</f>
        <v>7</v>
      </c>
      <c r="K509" s="41">
        <f>'Detailed Results'!H509</f>
        <v>7</v>
      </c>
      <c r="L509" s="42">
        <f t="shared" si="84"/>
        <v>1</v>
      </c>
      <c r="M509" s="42">
        <f t="shared" si="92"/>
        <v>1</v>
      </c>
      <c r="N509" s="42">
        <f t="shared" si="85"/>
        <v>1</v>
      </c>
      <c r="O509" s="43">
        <f>'Detailed Results'!I509</f>
        <v>11</v>
      </c>
      <c r="P509" s="43">
        <f>'Detailed Results'!J509</f>
        <v>11</v>
      </c>
      <c r="Q509" s="44">
        <f t="shared" si="86"/>
        <v>1</v>
      </c>
      <c r="R509" s="44">
        <f t="shared" si="93"/>
        <v>0.7857142857142857</v>
      </c>
      <c r="S509" s="44">
        <f t="shared" si="87"/>
        <v>0.88</v>
      </c>
      <c r="T509" s="45">
        <f>'Detailed Results'!K509</f>
        <v>7</v>
      </c>
      <c r="U509" s="45">
        <f>'Detailed Results'!L509</f>
        <v>7</v>
      </c>
      <c r="V509" s="46">
        <f t="shared" si="88"/>
        <v>1</v>
      </c>
      <c r="W509" s="46">
        <f t="shared" si="94"/>
        <v>1</v>
      </c>
      <c r="X509" s="46">
        <f t="shared" si="89"/>
        <v>1</v>
      </c>
      <c r="Y509" s="47">
        <f>'Detailed Results'!M509</f>
        <v>11</v>
      </c>
      <c r="Z509" s="47">
        <f>'Detailed Results'!N509</f>
        <v>9</v>
      </c>
      <c r="AA509" s="48">
        <f t="shared" si="90"/>
        <v>0.81818181818181823</v>
      </c>
      <c r="AB509" s="48">
        <f t="shared" si="95"/>
        <v>0.6428571428571429</v>
      </c>
      <c r="AC509" s="48">
        <f t="shared" si="91"/>
        <v>0.72000000000000008</v>
      </c>
    </row>
    <row r="510" spans="1:29" ht="15" customHeight="1" thickBot="1" x14ac:dyDescent="0.4">
      <c r="A510" s="185"/>
      <c r="B510" s="12" t="s">
        <v>21</v>
      </c>
      <c r="C510" s="13" t="s">
        <v>16</v>
      </c>
      <c r="D510" s="13">
        <v>1</v>
      </c>
      <c r="E510" s="12" t="s">
        <v>17</v>
      </c>
      <c r="F510" s="40">
        <f>'GT Input'!C13</f>
        <v>7</v>
      </c>
      <c r="G510" s="40">
        <f>'GT Input'!D13</f>
        <v>14</v>
      </c>
      <c r="H510" s="40">
        <f>'GT Input'!E13</f>
        <v>7</v>
      </c>
      <c r="I510" s="40">
        <f>'GT Input'!F13</f>
        <v>14</v>
      </c>
      <c r="J510" s="41">
        <f>'Detailed Results'!G510</f>
        <v>9</v>
      </c>
      <c r="K510" s="41">
        <f>'Detailed Results'!H510</f>
        <v>9</v>
      </c>
      <c r="L510" s="42">
        <f t="shared" si="84"/>
        <v>1</v>
      </c>
      <c r="M510" s="42">
        <f t="shared" si="92"/>
        <v>1.2857142857142858</v>
      </c>
      <c r="N510" s="42">
        <f t="shared" si="85"/>
        <v>1.1250000000000002</v>
      </c>
      <c r="O510" s="43">
        <f>'Detailed Results'!I510</f>
        <v>12</v>
      </c>
      <c r="P510" s="43">
        <f>'Detailed Results'!J510</f>
        <v>12</v>
      </c>
      <c r="Q510" s="44">
        <f t="shared" si="86"/>
        <v>1</v>
      </c>
      <c r="R510" s="44">
        <f t="shared" si="93"/>
        <v>0.8571428571428571</v>
      </c>
      <c r="S510" s="44">
        <f t="shared" si="87"/>
        <v>0.92307692307692302</v>
      </c>
      <c r="T510" s="45">
        <f>'Detailed Results'!K510</f>
        <v>9</v>
      </c>
      <c r="U510" s="45">
        <f>'Detailed Results'!L510</f>
        <v>6</v>
      </c>
      <c r="V510" s="46">
        <f t="shared" si="88"/>
        <v>0.66666666666666663</v>
      </c>
      <c r="W510" s="46">
        <f t="shared" si="94"/>
        <v>0.8571428571428571</v>
      </c>
      <c r="X510" s="46">
        <f t="shared" si="89"/>
        <v>0.75</v>
      </c>
      <c r="Y510" s="47">
        <f>'Detailed Results'!M510</f>
        <v>12</v>
      </c>
      <c r="Z510" s="47">
        <f>'Detailed Results'!N510</f>
        <v>5</v>
      </c>
      <c r="AA510" s="48">
        <f t="shared" si="90"/>
        <v>0.41666666666666669</v>
      </c>
      <c r="AB510" s="48">
        <f t="shared" si="95"/>
        <v>0.35714285714285715</v>
      </c>
      <c r="AC510" s="48">
        <f t="shared" si="91"/>
        <v>0.38461538461538458</v>
      </c>
    </row>
    <row r="511" spans="1:29" ht="15" customHeight="1" thickBot="1" x14ac:dyDescent="0.4">
      <c r="A511" s="185"/>
      <c r="B511" s="12" t="s">
        <v>21</v>
      </c>
      <c r="C511" s="13" t="s">
        <v>16</v>
      </c>
      <c r="D511" s="13">
        <v>1</v>
      </c>
      <c r="E511" s="12" t="s">
        <v>109</v>
      </c>
      <c r="F511" s="40">
        <f>'GT Input'!C13</f>
        <v>7</v>
      </c>
      <c r="G511" s="40">
        <f>'GT Input'!D13</f>
        <v>14</v>
      </c>
      <c r="H511" s="40">
        <f>'GT Input'!E13</f>
        <v>7</v>
      </c>
      <c r="I511" s="40">
        <f>'GT Input'!F13</f>
        <v>14</v>
      </c>
      <c r="J511" s="41">
        <f>'Detailed Results'!G511</f>
        <v>7</v>
      </c>
      <c r="K511" s="41">
        <f>'Detailed Results'!H511</f>
        <v>7</v>
      </c>
      <c r="L511" s="42">
        <f t="shared" si="84"/>
        <v>1</v>
      </c>
      <c r="M511" s="42">
        <f t="shared" si="92"/>
        <v>1</v>
      </c>
      <c r="N511" s="42">
        <f t="shared" si="85"/>
        <v>1</v>
      </c>
      <c r="O511" s="43">
        <f>'Detailed Results'!I511</f>
        <v>11</v>
      </c>
      <c r="P511" s="43">
        <f>'Detailed Results'!J511</f>
        <v>11</v>
      </c>
      <c r="Q511" s="44">
        <f t="shared" si="86"/>
        <v>1</v>
      </c>
      <c r="R511" s="44">
        <f t="shared" si="93"/>
        <v>0.7857142857142857</v>
      </c>
      <c r="S511" s="44">
        <f t="shared" si="87"/>
        <v>0.88</v>
      </c>
      <c r="T511" s="45">
        <f>'Detailed Results'!K511</f>
        <v>7</v>
      </c>
      <c r="U511" s="45">
        <f>'Detailed Results'!L511</f>
        <v>7</v>
      </c>
      <c r="V511" s="46">
        <f t="shared" si="88"/>
        <v>1</v>
      </c>
      <c r="W511" s="46">
        <f t="shared" si="94"/>
        <v>1</v>
      </c>
      <c r="X511" s="46">
        <f t="shared" si="89"/>
        <v>1</v>
      </c>
      <c r="Y511" s="47">
        <f>'Detailed Results'!M511</f>
        <v>11</v>
      </c>
      <c r="Z511" s="47">
        <f>'Detailed Results'!N511</f>
        <v>9</v>
      </c>
      <c r="AA511" s="48">
        <f t="shared" si="90"/>
        <v>0.81818181818181823</v>
      </c>
      <c r="AB511" s="48">
        <f t="shared" si="95"/>
        <v>0.6428571428571429</v>
      </c>
      <c r="AC511" s="48">
        <f t="shared" si="91"/>
        <v>0.72000000000000008</v>
      </c>
    </row>
    <row r="512" spans="1:29" ht="15" customHeight="1" thickBot="1" x14ac:dyDescent="0.4">
      <c r="A512" s="185"/>
      <c r="B512" s="14" t="s">
        <v>21</v>
      </c>
      <c r="C512" s="15" t="s">
        <v>16</v>
      </c>
      <c r="D512" s="15">
        <v>2</v>
      </c>
      <c r="E512" s="14" t="s">
        <v>17</v>
      </c>
      <c r="F512" s="40">
        <f>'GT Input'!C13</f>
        <v>7</v>
      </c>
      <c r="G512" s="40">
        <f>'GT Input'!D13</f>
        <v>14</v>
      </c>
      <c r="H512" s="40">
        <f>'GT Input'!E13</f>
        <v>7</v>
      </c>
      <c r="I512" s="40">
        <f>'GT Input'!F13</f>
        <v>14</v>
      </c>
      <c r="J512" s="41">
        <f>'Detailed Results'!G512</f>
        <v>9</v>
      </c>
      <c r="K512" s="41">
        <f>'Detailed Results'!H512</f>
        <v>9</v>
      </c>
      <c r="L512" s="42">
        <f t="shared" si="84"/>
        <v>1</v>
      </c>
      <c r="M512" s="42">
        <f t="shared" si="92"/>
        <v>1.2857142857142858</v>
      </c>
      <c r="N512" s="42">
        <f t="shared" si="85"/>
        <v>1.1250000000000002</v>
      </c>
      <c r="O512" s="43">
        <f>'Detailed Results'!I512</f>
        <v>11</v>
      </c>
      <c r="P512" s="43">
        <f>'Detailed Results'!J512</f>
        <v>11</v>
      </c>
      <c r="Q512" s="44">
        <f t="shared" si="86"/>
        <v>1</v>
      </c>
      <c r="R512" s="44">
        <f t="shared" si="93"/>
        <v>0.7857142857142857</v>
      </c>
      <c r="S512" s="44">
        <f t="shared" si="87"/>
        <v>0.88</v>
      </c>
      <c r="T512" s="45">
        <f>'Detailed Results'!K512</f>
        <v>9</v>
      </c>
      <c r="U512" s="45">
        <f>'Detailed Results'!L512</f>
        <v>6</v>
      </c>
      <c r="V512" s="46">
        <f t="shared" si="88"/>
        <v>0.66666666666666663</v>
      </c>
      <c r="W512" s="46">
        <f t="shared" si="94"/>
        <v>0.8571428571428571</v>
      </c>
      <c r="X512" s="46">
        <f t="shared" si="89"/>
        <v>0.75</v>
      </c>
      <c r="Y512" s="47">
        <f>'Detailed Results'!M512</f>
        <v>11</v>
      </c>
      <c r="Z512" s="47">
        <f>'Detailed Results'!N512</f>
        <v>5</v>
      </c>
      <c r="AA512" s="48">
        <f t="shared" si="90"/>
        <v>0.45454545454545453</v>
      </c>
      <c r="AB512" s="48">
        <f t="shared" si="95"/>
        <v>0.35714285714285715</v>
      </c>
      <c r="AC512" s="48">
        <f t="shared" si="91"/>
        <v>0.4</v>
      </c>
    </row>
    <row r="513" spans="1:29" ht="15" customHeight="1" thickBot="1" x14ac:dyDescent="0.4">
      <c r="A513" s="185"/>
      <c r="B513" s="14" t="s">
        <v>21</v>
      </c>
      <c r="C513" s="15" t="s">
        <v>16</v>
      </c>
      <c r="D513" s="15">
        <v>2</v>
      </c>
      <c r="E513" s="14" t="s">
        <v>109</v>
      </c>
      <c r="F513" s="40">
        <f>'GT Input'!C13</f>
        <v>7</v>
      </c>
      <c r="G513" s="40">
        <f>'GT Input'!D13</f>
        <v>14</v>
      </c>
      <c r="H513" s="40">
        <f>'GT Input'!E13</f>
        <v>7</v>
      </c>
      <c r="I513" s="40">
        <f>'GT Input'!F13</f>
        <v>14</v>
      </c>
      <c r="J513" s="41">
        <f>'Detailed Results'!G513</f>
        <v>9</v>
      </c>
      <c r="K513" s="41">
        <f>'Detailed Results'!H513</f>
        <v>8</v>
      </c>
      <c r="L513" s="42">
        <f t="shared" si="84"/>
        <v>0.88888888888888884</v>
      </c>
      <c r="M513" s="42">
        <f t="shared" si="92"/>
        <v>1.1428571428571428</v>
      </c>
      <c r="N513" s="42">
        <f t="shared" si="85"/>
        <v>1</v>
      </c>
      <c r="O513" s="43">
        <f>'Detailed Results'!I513</f>
        <v>11</v>
      </c>
      <c r="P513" s="43">
        <f>'Detailed Results'!J513</f>
        <v>11</v>
      </c>
      <c r="Q513" s="44">
        <f t="shared" si="86"/>
        <v>1</v>
      </c>
      <c r="R513" s="44">
        <f t="shared" si="93"/>
        <v>0.7857142857142857</v>
      </c>
      <c r="S513" s="44">
        <f t="shared" si="87"/>
        <v>0.88</v>
      </c>
      <c r="T513" s="45">
        <f>'Detailed Results'!K513</f>
        <v>9</v>
      </c>
      <c r="U513" s="45">
        <f>'Detailed Results'!L513</f>
        <v>7</v>
      </c>
      <c r="V513" s="46">
        <f t="shared" si="88"/>
        <v>0.77777777777777779</v>
      </c>
      <c r="W513" s="46">
        <f t="shared" si="94"/>
        <v>1</v>
      </c>
      <c r="X513" s="46">
        <f t="shared" si="89"/>
        <v>0.87500000000000011</v>
      </c>
      <c r="Y513" s="47">
        <f>'Detailed Results'!M513</f>
        <v>11</v>
      </c>
      <c r="Z513" s="47">
        <f>'Detailed Results'!N513</f>
        <v>9</v>
      </c>
      <c r="AA513" s="48">
        <f t="shared" si="90"/>
        <v>0.81818181818181823</v>
      </c>
      <c r="AB513" s="48">
        <f t="shared" si="95"/>
        <v>0.6428571428571429</v>
      </c>
      <c r="AC513" s="48">
        <f t="shared" si="91"/>
        <v>0.72000000000000008</v>
      </c>
    </row>
    <row r="514" spans="1:29" ht="15" customHeight="1" thickBot="1" x14ac:dyDescent="0.4">
      <c r="A514" s="185"/>
      <c r="B514" s="12" t="s">
        <v>21</v>
      </c>
      <c r="C514" s="13" t="s">
        <v>16</v>
      </c>
      <c r="D514" s="13">
        <v>3</v>
      </c>
      <c r="E514" s="12" t="s">
        <v>17</v>
      </c>
      <c r="F514" s="40">
        <f>'GT Input'!C13</f>
        <v>7</v>
      </c>
      <c r="G514" s="40">
        <f>'GT Input'!D13</f>
        <v>14</v>
      </c>
      <c r="H514" s="40">
        <f>'GT Input'!E13</f>
        <v>7</v>
      </c>
      <c r="I514" s="40">
        <f>'GT Input'!F13</f>
        <v>14</v>
      </c>
      <c r="J514" s="41">
        <f>'Detailed Results'!G514</f>
        <v>9</v>
      </c>
      <c r="K514" s="41">
        <f>'Detailed Results'!H514</f>
        <v>9</v>
      </c>
      <c r="L514" s="42">
        <f t="shared" si="84"/>
        <v>1</v>
      </c>
      <c r="M514" s="42">
        <f t="shared" si="92"/>
        <v>1.2857142857142858</v>
      </c>
      <c r="N514" s="42">
        <f t="shared" si="85"/>
        <v>1.1250000000000002</v>
      </c>
      <c r="O514" s="43">
        <f>'Detailed Results'!I514</f>
        <v>11</v>
      </c>
      <c r="P514" s="43">
        <f>'Detailed Results'!J514</f>
        <v>11</v>
      </c>
      <c r="Q514" s="44">
        <f t="shared" si="86"/>
        <v>1</v>
      </c>
      <c r="R514" s="44">
        <f t="shared" si="93"/>
        <v>0.7857142857142857</v>
      </c>
      <c r="S514" s="44">
        <f t="shared" si="87"/>
        <v>0.88</v>
      </c>
      <c r="T514" s="45">
        <f>'Detailed Results'!K514</f>
        <v>9</v>
      </c>
      <c r="U514" s="45">
        <f>'Detailed Results'!L514</f>
        <v>6</v>
      </c>
      <c r="V514" s="46">
        <f t="shared" si="88"/>
        <v>0.66666666666666663</v>
      </c>
      <c r="W514" s="46">
        <f t="shared" si="94"/>
        <v>0.8571428571428571</v>
      </c>
      <c r="X514" s="46">
        <f t="shared" si="89"/>
        <v>0.75</v>
      </c>
      <c r="Y514" s="47">
        <f>'Detailed Results'!M514</f>
        <v>11</v>
      </c>
      <c r="Z514" s="47">
        <f>'Detailed Results'!N514</f>
        <v>5</v>
      </c>
      <c r="AA514" s="48">
        <f t="shared" si="90"/>
        <v>0.45454545454545453</v>
      </c>
      <c r="AB514" s="48">
        <f t="shared" si="95"/>
        <v>0.35714285714285715</v>
      </c>
      <c r="AC514" s="48">
        <f t="shared" si="91"/>
        <v>0.4</v>
      </c>
    </row>
    <row r="515" spans="1:29" ht="15" customHeight="1" thickBot="1" x14ac:dyDescent="0.4">
      <c r="A515" s="185"/>
      <c r="B515" s="12" t="s">
        <v>21</v>
      </c>
      <c r="C515" s="13" t="s">
        <v>16</v>
      </c>
      <c r="D515" s="13">
        <v>3</v>
      </c>
      <c r="E515" s="12" t="s">
        <v>109</v>
      </c>
      <c r="F515" s="40">
        <f>'GT Input'!C13</f>
        <v>7</v>
      </c>
      <c r="G515" s="40">
        <f>'GT Input'!D13</f>
        <v>14</v>
      </c>
      <c r="H515" s="40">
        <f>'GT Input'!E13</f>
        <v>7</v>
      </c>
      <c r="I515" s="40">
        <f>'GT Input'!F13</f>
        <v>14</v>
      </c>
      <c r="J515" s="41">
        <f>'Detailed Results'!G515</f>
        <v>7</v>
      </c>
      <c r="K515" s="41">
        <f>'Detailed Results'!H515</f>
        <v>7</v>
      </c>
      <c r="L515" s="42">
        <f t="shared" si="84"/>
        <v>1</v>
      </c>
      <c r="M515" s="42">
        <f t="shared" si="92"/>
        <v>1</v>
      </c>
      <c r="N515" s="42">
        <f t="shared" si="85"/>
        <v>1</v>
      </c>
      <c r="O515" s="43">
        <f>'Detailed Results'!I515</f>
        <v>11</v>
      </c>
      <c r="P515" s="43">
        <f>'Detailed Results'!J515</f>
        <v>11</v>
      </c>
      <c r="Q515" s="44">
        <f t="shared" si="86"/>
        <v>1</v>
      </c>
      <c r="R515" s="44">
        <f t="shared" si="93"/>
        <v>0.7857142857142857</v>
      </c>
      <c r="S515" s="44">
        <f t="shared" si="87"/>
        <v>0.88</v>
      </c>
      <c r="T515" s="45">
        <f>'Detailed Results'!K515</f>
        <v>7</v>
      </c>
      <c r="U515" s="45">
        <f>'Detailed Results'!L515</f>
        <v>7</v>
      </c>
      <c r="V515" s="46">
        <f t="shared" si="88"/>
        <v>1</v>
      </c>
      <c r="W515" s="46">
        <f t="shared" si="94"/>
        <v>1</v>
      </c>
      <c r="X515" s="46">
        <f t="shared" si="89"/>
        <v>1</v>
      </c>
      <c r="Y515" s="47">
        <f>'Detailed Results'!M515</f>
        <v>11</v>
      </c>
      <c r="Z515" s="47">
        <f>'Detailed Results'!N515</f>
        <v>9</v>
      </c>
      <c r="AA515" s="48">
        <f t="shared" si="90"/>
        <v>0.81818181818181823</v>
      </c>
      <c r="AB515" s="48">
        <f t="shared" si="95"/>
        <v>0.6428571428571429</v>
      </c>
      <c r="AC515" s="48">
        <f t="shared" si="91"/>
        <v>0.72000000000000008</v>
      </c>
    </row>
    <row r="516" spans="1:29" ht="15" customHeight="1" thickBot="1" x14ac:dyDescent="0.4">
      <c r="A516" s="185"/>
      <c r="B516" s="14" t="s">
        <v>21</v>
      </c>
      <c r="C516" s="15" t="s">
        <v>19</v>
      </c>
      <c r="D516" s="15">
        <v>1</v>
      </c>
      <c r="E516" s="14" t="s">
        <v>17</v>
      </c>
      <c r="F516" s="40">
        <f>'GT Input'!C13</f>
        <v>7</v>
      </c>
      <c r="G516" s="40">
        <f>'GT Input'!D13</f>
        <v>14</v>
      </c>
      <c r="H516" s="40">
        <f>'GT Input'!E13</f>
        <v>7</v>
      </c>
      <c r="I516" s="40">
        <f>'GT Input'!F13</f>
        <v>14</v>
      </c>
      <c r="J516" s="41">
        <f>'Detailed Results'!G516</f>
        <v>9</v>
      </c>
      <c r="K516" s="41">
        <f>'Detailed Results'!H516</f>
        <v>9</v>
      </c>
      <c r="L516" s="42">
        <f t="shared" si="84"/>
        <v>1</v>
      </c>
      <c r="M516" s="42">
        <f t="shared" si="92"/>
        <v>1.2857142857142858</v>
      </c>
      <c r="N516" s="42">
        <f t="shared" si="85"/>
        <v>1.1250000000000002</v>
      </c>
      <c r="O516" s="43">
        <f>'Detailed Results'!I516</f>
        <v>12</v>
      </c>
      <c r="P516" s="43">
        <f>'Detailed Results'!J516</f>
        <v>12</v>
      </c>
      <c r="Q516" s="44">
        <f t="shared" si="86"/>
        <v>1</v>
      </c>
      <c r="R516" s="44">
        <f t="shared" si="93"/>
        <v>0.8571428571428571</v>
      </c>
      <c r="S516" s="44">
        <f t="shared" si="87"/>
        <v>0.92307692307692302</v>
      </c>
      <c r="T516" s="45">
        <f>'Detailed Results'!K516</f>
        <v>9</v>
      </c>
      <c r="U516" s="45">
        <f>'Detailed Results'!L516</f>
        <v>6</v>
      </c>
      <c r="V516" s="46">
        <f t="shared" si="88"/>
        <v>0.66666666666666663</v>
      </c>
      <c r="W516" s="46">
        <f t="shared" si="94"/>
        <v>0.8571428571428571</v>
      </c>
      <c r="X516" s="46">
        <f t="shared" si="89"/>
        <v>0.75</v>
      </c>
      <c r="Y516" s="47">
        <f>'Detailed Results'!M516</f>
        <v>12</v>
      </c>
      <c r="Z516" s="47">
        <f>'Detailed Results'!N516</f>
        <v>5</v>
      </c>
      <c r="AA516" s="48">
        <f t="shared" si="90"/>
        <v>0.41666666666666669</v>
      </c>
      <c r="AB516" s="48">
        <f t="shared" si="95"/>
        <v>0.35714285714285715</v>
      </c>
      <c r="AC516" s="48">
        <f t="shared" si="91"/>
        <v>0.38461538461538458</v>
      </c>
    </row>
    <row r="517" spans="1:29" ht="15" customHeight="1" thickBot="1" x14ac:dyDescent="0.4">
      <c r="A517" s="185"/>
      <c r="B517" s="14" t="s">
        <v>21</v>
      </c>
      <c r="C517" s="15" t="s">
        <v>19</v>
      </c>
      <c r="D517" s="15">
        <v>1</v>
      </c>
      <c r="E517" s="14" t="s">
        <v>109</v>
      </c>
      <c r="F517" s="40">
        <f>'GT Input'!C13</f>
        <v>7</v>
      </c>
      <c r="G517" s="40">
        <f>'GT Input'!D13</f>
        <v>14</v>
      </c>
      <c r="H517" s="40">
        <f>'GT Input'!E13</f>
        <v>7</v>
      </c>
      <c r="I517" s="40">
        <f>'GT Input'!F13</f>
        <v>14</v>
      </c>
      <c r="J517" s="41">
        <f>'Detailed Results'!G517</f>
        <v>7</v>
      </c>
      <c r="K517" s="41">
        <f>'Detailed Results'!H517</f>
        <v>7</v>
      </c>
      <c r="L517" s="42">
        <f t="shared" si="84"/>
        <v>1</v>
      </c>
      <c r="M517" s="42">
        <f t="shared" si="92"/>
        <v>1</v>
      </c>
      <c r="N517" s="42">
        <f t="shared" si="85"/>
        <v>1</v>
      </c>
      <c r="O517" s="43">
        <f>'Detailed Results'!I517</f>
        <v>11</v>
      </c>
      <c r="P517" s="43">
        <f>'Detailed Results'!J517</f>
        <v>11</v>
      </c>
      <c r="Q517" s="44">
        <f t="shared" si="86"/>
        <v>1</v>
      </c>
      <c r="R517" s="44">
        <f t="shared" si="93"/>
        <v>0.7857142857142857</v>
      </c>
      <c r="S517" s="44">
        <f t="shared" si="87"/>
        <v>0.88</v>
      </c>
      <c r="T517" s="45">
        <f>'Detailed Results'!K517</f>
        <v>7</v>
      </c>
      <c r="U517" s="45">
        <f>'Detailed Results'!L517</f>
        <v>7</v>
      </c>
      <c r="V517" s="46">
        <f t="shared" si="88"/>
        <v>1</v>
      </c>
      <c r="W517" s="46">
        <f t="shared" si="94"/>
        <v>1</v>
      </c>
      <c r="X517" s="46">
        <f t="shared" si="89"/>
        <v>1</v>
      </c>
      <c r="Y517" s="47">
        <f>'Detailed Results'!M517</f>
        <v>11</v>
      </c>
      <c r="Z517" s="47">
        <f>'Detailed Results'!N517</f>
        <v>9</v>
      </c>
      <c r="AA517" s="48">
        <f t="shared" si="90"/>
        <v>0.81818181818181823</v>
      </c>
      <c r="AB517" s="48">
        <f t="shared" si="95"/>
        <v>0.6428571428571429</v>
      </c>
      <c r="AC517" s="48">
        <f t="shared" si="91"/>
        <v>0.72000000000000008</v>
      </c>
    </row>
    <row r="518" spans="1:29" ht="15" customHeight="1" thickBot="1" x14ac:dyDescent="0.4">
      <c r="A518" s="185"/>
      <c r="B518" s="12" t="s">
        <v>21</v>
      </c>
      <c r="C518" s="13" t="s">
        <v>19</v>
      </c>
      <c r="D518" s="13">
        <v>2</v>
      </c>
      <c r="E518" s="12" t="s">
        <v>17</v>
      </c>
      <c r="F518" s="40">
        <f>'GT Input'!C13</f>
        <v>7</v>
      </c>
      <c r="G518" s="40">
        <f>'GT Input'!D13</f>
        <v>14</v>
      </c>
      <c r="H518" s="40">
        <f>'GT Input'!E13</f>
        <v>7</v>
      </c>
      <c r="I518" s="40">
        <f>'GT Input'!F13</f>
        <v>14</v>
      </c>
      <c r="J518" s="41">
        <f>'Detailed Results'!G518</f>
        <v>9</v>
      </c>
      <c r="K518" s="41">
        <f>'Detailed Results'!H518</f>
        <v>9</v>
      </c>
      <c r="L518" s="42">
        <f t="shared" ref="L518:L581" si="96">IFERROR(K518/J518,"")</f>
        <v>1</v>
      </c>
      <c r="M518" s="42">
        <f t="shared" si="92"/>
        <v>1.2857142857142858</v>
      </c>
      <c r="N518" s="42">
        <f t="shared" ref="N518:N581" si="97">IFERROR(2*L518*M518/(L518+M518),"")</f>
        <v>1.1250000000000002</v>
      </c>
      <c r="O518" s="43">
        <f>'Detailed Results'!I518</f>
        <v>11</v>
      </c>
      <c r="P518" s="43">
        <f>'Detailed Results'!J518</f>
        <v>11</v>
      </c>
      <c r="Q518" s="44">
        <f t="shared" ref="Q518:Q581" si="98">IFERROR(P518/O518,"")</f>
        <v>1</v>
      </c>
      <c r="R518" s="44">
        <f t="shared" si="93"/>
        <v>0.7857142857142857</v>
      </c>
      <c r="S518" s="44">
        <f t="shared" ref="S518:S581" si="99">IFERROR(2*Q518*R518/(Q518+R518),"")</f>
        <v>0.88</v>
      </c>
      <c r="T518" s="45">
        <f>'Detailed Results'!K518</f>
        <v>9</v>
      </c>
      <c r="U518" s="45">
        <f>'Detailed Results'!L518</f>
        <v>6</v>
      </c>
      <c r="V518" s="46">
        <f t="shared" ref="V518:V581" si="100">IFERROR(U518/T518,"")</f>
        <v>0.66666666666666663</v>
      </c>
      <c r="W518" s="46">
        <f t="shared" si="94"/>
        <v>0.8571428571428571</v>
      </c>
      <c r="X518" s="46">
        <f t="shared" ref="X518:X581" si="101">IFERROR(2*V518*W518/(V518+W518),"")</f>
        <v>0.75</v>
      </c>
      <c r="Y518" s="47">
        <f>'Detailed Results'!M518</f>
        <v>11</v>
      </c>
      <c r="Z518" s="47">
        <f>'Detailed Results'!N518</f>
        <v>5</v>
      </c>
      <c r="AA518" s="48">
        <f t="shared" ref="AA518:AA581" si="102">IFERROR(Z518/Y518,"")</f>
        <v>0.45454545454545453</v>
      </c>
      <c r="AB518" s="48">
        <f t="shared" si="95"/>
        <v>0.35714285714285715</v>
      </c>
      <c r="AC518" s="48">
        <f t="shared" ref="AC518:AC581" si="103">IFERROR(2*AA518*AB518/(AA518+AB518),"")</f>
        <v>0.4</v>
      </c>
    </row>
    <row r="519" spans="1:29" ht="15" customHeight="1" thickBot="1" x14ac:dyDescent="0.4">
      <c r="A519" s="185"/>
      <c r="B519" s="12" t="s">
        <v>21</v>
      </c>
      <c r="C519" s="13" t="s">
        <v>19</v>
      </c>
      <c r="D519" s="13">
        <v>2</v>
      </c>
      <c r="E519" s="12" t="s">
        <v>109</v>
      </c>
      <c r="F519" s="40">
        <f>'GT Input'!C13</f>
        <v>7</v>
      </c>
      <c r="G519" s="40">
        <f>'GT Input'!D13</f>
        <v>14</v>
      </c>
      <c r="H519" s="40">
        <f>'GT Input'!E13</f>
        <v>7</v>
      </c>
      <c r="I519" s="40">
        <f>'GT Input'!F13</f>
        <v>14</v>
      </c>
      <c r="J519" s="41">
        <f>'Detailed Results'!G519</f>
        <v>7</v>
      </c>
      <c r="K519" s="41">
        <f>'Detailed Results'!H519</f>
        <v>7</v>
      </c>
      <c r="L519" s="42">
        <f t="shared" si="96"/>
        <v>1</v>
      </c>
      <c r="M519" s="42">
        <f t="shared" ref="M519:M582" si="104">IFERROR(K519/F519,"")</f>
        <v>1</v>
      </c>
      <c r="N519" s="42">
        <f t="shared" si="97"/>
        <v>1</v>
      </c>
      <c r="O519" s="43">
        <f>'Detailed Results'!I519</f>
        <v>11</v>
      </c>
      <c r="P519" s="43">
        <f>'Detailed Results'!J519</f>
        <v>11</v>
      </c>
      <c r="Q519" s="44">
        <f t="shared" si="98"/>
        <v>1</v>
      </c>
      <c r="R519" s="44">
        <f t="shared" ref="R519:R582" si="105">IFERROR(P519/G519,"")</f>
        <v>0.7857142857142857</v>
      </c>
      <c r="S519" s="44">
        <f t="shared" si="99"/>
        <v>0.88</v>
      </c>
      <c r="T519" s="45">
        <f>'Detailed Results'!K519</f>
        <v>7</v>
      </c>
      <c r="U519" s="45">
        <f>'Detailed Results'!L519</f>
        <v>7</v>
      </c>
      <c r="V519" s="46">
        <f t="shared" si="100"/>
        <v>1</v>
      </c>
      <c r="W519" s="46">
        <f t="shared" ref="W519:W582" si="106">IFERROR(U519/H519,"")</f>
        <v>1</v>
      </c>
      <c r="X519" s="46">
        <f t="shared" si="101"/>
        <v>1</v>
      </c>
      <c r="Y519" s="47">
        <f>'Detailed Results'!M519</f>
        <v>11</v>
      </c>
      <c r="Z519" s="47">
        <f>'Detailed Results'!N519</f>
        <v>9</v>
      </c>
      <c r="AA519" s="48">
        <f t="shared" si="102"/>
        <v>0.81818181818181823</v>
      </c>
      <c r="AB519" s="48">
        <f t="shared" ref="AB519:AB582" si="107">IFERROR(Z519/I519,"")</f>
        <v>0.6428571428571429</v>
      </c>
      <c r="AC519" s="48">
        <f t="shared" si="103"/>
        <v>0.72000000000000008</v>
      </c>
    </row>
    <row r="520" spans="1:29" ht="15" customHeight="1" thickBot="1" x14ac:dyDescent="0.4">
      <c r="A520" s="185"/>
      <c r="B520" s="14" t="s">
        <v>21</v>
      </c>
      <c r="C520" s="15" t="s">
        <v>19</v>
      </c>
      <c r="D520" s="15">
        <v>3</v>
      </c>
      <c r="E520" s="14" t="s">
        <v>17</v>
      </c>
      <c r="F520" s="40">
        <f>'GT Input'!C13</f>
        <v>7</v>
      </c>
      <c r="G520" s="40">
        <f>'GT Input'!D13</f>
        <v>14</v>
      </c>
      <c r="H520" s="40">
        <f>'GT Input'!E13</f>
        <v>7</v>
      </c>
      <c r="I520" s="40">
        <f>'GT Input'!F13</f>
        <v>14</v>
      </c>
      <c r="J520" s="41">
        <f>'Detailed Results'!G520</f>
        <v>9</v>
      </c>
      <c r="K520" s="41">
        <f>'Detailed Results'!H520</f>
        <v>9</v>
      </c>
      <c r="L520" s="42">
        <f t="shared" si="96"/>
        <v>1</v>
      </c>
      <c r="M520" s="42">
        <f t="shared" si="104"/>
        <v>1.2857142857142858</v>
      </c>
      <c r="N520" s="42">
        <f t="shared" si="97"/>
        <v>1.1250000000000002</v>
      </c>
      <c r="O520" s="43">
        <f>'Detailed Results'!I520</f>
        <v>11</v>
      </c>
      <c r="P520" s="43">
        <f>'Detailed Results'!J520</f>
        <v>11</v>
      </c>
      <c r="Q520" s="44">
        <f t="shared" si="98"/>
        <v>1</v>
      </c>
      <c r="R520" s="44">
        <f t="shared" si="105"/>
        <v>0.7857142857142857</v>
      </c>
      <c r="S520" s="44">
        <f t="shared" si="99"/>
        <v>0.88</v>
      </c>
      <c r="T520" s="45">
        <f>'Detailed Results'!K520</f>
        <v>9</v>
      </c>
      <c r="U520" s="45">
        <f>'Detailed Results'!L520</f>
        <v>6</v>
      </c>
      <c r="V520" s="46">
        <f t="shared" si="100"/>
        <v>0.66666666666666663</v>
      </c>
      <c r="W520" s="46">
        <f t="shared" si="106"/>
        <v>0.8571428571428571</v>
      </c>
      <c r="X520" s="46">
        <f t="shared" si="101"/>
        <v>0.75</v>
      </c>
      <c r="Y520" s="47">
        <f>'Detailed Results'!M520</f>
        <v>11</v>
      </c>
      <c r="Z520" s="47">
        <f>'Detailed Results'!N520</f>
        <v>5</v>
      </c>
      <c r="AA520" s="48">
        <f t="shared" si="102"/>
        <v>0.45454545454545453</v>
      </c>
      <c r="AB520" s="48">
        <f t="shared" si="107"/>
        <v>0.35714285714285715</v>
      </c>
      <c r="AC520" s="48">
        <f t="shared" si="103"/>
        <v>0.4</v>
      </c>
    </row>
    <row r="521" spans="1:29" ht="15" customHeight="1" thickBot="1" x14ac:dyDescent="0.4">
      <c r="A521" s="185"/>
      <c r="B521" s="14" t="s">
        <v>21</v>
      </c>
      <c r="C521" s="15" t="s">
        <v>19</v>
      </c>
      <c r="D521" s="15">
        <v>3</v>
      </c>
      <c r="E521" s="14" t="s">
        <v>109</v>
      </c>
      <c r="F521" s="40">
        <f>'GT Input'!C13</f>
        <v>7</v>
      </c>
      <c r="G521" s="40">
        <f>'GT Input'!D13</f>
        <v>14</v>
      </c>
      <c r="H521" s="40">
        <f>'GT Input'!E13</f>
        <v>7</v>
      </c>
      <c r="I521" s="40">
        <f>'GT Input'!F13</f>
        <v>14</v>
      </c>
      <c r="J521" s="41">
        <f>'Detailed Results'!G521</f>
        <v>9</v>
      </c>
      <c r="K521" s="41">
        <f>'Detailed Results'!H521</f>
        <v>8</v>
      </c>
      <c r="L521" s="42">
        <f t="shared" si="96"/>
        <v>0.88888888888888884</v>
      </c>
      <c r="M521" s="42">
        <f t="shared" si="104"/>
        <v>1.1428571428571428</v>
      </c>
      <c r="N521" s="42">
        <f t="shared" si="97"/>
        <v>1</v>
      </c>
      <c r="O521" s="43">
        <f>'Detailed Results'!I521</f>
        <v>11</v>
      </c>
      <c r="P521" s="43">
        <f>'Detailed Results'!J521</f>
        <v>11</v>
      </c>
      <c r="Q521" s="44">
        <f t="shared" si="98"/>
        <v>1</v>
      </c>
      <c r="R521" s="44">
        <f t="shared" si="105"/>
        <v>0.7857142857142857</v>
      </c>
      <c r="S521" s="44">
        <f t="shared" si="99"/>
        <v>0.88</v>
      </c>
      <c r="T521" s="45">
        <f>'Detailed Results'!K521</f>
        <v>9</v>
      </c>
      <c r="U521" s="45">
        <f>'Detailed Results'!L521</f>
        <v>7</v>
      </c>
      <c r="V521" s="46">
        <f t="shared" si="100"/>
        <v>0.77777777777777779</v>
      </c>
      <c r="W521" s="46">
        <f t="shared" si="106"/>
        <v>1</v>
      </c>
      <c r="X521" s="46">
        <f t="shared" si="101"/>
        <v>0.87500000000000011</v>
      </c>
      <c r="Y521" s="47">
        <f>'Detailed Results'!M521</f>
        <v>11</v>
      </c>
      <c r="Z521" s="47">
        <f>'Detailed Results'!N521</f>
        <v>9</v>
      </c>
      <c r="AA521" s="48">
        <f t="shared" si="102"/>
        <v>0.81818181818181823</v>
      </c>
      <c r="AB521" s="48">
        <f t="shared" si="107"/>
        <v>0.6428571428571429</v>
      </c>
      <c r="AC521" s="48">
        <f t="shared" si="103"/>
        <v>0.72000000000000008</v>
      </c>
    </row>
    <row r="522" spans="1:29" ht="15" customHeight="1" thickBot="1" x14ac:dyDescent="0.4">
      <c r="A522" s="185"/>
      <c r="B522" s="12" t="s">
        <v>21</v>
      </c>
      <c r="C522" s="13" t="s">
        <v>20</v>
      </c>
      <c r="D522" s="13">
        <v>1</v>
      </c>
      <c r="E522" s="12" t="s">
        <v>17</v>
      </c>
      <c r="F522" s="40">
        <f>'GT Input'!C13</f>
        <v>7</v>
      </c>
      <c r="G522" s="40">
        <f>'GT Input'!D13</f>
        <v>14</v>
      </c>
      <c r="H522" s="40">
        <f>'GT Input'!E13</f>
        <v>7</v>
      </c>
      <c r="I522" s="40">
        <f>'GT Input'!F13</f>
        <v>14</v>
      </c>
      <c r="J522" s="41">
        <f>'Detailed Results'!G522</f>
        <v>9</v>
      </c>
      <c r="K522" s="41">
        <f>'Detailed Results'!H522</f>
        <v>9</v>
      </c>
      <c r="L522" s="42">
        <f t="shared" si="96"/>
        <v>1</v>
      </c>
      <c r="M522" s="42">
        <f t="shared" si="104"/>
        <v>1.2857142857142858</v>
      </c>
      <c r="N522" s="42">
        <f t="shared" si="97"/>
        <v>1.1250000000000002</v>
      </c>
      <c r="O522" s="43">
        <f>'Detailed Results'!I522</f>
        <v>12</v>
      </c>
      <c r="P522" s="43">
        <f>'Detailed Results'!J522</f>
        <v>12</v>
      </c>
      <c r="Q522" s="44">
        <f t="shared" si="98"/>
        <v>1</v>
      </c>
      <c r="R522" s="44">
        <f t="shared" si="105"/>
        <v>0.8571428571428571</v>
      </c>
      <c r="S522" s="44">
        <f t="shared" si="99"/>
        <v>0.92307692307692302</v>
      </c>
      <c r="T522" s="45">
        <f>'Detailed Results'!K522</f>
        <v>9</v>
      </c>
      <c r="U522" s="45">
        <f>'Detailed Results'!L522</f>
        <v>6</v>
      </c>
      <c r="V522" s="46">
        <f t="shared" si="100"/>
        <v>0.66666666666666663</v>
      </c>
      <c r="W522" s="46">
        <f t="shared" si="106"/>
        <v>0.8571428571428571</v>
      </c>
      <c r="X522" s="46">
        <f t="shared" si="101"/>
        <v>0.75</v>
      </c>
      <c r="Y522" s="47">
        <f>'Detailed Results'!M522</f>
        <v>12</v>
      </c>
      <c r="Z522" s="47">
        <f>'Detailed Results'!N522</f>
        <v>5</v>
      </c>
      <c r="AA522" s="48">
        <f t="shared" si="102"/>
        <v>0.41666666666666669</v>
      </c>
      <c r="AB522" s="48">
        <f t="shared" si="107"/>
        <v>0.35714285714285715</v>
      </c>
      <c r="AC522" s="48">
        <f t="shared" si="103"/>
        <v>0.38461538461538458</v>
      </c>
    </row>
    <row r="523" spans="1:29" ht="15" customHeight="1" thickBot="1" x14ac:dyDescent="0.4">
      <c r="A523" s="185"/>
      <c r="B523" s="12" t="s">
        <v>21</v>
      </c>
      <c r="C523" s="13" t="s">
        <v>20</v>
      </c>
      <c r="D523" s="13">
        <v>1</v>
      </c>
      <c r="E523" s="12" t="s">
        <v>109</v>
      </c>
      <c r="F523" s="40">
        <f>'GT Input'!C13</f>
        <v>7</v>
      </c>
      <c r="G523" s="40">
        <f>'GT Input'!D13</f>
        <v>14</v>
      </c>
      <c r="H523" s="40">
        <f>'GT Input'!E13</f>
        <v>7</v>
      </c>
      <c r="I523" s="40">
        <f>'GT Input'!F13</f>
        <v>14</v>
      </c>
      <c r="J523" s="41">
        <f>'Detailed Results'!G523</f>
        <v>7</v>
      </c>
      <c r="K523" s="41">
        <f>'Detailed Results'!H523</f>
        <v>7</v>
      </c>
      <c r="L523" s="42">
        <f t="shared" si="96"/>
        <v>1</v>
      </c>
      <c r="M523" s="42">
        <f t="shared" si="104"/>
        <v>1</v>
      </c>
      <c r="N523" s="42">
        <f t="shared" si="97"/>
        <v>1</v>
      </c>
      <c r="O523" s="43">
        <f>'Detailed Results'!I523</f>
        <v>11</v>
      </c>
      <c r="P523" s="43">
        <f>'Detailed Results'!J523</f>
        <v>11</v>
      </c>
      <c r="Q523" s="44">
        <f t="shared" si="98"/>
        <v>1</v>
      </c>
      <c r="R523" s="44">
        <f t="shared" si="105"/>
        <v>0.7857142857142857</v>
      </c>
      <c r="S523" s="44">
        <f t="shared" si="99"/>
        <v>0.88</v>
      </c>
      <c r="T523" s="45">
        <f>'Detailed Results'!K523</f>
        <v>7</v>
      </c>
      <c r="U523" s="45">
        <f>'Detailed Results'!L523</f>
        <v>7</v>
      </c>
      <c r="V523" s="46">
        <f t="shared" si="100"/>
        <v>1</v>
      </c>
      <c r="W523" s="46">
        <f t="shared" si="106"/>
        <v>1</v>
      </c>
      <c r="X523" s="46">
        <f t="shared" si="101"/>
        <v>1</v>
      </c>
      <c r="Y523" s="47">
        <f>'Detailed Results'!M523</f>
        <v>11</v>
      </c>
      <c r="Z523" s="47">
        <f>'Detailed Results'!N523</f>
        <v>9</v>
      </c>
      <c r="AA523" s="48">
        <f t="shared" si="102"/>
        <v>0.81818181818181823</v>
      </c>
      <c r="AB523" s="48">
        <f t="shared" si="107"/>
        <v>0.6428571428571429</v>
      </c>
      <c r="AC523" s="48">
        <f t="shared" si="103"/>
        <v>0.72000000000000008</v>
      </c>
    </row>
    <row r="524" spans="1:29" ht="15" customHeight="1" thickBot="1" x14ac:dyDescent="0.4">
      <c r="A524" s="185"/>
      <c r="B524" s="14" t="s">
        <v>21</v>
      </c>
      <c r="C524" s="15" t="s">
        <v>20</v>
      </c>
      <c r="D524" s="15">
        <v>2</v>
      </c>
      <c r="E524" s="14" t="s">
        <v>17</v>
      </c>
      <c r="F524" s="40">
        <f>'GT Input'!C13</f>
        <v>7</v>
      </c>
      <c r="G524" s="40">
        <f>'GT Input'!D13</f>
        <v>14</v>
      </c>
      <c r="H524" s="40">
        <f>'GT Input'!E13</f>
        <v>7</v>
      </c>
      <c r="I524" s="40">
        <f>'GT Input'!F13</f>
        <v>14</v>
      </c>
      <c r="J524" s="41">
        <f>'Detailed Results'!G524</f>
        <v>9</v>
      </c>
      <c r="K524" s="41">
        <f>'Detailed Results'!H524</f>
        <v>9</v>
      </c>
      <c r="L524" s="42">
        <f t="shared" si="96"/>
        <v>1</v>
      </c>
      <c r="M524" s="42">
        <f t="shared" si="104"/>
        <v>1.2857142857142858</v>
      </c>
      <c r="N524" s="42">
        <f t="shared" si="97"/>
        <v>1.1250000000000002</v>
      </c>
      <c r="O524" s="43">
        <f>'Detailed Results'!I524</f>
        <v>12</v>
      </c>
      <c r="P524" s="43">
        <f>'Detailed Results'!J524</f>
        <v>12</v>
      </c>
      <c r="Q524" s="44">
        <f t="shared" si="98"/>
        <v>1</v>
      </c>
      <c r="R524" s="44">
        <f t="shared" si="105"/>
        <v>0.8571428571428571</v>
      </c>
      <c r="S524" s="44">
        <f t="shared" si="99"/>
        <v>0.92307692307692302</v>
      </c>
      <c r="T524" s="45">
        <f>'Detailed Results'!K524</f>
        <v>9</v>
      </c>
      <c r="U524" s="45">
        <f>'Detailed Results'!L524</f>
        <v>6</v>
      </c>
      <c r="V524" s="46">
        <f t="shared" si="100"/>
        <v>0.66666666666666663</v>
      </c>
      <c r="W524" s="46">
        <f t="shared" si="106"/>
        <v>0.8571428571428571</v>
      </c>
      <c r="X524" s="46">
        <f t="shared" si="101"/>
        <v>0.75</v>
      </c>
      <c r="Y524" s="47">
        <f>'Detailed Results'!M524</f>
        <v>12</v>
      </c>
      <c r="Z524" s="47">
        <f>'Detailed Results'!N524</f>
        <v>5</v>
      </c>
      <c r="AA524" s="48">
        <f t="shared" si="102"/>
        <v>0.41666666666666669</v>
      </c>
      <c r="AB524" s="48">
        <f t="shared" si="107"/>
        <v>0.35714285714285715</v>
      </c>
      <c r="AC524" s="48">
        <f t="shared" si="103"/>
        <v>0.38461538461538458</v>
      </c>
    </row>
    <row r="525" spans="1:29" ht="15" customHeight="1" thickBot="1" x14ac:dyDescent="0.4">
      <c r="A525" s="185"/>
      <c r="B525" s="14" t="s">
        <v>21</v>
      </c>
      <c r="C525" s="15" t="s">
        <v>20</v>
      </c>
      <c r="D525" s="15">
        <v>2</v>
      </c>
      <c r="E525" s="14" t="s">
        <v>109</v>
      </c>
      <c r="F525" s="40">
        <f>'GT Input'!C13</f>
        <v>7</v>
      </c>
      <c r="G525" s="40">
        <f>'GT Input'!D13</f>
        <v>14</v>
      </c>
      <c r="H525" s="40">
        <f>'GT Input'!E13</f>
        <v>7</v>
      </c>
      <c r="I525" s="40">
        <f>'GT Input'!F13</f>
        <v>14</v>
      </c>
      <c r="J525" s="41">
        <f>'Detailed Results'!G525</f>
        <v>7</v>
      </c>
      <c r="K525" s="41">
        <f>'Detailed Results'!H525</f>
        <v>7</v>
      </c>
      <c r="L525" s="42">
        <f t="shared" si="96"/>
        <v>1</v>
      </c>
      <c r="M525" s="42">
        <f t="shared" si="104"/>
        <v>1</v>
      </c>
      <c r="N525" s="42">
        <f t="shared" si="97"/>
        <v>1</v>
      </c>
      <c r="O525" s="43">
        <f>'Detailed Results'!I525</f>
        <v>11</v>
      </c>
      <c r="P525" s="43">
        <f>'Detailed Results'!J525</f>
        <v>11</v>
      </c>
      <c r="Q525" s="44">
        <f t="shared" si="98"/>
        <v>1</v>
      </c>
      <c r="R525" s="44">
        <f t="shared" si="105"/>
        <v>0.7857142857142857</v>
      </c>
      <c r="S525" s="44">
        <f t="shared" si="99"/>
        <v>0.88</v>
      </c>
      <c r="T525" s="45">
        <f>'Detailed Results'!K525</f>
        <v>7</v>
      </c>
      <c r="U525" s="45">
        <f>'Detailed Results'!L525</f>
        <v>7</v>
      </c>
      <c r="V525" s="46">
        <f t="shared" si="100"/>
        <v>1</v>
      </c>
      <c r="W525" s="46">
        <f t="shared" si="106"/>
        <v>1</v>
      </c>
      <c r="X525" s="46">
        <f t="shared" si="101"/>
        <v>1</v>
      </c>
      <c r="Y525" s="47">
        <f>'Detailed Results'!M525</f>
        <v>11</v>
      </c>
      <c r="Z525" s="47">
        <f>'Detailed Results'!N525</f>
        <v>9</v>
      </c>
      <c r="AA525" s="48">
        <f t="shared" si="102"/>
        <v>0.81818181818181823</v>
      </c>
      <c r="AB525" s="48">
        <f t="shared" si="107"/>
        <v>0.6428571428571429</v>
      </c>
      <c r="AC525" s="48">
        <f t="shared" si="103"/>
        <v>0.72000000000000008</v>
      </c>
    </row>
    <row r="526" spans="1:29" ht="15" customHeight="1" thickBot="1" x14ac:dyDescent="0.4">
      <c r="A526" s="185"/>
      <c r="B526" s="12" t="s">
        <v>21</v>
      </c>
      <c r="C526" s="13" t="s">
        <v>20</v>
      </c>
      <c r="D526" s="13">
        <v>3</v>
      </c>
      <c r="E526" s="12" t="s">
        <v>17</v>
      </c>
      <c r="F526" s="40">
        <f>'GT Input'!C13</f>
        <v>7</v>
      </c>
      <c r="G526" s="40">
        <f>'GT Input'!D13</f>
        <v>14</v>
      </c>
      <c r="H526" s="40">
        <f>'GT Input'!E13</f>
        <v>7</v>
      </c>
      <c r="I526" s="40">
        <f>'GT Input'!F13</f>
        <v>14</v>
      </c>
      <c r="J526" s="41">
        <f>'Detailed Results'!G526</f>
        <v>9</v>
      </c>
      <c r="K526" s="41">
        <f>'Detailed Results'!H526</f>
        <v>9</v>
      </c>
      <c r="L526" s="42">
        <f t="shared" si="96"/>
        <v>1</v>
      </c>
      <c r="M526" s="42">
        <f t="shared" si="104"/>
        <v>1.2857142857142858</v>
      </c>
      <c r="N526" s="42">
        <f t="shared" si="97"/>
        <v>1.1250000000000002</v>
      </c>
      <c r="O526" s="43">
        <f>'Detailed Results'!I526</f>
        <v>13</v>
      </c>
      <c r="P526" s="43">
        <f>'Detailed Results'!J526</f>
        <v>13</v>
      </c>
      <c r="Q526" s="44">
        <f t="shared" si="98"/>
        <v>1</v>
      </c>
      <c r="R526" s="44">
        <f t="shared" si="105"/>
        <v>0.9285714285714286</v>
      </c>
      <c r="S526" s="44">
        <f t="shared" si="99"/>
        <v>0.96296296296296302</v>
      </c>
      <c r="T526" s="45">
        <f>'Detailed Results'!K526</f>
        <v>9</v>
      </c>
      <c r="U526" s="45">
        <f>'Detailed Results'!L526</f>
        <v>6</v>
      </c>
      <c r="V526" s="46">
        <f t="shared" si="100"/>
        <v>0.66666666666666663</v>
      </c>
      <c r="W526" s="46">
        <f t="shared" si="106"/>
        <v>0.8571428571428571</v>
      </c>
      <c r="X526" s="46">
        <f t="shared" si="101"/>
        <v>0.75</v>
      </c>
      <c r="Y526" s="47">
        <f>'Detailed Results'!M526</f>
        <v>13</v>
      </c>
      <c r="Z526" s="47">
        <f>'Detailed Results'!N526</f>
        <v>5</v>
      </c>
      <c r="AA526" s="48">
        <f t="shared" si="102"/>
        <v>0.38461538461538464</v>
      </c>
      <c r="AB526" s="48">
        <f t="shared" si="107"/>
        <v>0.35714285714285715</v>
      </c>
      <c r="AC526" s="48">
        <f t="shared" si="103"/>
        <v>0.37037037037037041</v>
      </c>
    </row>
    <row r="527" spans="1:29" ht="15" customHeight="1" thickBot="1" x14ac:dyDescent="0.4">
      <c r="A527" s="185"/>
      <c r="B527" s="12" t="s">
        <v>21</v>
      </c>
      <c r="C527" s="13" t="s">
        <v>20</v>
      </c>
      <c r="D527" s="13">
        <v>3</v>
      </c>
      <c r="E527" s="12" t="s">
        <v>109</v>
      </c>
      <c r="F527" s="40">
        <f>'GT Input'!C13</f>
        <v>7</v>
      </c>
      <c r="G527" s="40">
        <f>'GT Input'!D13</f>
        <v>14</v>
      </c>
      <c r="H527" s="40">
        <f>'GT Input'!E13</f>
        <v>7</v>
      </c>
      <c r="I527" s="40">
        <f>'GT Input'!F13</f>
        <v>14</v>
      </c>
      <c r="J527" s="41">
        <f>'Detailed Results'!G527</f>
        <v>7</v>
      </c>
      <c r="K527" s="41">
        <f>'Detailed Results'!H527</f>
        <v>7</v>
      </c>
      <c r="L527" s="42">
        <f t="shared" si="96"/>
        <v>1</v>
      </c>
      <c r="M527" s="42">
        <f t="shared" si="104"/>
        <v>1</v>
      </c>
      <c r="N527" s="42">
        <f t="shared" si="97"/>
        <v>1</v>
      </c>
      <c r="O527" s="43">
        <f>'Detailed Results'!I527</f>
        <v>11</v>
      </c>
      <c r="P527" s="43">
        <f>'Detailed Results'!J527</f>
        <v>11</v>
      </c>
      <c r="Q527" s="44">
        <f t="shared" si="98"/>
        <v>1</v>
      </c>
      <c r="R527" s="44">
        <f t="shared" si="105"/>
        <v>0.7857142857142857</v>
      </c>
      <c r="S527" s="44">
        <f t="shared" si="99"/>
        <v>0.88</v>
      </c>
      <c r="T527" s="45">
        <f>'Detailed Results'!K527</f>
        <v>7</v>
      </c>
      <c r="U527" s="45">
        <f>'Detailed Results'!L527</f>
        <v>7</v>
      </c>
      <c r="V527" s="46">
        <f t="shared" si="100"/>
        <v>1</v>
      </c>
      <c r="W527" s="46">
        <f t="shared" si="106"/>
        <v>1</v>
      </c>
      <c r="X527" s="46">
        <f t="shared" si="101"/>
        <v>1</v>
      </c>
      <c r="Y527" s="47">
        <f>'Detailed Results'!M527</f>
        <v>11</v>
      </c>
      <c r="Z527" s="47">
        <f>'Detailed Results'!N527</f>
        <v>9</v>
      </c>
      <c r="AA527" s="48">
        <f t="shared" si="102"/>
        <v>0.81818181818181823</v>
      </c>
      <c r="AB527" s="48">
        <f t="shared" si="107"/>
        <v>0.6428571428571429</v>
      </c>
      <c r="AC527" s="48">
        <f t="shared" si="103"/>
        <v>0.72000000000000008</v>
      </c>
    </row>
    <row r="528" spans="1:29" ht="15" customHeight="1" thickBot="1" x14ac:dyDescent="0.4">
      <c r="A528" s="185"/>
      <c r="B528" s="16" t="s">
        <v>22</v>
      </c>
      <c r="C528" s="17" t="s">
        <v>16</v>
      </c>
      <c r="D528" s="17">
        <v>1</v>
      </c>
      <c r="E528" s="16" t="s">
        <v>17</v>
      </c>
      <c r="F528" s="40">
        <f>'GT Input'!C13</f>
        <v>7</v>
      </c>
      <c r="G528" s="40">
        <f>'GT Input'!D13</f>
        <v>14</v>
      </c>
      <c r="H528" s="40">
        <f>'GT Input'!E13</f>
        <v>7</v>
      </c>
      <c r="I528" s="40">
        <f>'GT Input'!F13</f>
        <v>14</v>
      </c>
      <c r="J528" s="41">
        <f>'Detailed Results'!G528</f>
        <v>7</v>
      </c>
      <c r="K528" s="41">
        <f>'Detailed Results'!H528</f>
        <v>7</v>
      </c>
      <c r="L528" s="42">
        <f t="shared" si="96"/>
        <v>1</v>
      </c>
      <c r="M528" s="42">
        <f t="shared" si="104"/>
        <v>1</v>
      </c>
      <c r="N528" s="42">
        <f t="shared" si="97"/>
        <v>1</v>
      </c>
      <c r="O528" s="43">
        <f>'Detailed Results'!I528</f>
        <v>11</v>
      </c>
      <c r="P528" s="43">
        <f>'Detailed Results'!J528</f>
        <v>11</v>
      </c>
      <c r="Q528" s="44">
        <f t="shared" si="98"/>
        <v>1</v>
      </c>
      <c r="R528" s="44">
        <f t="shared" si="105"/>
        <v>0.7857142857142857</v>
      </c>
      <c r="S528" s="44">
        <f t="shared" si="99"/>
        <v>0.88</v>
      </c>
      <c r="T528" s="45">
        <f>'Detailed Results'!K528</f>
        <v>7</v>
      </c>
      <c r="U528" s="45">
        <f>'Detailed Results'!L528</f>
        <v>7</v>
      </c>
      <c r="V528" s="46">
        <f t="shared" si="100"/>
        <v>1</v>
      </c>
      <c r="W528" s="46">
        <f t="shared" si="106"/>
        <v>1</v>
      </c>
      <c r="X528" s="46">
        <f t="shared" si="101"/>
        <v>1</v>
      </c>
      <c r="Y528" s="47">
        <f>'Detailed Results'!M528</f>
        <v>11</v>
      </c>
      <c r="Z528" s="47">
        <f>'Detailed Results'!N528</f>
        <v>9</v>
      </c>
      <c r="AA528" s="48">
        <f t="shared" si="102"/>
        <v>0.81818181818181823</v>
      </c>
      <c r="AB528" s="48">
        <f t="shared" si="107"/>
        <v>0.6428571428571429</v>
      </c>
      <c r="AC528" s="48">
        <f t="shared" si="103"/>
        <v>0.72000000000000008</v>
      </c>
    </row>
    <row r="529" spans="1:29" ht="15" customHeight="1" thickBot="1" x14ac:dyDescent="0.4">
      <c r="A529" s="185"/>
      <c r="B529" s="16" t="s">
        <v>22</v>
      </c>
      <c r="C529" s="17" t="s">
        <v>16</v>
      </c>
      <c r="D529" s="17">
        <v>1</v>
      </c>
      <c r="E529" s="16" t="s">
        <v>109</v>
      </c>
      <c r="F529" s="40">
        <f>'GT Input'!C13</f>
        <v>7</v>
      </c>
      <c r="G529" s="40">
        <f>'GT Input'!D13</f>
        <v>14</v>
      </c>
      <c r="H529" s="40">
        <f>'GT Input'!E13</f>
        <v>7</v>
      </c>
      <c r="I529" s="40">
        <f>'GT Input'!F13</f>
        <v>14</v>
      </c>
      <c r="J529" s="41">
        <f>'Detailed Results'!G529</f>
        <v>7</v>
      </c>
      <c r="K529" s="41">
        <f>'Detailed Results'!H529</f>
        <v>7</v>
      </c>
      <c r="L529" s="42">
        <f t="shared" si="96"/>
        <v>1</v>
      </c>
      <c r="M529" s="42">
        <f t="shared" si="104"/>
        <v>1</v>
      </c>
      <c r="N529" s="42">
        <f t="shared" si="97"/>
        <v>1</v>
      </c>
      <c r="O529" s="43">
        <f>'Detailed Results'!I529</f>
        <v>9</v>
      </c>
      <c r="P529" s="43">
        <f>'Detailed Results'!J529</f>
        <v>9</v>
      </c>
      <c r="Q529" s="44">
        <f t="shared" si="98"/>
        <v>1</v>
      </c>
      <c r="R529" s="44">
        <f t="shared" si="105"/>
        <v>0.6428571428571429</v>
      </c>
      <c r="S529" s="44">
        <f t="shared" si="99"/>
        <v>0.78260869565217395</v>
      </c>
      <c r="T529" s="45">
        <f>'Detailed Results'!K529</f>
        <v>7</v>
      </c>
      <c r="U529" s="45">
        <f>'Detailed Results'!L529</f>
        <v>7</v>
      </c>
      <c r="V529" s="46">
        <f t="shared" si="100"/>
        <v>1</v>
      </c>
      <c r="W529" s="46">
        <f t="shared" si="106"/>
        <v>1</v>
      </c>
      <c r="X529" s="46">
        <f t="shared" si="101"/>
        <v>1</v>
      </c>
      <c r="Y529" s="47">
        <f>'Detailed Results'!M529</f>
        <v>9</v>
      </c>
      <c r="Z529" s="47">
        <f>'Detailed Results'!N529</f>
        <v>8</v>
      </c>
      <c r="AA529" s="48">
        <f t="shared" si="102"/>
        <v>0.88888888888888884</v>
      </c>
      <c r="AB529" s="48">
        <f t="shared" si="107"/>
        <v>0.5714285714285714</v>
      </c>
      <c r="AC529" s="48">
        <f t="shared" si="103"/>
        <v>0.69565217391304346</v>
      </c>
    </row>
    <row r="530" spans="1:29" ht="15" customHeight="1" thickBot="1" x14ac:dyDescent="0.4">
      <c r="A530" s="185"/>
      <c r="B530" s="18" t="s">
        <v>22</v>
      </c>
      <c r="C530" s="19" t="s">
        <v>16</v>
      </c>
      <c r="D530" s="19">
        <v>2</v>
      </c>
      <c r="E530" s="18" t="s">
        <v>17</v>
      </c>
      <c r="F530" s="40">
        <f>'GT Input'!C13</f>
        <v>7</v>
      </c>
      <c r="G530" s="40">
        <f>'GT Input'!D13</f>
        <v>14</v>
      </c>
      <c r="H530" s="40">
        <f>'GT Input'!E13</f>
        <v>7</v>
      </c>
      <c r="I530" s="40">
        <f>'GT Input'!F13</f>
        <v>14</v>
      </c>
      <c r="J530" s="41">
        <f>'Detailed Results'!G530</f>
        <v>7</v>
      </c>
      <c r="K530" s="41">
        <f>'Detailed Results'!H530</f>
        <v>7</v>
      </c>
      <c r="L530" s="42">
        <f t="shared" si="96"/>
        <v>1</v>
      </c>
      <c r="M530" s="42">
        <f t="shared" si="104"/>
        <v>1</v>
      </c>
      <c r="N530" s="42">
        <f t="shared" si="97"/>
        <v>1</v>
      </c>
      <c r="O530" s="43">
        <f>'Detailed Results'!I530</f>
        <v>11</v>
      </c>
      <c r="P530" s="43">
        <f>'Detailed Results'!J530</f>
        <v>11</v>
      </c>
      <c r="Q530" s="44">
        <f t="shared" si="98"/>
        <v>1</v>
      </c>
      <c r="R530" s="44">
        <f t="shared" si="105"/>
        <v>0.7857142857142857</v>
      </c>
      <c r="S530" s="44">
        <f t="shared" si="99"/>
        <v>0.88</v>
      </c>
      <c r="T530" s="45">
        <f>'Detailed Results'!K530</f>
        <v>7</v>
      </c>
      <c r="U530" s="45">
        <f>'Detailed Results'!L530</f>
        <v>7</v>
      </c>
      <c r="V530" s="46">
        <f t="shared" si="100"/>
        <v>1</v>
      </c>
      <c r="W530" s="46">
        <f t="shared" si="106"/>
        <v>1</v>
      </c>
      <c r="X530" s="46">
        <f t="shared" si="101"/>
        <v>1</v>
      </c>
      <c r="Y530" s="47">
        <f>'Detailed Results'!M530</f>
        <v>11</v>
      </c>
      <c r="Z530" s="47">
        <f>'Detailed Results'!N530</f>
        <v>10</v>
      </c>
      <c r="AA530" s="48">
        <f t="shared" si="102"/>
        <v>0.90909090909090906</v>
      </c>
      <c r="AB530" s="48">
        <f t="shared" si="107"/>
        <v>0.7142857142857143</v>
      </c>
      <c r="AC530" s="48">
        <f t="shared" si="103"/>
        <v>0.8</v>
      </c>
    </row>
    <row r="531" spans="1:29" ht="15" customHeight="1" thickBot="1" x14ac:dyDescent="0.4">
      <c r="A531" s="185"/>
      <c r="B531" s="18" t="s">
        <v>22</v>
      </c>
      <c r="C531" s="19" t="s">
        <v>16</v>
      </c>
      <c r="D531" s="19">
        <v>2</v>
      </c>
      <c r="E531" s="18" t="s">
        <v>109</v>
      </c>
      <c r="F531" s="40">
        <f>'GT Input'!C13</f>
        <v>7</v>
      </c>
      <c r="G531" s="40">
        <f>'GT Input'!D13</f>
        <v>14</v>
      </c>
      <c r="H531" s="40">
        <f>'GT Input'!E13</f>
        <v>7</v>
      </c>
      <c r="I531" s="40">
        <f>'GT Input'!F13</f>
        <v>14</v>
      </c>
      <c r="J531" s="41">
        <f>'Detailed Results'!G531</f>
        <v>7</v>
      </c>
      <c r="K531" s="41">
        <f>'Detailed Results'!H531</f>
        <v>7</v>
      </c>
      <c r="L531" s="42">
        <f t="shared" si="96"/>
        <v>1</v>
      </c>
      <c r="M531" s="42">
        <f t="shared" si="104"/>
        <v>1</v>
      </c>
      <c r="N531" s="42">
        <f t="shared" si="97"/>
        <v>1</v>
      </c>
      <c r="O531" s="43">
        <f>'Detailed Results'!I531</f>
        <v>10</v>
      </c>
      <c r="P531" s="43">
        <f>'Detailed Results'!J531</f>
        <v>10</v>
      </c>
      <c r="Q531" s="44">
        <f t="shared" si="98"/>
        <v>1</v>
      </c>
      <c r="R531" s="44">
        <f t="shared" si="105"/>
        <v>0.7142857142857143</v>
      </c>
      <c r="S531" s="44">
        <f t="shared" si="99"/>
        <v>0.83333333333333326</v>
      </c>
      <c r="T531" s="45">
        <f>'Detailed Results'!K531</f>
        <v>7</v>
      </c>
      <c r="U531" s="45">
        <f>'Detailed Results'!L531</f>
        <v>7</v>
      </c>
      <c r="V531" s="46">
        <f t="shared" si="100"/>
        <v>1</v>
      </c>
      <c r="W531" s="46">
        <f t="shared" si="106"/>
        <v>1</v>
      </c>
      <c r="X531" s="46">
        <f t="shared" si="101"/>
        <v>1</v>
      </c>
      <c r="Y531" s="47">
        <f>'Detailed Results'!M531</f>
        <v>10</v>
      </c>
      <c r="Z531" s="47">
        <f>'Detailed Results'!N531</f>
        <v>9</v>
      </c>
      <c r="AA531" s="48">
        <f t="shared" si="102"/>
        <v>0.9</v>
      </c>
      <c r="AB531" s="48">
        <f t="shared" si="107"/>
        <v>0.6428571428571429</v>
      </c>
      <c r="AC531" s="48">
        <f t="shared" si="103"/>
        <v>0.75</v>
      </c>
    </row>
    <row r="532" spans="1:29" ht="15" customHeight="1" thickBot="1" x14ac:dyDescent="0.4">
      <c r="A532" s="185"/>
      <c r="B532" s="16" t="s">
        <v>22</v>
      </c>
      <c r="C532" s="17" t="s">
        <v>16</v>
      </c>
      <c r="D532" s="17">
        <v>3</v>
      </c>
      <c r="E532" s="16" t="s">
        <v>17</v>
      </c>
      <c r="F532" s="40">
        <f>'GT Input'!C13</f>
        <v>7</v>
      </c>
      <c r="G532" s="40">
        <f>'GT Input'!D13</f>
        <v>14</v>
      </c>
      <c r="H532" s="40">
        <f>'GT Input'!E13</f>
        <v>7</v>
      </c>
      <c r="I532" s="40">
        <f>'GT Input'!F13</f>
        <v>14</v>
      </c>
      <c r="J532" s="41">
        <f>'Detailed Results'!G532</f>
        <v>7</v>
      </c>
      <c r="K532" s="41">
        <f>'Detailed Results'!H532</f>
        <v>7</v>
      </c>
      <c r="L532" s="42">
        <f t="shared" si="96"/>
        <v>1</v>
      </c>
      <c r="M532" s="42">
        <f t="shared" si="104"/>
        <v>1</v>
      </c>
      <c r="N532" s="42">
        <f t="shared" si="97"/>
        <v>1</v>
      </c>
      <c r="O532" s="43">
        <f>'Detailed Results'!I532</f>
        <v>11</v>
      </c>
      <c r="P532" s="43">
        <f>'Detailed Results'!J532</f>
        <v>11</v>
      </c>
      <c r="Q532" s="44">
        <f t="shared" si="98"/>
        <v>1</v>
      </c>
      <c r="R532" s="44">
        <f t="shared" si="105"/>
        <v>0.7857142857142857</v>
      </c>
      <c r="S532" s="44">
        <f t="shared" si="99"/>
        <v>0.88</v>
      </c>
      <c r="T532" s="45">
        <f>'Detailed Results'!K532</f>
        <v>7</v>
      </c>
      <c r="U532" s="45">
        <f>'Detailed Results'!L532</f>
        <v>7</v>
      </c>
      <c r="V532" s="46">
        <f t="shared" si="100"/>
        <v>1</v>
      </c>
      <c r="W532" s="46">
        <f t="shared" si="106"/>
        <v>1</v>
      </c>
      <c r="X532" s="46">
        <f t="shared" si="101"/>
        <v>1</v>
      </c>
      <c r="Y532" s="47">
        <f>'Detailed Results'!M532</f>
        <v>11</v>
      </c>
      <c r="Z532" s="47">
        <f>'Detailed Results'!N532</f>
        <v>9</v>
      </c>
      <c r="AA532" s="48">
        <f t="shared" si="102"/>
        <v>0.81818181818181823</v>
      </c>
      <c r="AB532" s="48">
        <f t="shared" si="107"/>
        <v>0.6428571428571429</v>
      </c>
      <c r="AC532" s="48">
        <f t="shared" si="103"/>
        <v>0.72000000000000008</v>
      </c>
    </row>
    <row r="533" spans="1:29" ht="15" customHeight="1" thickBot="1" x14ac:dyDescent="0.4">
      <c r="A533" s="185"/>
      <c r="B533" s="16" t="s">
        <v>22</v>
      </c>
      <c r="C533" s="17" t="s">
        <v>16</v>
      </c>
      <c r="D533" s="17">
        <v>3</v>
      </c>
      <c r="E533" s="16" t="s">
        <v>109</v>
      </c>
      <c r="F533" s="40">
        <f>'GT Input'!C13</f>
        <v>7</v>
      </c>
      <c r="G533" s="40">
        <f>'GT Input'!D13</f>
        <v>14</v>
      </c>
      <c r="H533" s="40">
        <f>'GT Input'!E13</f>
        <v>7</v>
      </c>
      <c r="I533" s="40">
        <f>'GT Input'!F13</f>
        <v>14</v>
      </c>
      <c r="J533" s="41">
        <f>'Detailed Results'!G533</f>
        <v>7</v>
      </c>
      <c r="K533" s="41">
        <f>'Detailed Results'!H533</f>
        <v>7</v>
      </c>
      <c r="L533" s="42">
        <f t="shared" si="96"/>
        <v>1</v>
      </c>
      <c r="M533" s="42">
        <f t="shared" si="104"/>
        <v>1</v>
      </c>
      <c r="N533" s="42">
        <f t="shared" si="97"/>
        <v>1</v>
      </c>
      <c r="O533" s="43">
        <f>'Detailed Results'!I533</f>
        <v>11</v>
      </c>
      <c r="P533" s="43">
        <f>'Detailed Results'!J533</f>
        <v>11</v>
      </c>
      <c r="Q533" s="44">
        <f t="shared" si="98"/>
        <v>1</v>
      </c>
      <c r="R533" s="44">
        <f t="shared" si="105"/>
        <v>0.7857142857142857</v>
      </c>
      <c r="S533" s="44">
        <f t="shared" si="99"/>
        <v>0.88</v>
      </c>
      <c r="T533" s="45">
        <f>'Detailed Results'!K533</f>
        <v>7</v>
      </c>
      <c r="U533" s="45">
        <f>'Detailed Results'!L533</f>
        <v>7</v>
      </c>
      <c r="V533" s="46">
        <f t="shared" si="100"/>
        <v>1</v>
      </c>
      <c r="W533" s="46">
        <f t="shared" si="106"/>
        <v>1</v>
      </c>
      <c r="X533" s="46">
        <f t="shared" si="101"/>
        <v>1</v>
      </c>
      <c r="Y533" s="47">
        <f>'Detailed Results'!M533</f>
        <v>11</v>
      </c>
      <c r="Z533" s="47">
        <f>'Detailed Results'!N533</f>
        <v>10</v>
      </c>
      <c r="AA533" s="48">
        <f t="shared" si="102"/>
        <v>0.90909090909090906</v>
      </c>
      <c r="AB533" s="48">
        <f t="shared" si="107"/>
        <v>0.7142857142857143</v>
      </c>
      <c r="AC533" s="48">
        <f t="shared" si="103"/>
        <v>0.8</v>
      </c>
    </row>
    <row r="534" spans="1:29" ht="15" customHeight="1" thickBot="1" x14ac:dyDescent="0.4">
      <c r="A534" s="185"/>
      <c r="B534" s="18" t="s">
        <v>22</v>
      </c>
      <c r="C534" s="19" t="s">
        <v>19</v>
      </c>
      <c r="D534" s="19">
        <v>1</v>
      </c>
      <c r="E534" s="18" t="s">
        <v>17</v>
      </c>
      <c r="F534" s="40">
        <f>'GT Input'!C13</f>
        <v>7</v>
      </c>
      <c r="G534" s="40">
        <f>'GT Input'!D13</f>
        <v>14</v>
      </c>
      <c r="H534" s="40">
        <f>'GT Input'!E13</f>
        <v>7</v>
      </c>
      <c r="I534" s="40">
        <f>'GT Input'!F13</f>
        <v>14</v>
      </c>
      <c r="J534" s="41">
        <f>'Detailed Results'!G534</f>
        <v>7</v>
      </c>
      <c r="K534" s="41">
        <f>'Detailed Results'!H534</f>
        <v>7</v>
      </c>
      <c r="L534" s="42">
        <f t="shared" si="96"/>
        <v>1</v>
      </c>
      <c r="M534" s="42">
        <f t="shared" si="104"/>
        <v>1</v>
      </c>
      <c r="N534" s="42">
        <f t="shared" si="97"/>
        <v>1</v>
      </c>
      <c r="O534" s="43">
        <f>'Detailed Results'!I534</f>
        <v>11</v>
      </c>
      <c r="P534" s="43">
        <f>'Detailed Results'!J534</f>
        <v>11</v>
      </c>
      <c r="Q534" s="44">
        <f t="shared" si="98"/>
        <v>1</v>
      </c>
      <c r="R534" s="44">
        <f t="shared" si="105"/>
        <v>0.7857142857142857</v>
      </c>
      <c r="S534" s="44">
        <f t="shared" si="99"/>
        <v>0.88</v>
      </c>
      <c r="T534" s="45">
        <f>'Detailed Results'!K534</f>
        <v>7</v>
      </c>
      <c r="U534" s="45">
        <f>'Detailed Results'!L534</f>
        <v>7</v>
      </c>
      <c r="V534" s="46">
        <f t="shared" si="100"/>
        <v>1</v>
      </c>
      <c r="W534" s="46">
        <f t="shared" si="106"/>
        <v>1</v>
      </c>
      <c r="X534" s="46">
        <f t="shared" si="101"/>
        <v>1</v>
      </c>
      <c r="Y534" s="47">
        <f>'Detailed Results'!M534</f>
        <v>11</v>
      </c>
      <c r="Z534" s="47">
        <f>'Detailed Results'!N534</f>
        <v>9</v>
      </c>
      <c r="AA534" s="48">
        <f t="shared" si="102"/>
        <v>0.81818181818181823</v>
      </c>
      <c r="AB534" s="48">
        <f t="shared" si="107"/>
        <v>0.6428571428571429</v>
      </c>
      <c r="AC534" s="48">
        <f t="shared" si="103"/>
        <v>0.72000000000000008</v>
      </c>
    </row>
    <row r="535" spans="1:29" ht="15" customHeight="1" thickBot="1" x14ac:dyDescent="0.4">
      <c r="A535" s="185"/>
      <c r="B535" s="18" t="s">
        <v>22</v>
      </c>
      <c r="C535" s="19" t="s">
        <v>19</v>
      </c>
      <c r="D535" s="19">
        <v>1</v>
      </c>
      <c r="E535" s="18" t="s">
        <v>109</v>
      </c>
      <c r="F535" s="40">
        <f>'GT Input'!C13</f>
        <v>7</v>
      </c>
      <c r="G535" s="40">
        <f>'GT Input'!D13</f>
        <v>14</v>
      </c>
      <c r="H535" s="40">
        <f>'GT Input'!E13</f>
        <v>7</v>
      </c>
      <c r="I535" s="40">
        <f>'GT Input'!F13</f>
        <v>14</v>
      </c>
      <c r="J535" s="41">
        <f>'Detailed Results'!G535</f>
        <v>7</v>
      </c>
      <c r="K535" s="41">
        <f>'Detailed Results'!H535</f>
        <v>7</v>
      </c>
      <c r="L535" s="42">
        <f t="shared" si="96"/>
        <v>1</v>
      </c>
      <c r="M535" s="42">
        <f t="shared" si="104"/>
        <v>1</v>
      </c>
      <c r="N535" s="42">
        <f t="shared" si="97"/>
        <v>1</v>
      </c>
      <c r="O535" s="43">
        <f>'Detailed Results'!I535</f>
        <v>11</v>
      </c>
      <c r="P535" s="43">
        <f>'Detailed Results'!J535</f>
        <v>11</v>
      </c>
      <c r="Q535" s="44">
        <f t="shared" si="98"/>
        <v>1</v>
      </c>
      <c r="R535" s="44">
        <f t="shared" si="105"/>
        <v>0.7857142857142857</v>
      </c>
      <c r="S535" s="44">
        <f t="shared" si="99"/>
        <v>0.88</v>
      </c>
      <c r="T535" s="45">
        <f>'Detailed Results'!K535</f>
        <v>7</v>
      </c>
      <c r="U535" s="45">
        <f>'Detailed Results'!L535</f>
        <v>7</v>
      </c>
      <c r="V535" s="46">
        <f t="shared" si="100"/>
        <v>1</v>
      </c>
      <c r="W535" s="46">
        <f t="shared" si="106"/>
        <v>1</v>
      </c>
      <c r="X535" s="46">
        <f t="shared" si="101"/>
        <v>1</v>
      </c>
      <c r="Y535" s="47">
        <f>'Detailed Results'!M535</f>
        <v>11</v>
      </c>
      <c r="Z535" s="47">
        <f>'Detailed Results'!N535</f>
        <v>10</v>
      </c>
      <c r="AA535" s="48">
        <f t="shared" si="102"/>
        <v>0.90909090909090906</v>
      </c>
      <c r="AB535" s="48">
        <f t="shared" si="107"/>
        <v>0.7142857142857143</v>
      </c>
      <c r="AC535" s="48">
        <f t="shared" si="103"/>
        <v>0.8</v>
      </c>
    </row>
    <row r="536" spans="1:29" ht="15" customHeight="1" thickBot="1" x14ac:dyDescent="0.4">
      <c r="A536" s="185"/>
      <c r="B536" s="16" t="s">
        <v>22</v>
      </c>
      <c r="C536" s="17" t="s">
        <v>19</v>
      </c>
      <c r="D536" s="17">
        <v>2</v>
      </c>
      <c r="E536" s="16" t="s">
        <v>17</v>
      </c>
      <c r="F536" s="40">
        <f>'GT Input'!C13</f>
        <v>7</v>
      </c>
      <c r="G536" s="40">
        <f>'GT Input'!D13</f>
        <v>14</v>
      </c>
      <c r="H536" s="40">
        <f>'GT Input'!E13</f>
        <v>7</v>
      </c>
      <c r="I536" s="40">
        <f>'GT Input'!F13</f>
        <v>14</v>
      </c>
      <c r="J536" s="41">
        <f>'Detailed Results'!G536</f>
        <v>7</v>
      </c>
      <c r="K536" s="41">
        <f>'Detailed Results'!H536</f>
        <v>7</v>
      </c>
      <c r="L536" s="42">
        <f t="shared" si="96"/>
        <v>1</v>
      </c>
      <c r="M536" s="42">
        <f t="shared" si="104"/>
        <v>1</v>
      </c>
      <c r="N536" s="42">
        <f t="shared" si="97"/>
        <v>1</v>
      </c>
      <c r="O536" s="43">
        <f>'Detailed Results'!I536</f>
        <v>11</v>
      </c>
      <c r="P536" s="43">
        <f>'Detailed Results'!J536</f>
        <v>11</v>
      </c>
      <c r="Q536" s="44">
        <f t="shared" si="98"/>
        <v>1</v>
      </c>
      <c r="R536" s="44">
        <f t="shared" si="105"/>
        <v>0.7857142857142857</v>
      </c>
      <c r="S536" s="44">
        <f t="shared" si="99"/>
        <v>0.88</v>
      </c>
      <c r="T536" s="45">
        <f>'Detailed Results'!K536</f>
        <v>7</v>
      </c>
      <c r="U536" s="45">
        <f>'Detailed Results'!L536</f>
        <v>7</v>
      </c>
      <c r="V536" s="46">
        <f t="shared" si="100"/>
        <v>1</v>
      </c>
      <c r="W536" s="46">
        <f t="shared" si="106"/>
        <v>1</v>
      </c>
      <c r="X536" s="46">
        <f t="shared" si="101"/>
        <v>1</v>
      </c>
      <c r="Y536" s="47">
        <f>'Detailed Results'!M536</f>
        <v>11</v>
      </c>
      <c r="Z536" s="47">
        <f>'Detailed Results'!N536</f>
        <v>9</v>
      </c>
      <c r="AA536" s="48">
        <f t="shared" si="102"/>
        <v>0.81818181818181823</v>
      </c>
      <c r="AB536" s="48">
        <f t="shared" si="107"/>
        <v>0.6428571428571429</v>
      </c>
      <c r="AC536" s="48">
        <f t="shared" si="103"/>
        <v>0.72000000000000008</v>
      </c>
    </row>
    <row r="537" spans="1:29" ht="15" customHeight="1" thickBot="1" x14ac:dyDescent="0.4">
      <c r="A537" s="185"/>
      <c r="B537" s="16" t="s">
        <v>22</v>
      </c>
      <c r="C537" s="17" t="s">
        <v>19</v>
      </c>
      <c r="D537" s="17">
        <v>2</v>
      </c>
      <c r="E537" s="16" t="s">
        <v>109</v>
      </c>
      <c r="F537" s="40">
        <f>'GT Input'!C13</f>
        <v>7</v>
      </c>
      <c r="G537" s="40">
        <f>'GT Input'!D13</f>
        <v>14</v>
      </c>
      <c r="H537" s="40">
        <f>'GT Input'!E13</f>
        <v>7</v>
      </c>
      <c r="I537" s="40">
        <f>'GT Input'!F13</f>
        <v>14</v>
      </c>
      <c r="J537" s="41">
        <f>'Detailed Results'!G537</f>
        <v>7</v>
      </c>
      <c r="K537" s="41">
        <f>'Detailed Results'!H537</f>
        <v>7</v>
      </c>
      <c r="L537" s="42">
        <f t="shared" si="96"/>
        <v>1</v>
      </c>
      <c r="M537" s="42">
        <f t="shared" si="104"/>
        <v>1</v>
      </c>
      <c r="N537" s="42">
        <f t="shared" si="97"/>
        <v>1</v>
      </c>
      <c r="O537" s="43">
        <f>'Detailed Results'!I537</f>
        <v>11</v>
      </c>
      <c r="P537" s="43">
        <f>'Detailed Results'!J537</f>
        <v>11</v>
      </c>
      <c r="Q537" s="44">
        <f t="shared" si="98"/>
        <v>1</v>
      </c>
      <c r="R537" s="44">
        <f t="shared" si="105"/>
        <v>0.7857142857142857</v>
      </c>
      <c r="S537" s="44">
        <f t="shared" si="99"/>
        <v>0.88</v>
      </c>
      <c r="T537" s="45">
        <f>'Detailed Results'!K537</f>
        <v>7</v>
      </c>
      <c r="U537" s="45">
        <f>'Detailed Results'!L537</f>
        <v>7</v>
      </c>
      <c r="V537" s="46">
        <f t="shared" si="100"/>
        <v>1</v>
      </c>
      <c r="W537" s="46">
        <f t="shared" si="106"/>
        <v>1</v>
      </c>
      <c r="X537" s="46">
        <f t="shared" si="101"/>
        <v>1</v>
      </c>
      <c r="Y537" s="47">
        <f>'Detailed Results'!M537</f>
        <v>11</v>
      </c>
      <c r="Z537" s="47">
        <f>'Detailed Results'!N537</f>
        <v>10</v>
      </c>
      <c r="AA537" s="48">
        <f t="shared" si="102"/>
        <v>0.90909090909090906</v>
      </c>
      <c r="AB537" s="48">
        <f t="shared" si="107"/>
        <v>0.7142857142857143</v>
      </c>
      <c r="AC537" s="48">
        <f t="shared" si="103"/>
        <v>0.8</v>
      </c>
    </row>
    <row r="538" spans="1:29" ht="15" customHeight="1" thickBot="1" x14ac:dyDescent="0.4">
      <c r="A538" s="185"/>
      <c r="B538" s="18" t="s">
        <v>22</v>
      </c>
      <c r="C538" s="19" t="s">
        <v>19</v>
      </c>
      <c r="D538" s="19">
        <v>3</v>
      </c>
      <c r="E538" s="18" t="s">
        <v>17</v>
      </c>
      <c r="F538" s="40">
        <f>'GT Input'!C13</f>
        <v>7</v>
      </c>
      <c r="G538" s="40">
        <f>'GT Input'!D13</f>
        <v>14</v>
      </c>
      <c r="H538" s="40">
        <f>'GT Input'!E13</f>
        <v>7</v>
      </c>
      <c r="I538" s="40">
        <f>'GT Input'!F13</f>
        <v>14</v>
      </c>
      <c r="J538" s="41">
        <f>'Detailed Results'!G538</f>
        <v>7</v>
      </c>
      <c r="K538" s="41">
        <f>'Detailed Results'!H538</f>
        <v>7</v>
      </c>
      <c r="L538" s="42">
        <f t="shared" si="96"/>
        <v>1</v>
      </c>
      <c r="M538" s="42">
        <f t="shared" si="104"/>
        <v>1</v>
      </c>
      <c r="N538" s="42">
        <f t="shared" si="97"/>
        <v>1</v>
      </c>
      <c r="O538" s="43">
        <f>'Detailed Results'!I538</f>
        <v>11</v>
      </c>
      <c r="P538" s="43">
        <f>'Detailed Results'!J538</f>
        <v>11</v>
      </c>
      <c r="Q538" s="44">
        <f t="shared" si="98"/>
        <v>1</v>
      </c>
      <c r="R538" s="44">
        <f t="shared" si="105"/>
        <v>0.7857142857142857</v>
      </c>
      <c r="S538" s="44">
        <f t="shared" si="99"/>
        <v>0.88</v>
      </c>
      <c r="T538" s="45">
        <f>'Detailed Results'!K538</f>
        <v>7</v>
      </c>
      <c r="U538" s="45">
        <f>'Detailed Results'!L538</f>
        <v>7</v>
      </c>
      <c r="V538" s="46">
        <f t="shared" si="100"/>
        <v>1</v>
      </c>
      <c r="W538" s="46">
        <f t="shared" si="106"/>
        <v>1</v>
      </c>
      <c r="X538" s="46">
        <f t="shared" si="101"/>
        <v>1</v>
      </c>
      <c r="Y538" s="47">
        <f>'Detailed Results'!M538</f>
        <v>11</v>
      </c>
      <c r="Z538" s="47">
        <f>'Detailed Results'!N538</f>
        <v>9</v>
      </c>
      <c r="AA538" s="48">
        <f t="shared" si="102"/>
        <v>0.81818181818181823</v>
      </c>
      <c r="AB538" s="48">
        <f t="shared" si="107"/>
        <v>0.6428571428571429</v>
      </c>
      <c r="AC538" s="48">
        <f t="shared" si="103"/>
        <v>0.72000000000000008</v>
      </c>
    </row>
    <row r="539" spans="1:29" ht="15" customHeight="1" thickBot="1" x14ac:dyDescent="0.4">
      <c r="A539" s="185"/>
      <c r="B539" s="18" t="s">
        <v>22</v>
      </c>
      <c r="C539" s="19" t="s">
        <v>19</v>
      </c>
      <c r="D539" s="19">
        <v>3</v>
      </c>
      <c r="E539" s="18" t="s">
        <v>109</v>
      </c>
      <c r="F539" s="40">
        <f>'GT Input'!C13</f>
        <v>7</v>
      </c>
      <c r="G539" s="40">
        <f>'GT Input'!D13</f>
        <v>14</v>
      </c>
      <c r="H539" s="40">
        <f>'GT Input'!E13</f>
        <v>7</v>
      </c>
      <c r="I539" s="40">
        <f>'GT Input'!F13</f>
        <v>14</v>
      </c>
      <c r="J539" s="41">
        <f>'Detailed Results'!G539</f>
        <v>7</v>
      </c>
      <c r="K539" s="41">
        <f>'Detailed Results'!H539</f>
        <v>7</v>
      </c>
      <c r="L539" s="42">
        <f t="shared" si="96"/>
        <v>1</v>
      </c>
      <c r="M539" s="42">
        <f t="shared" si="104"/>
        <v>1</v>
      </c>
      <c r="N539" s="42">
        <f t="shared" si="97"/>
        <v>1</v>
      </c>
      <c r="O539" s="43">
        <f>'Detailed Results'!I539</f>
        <v>11</v>
      </c>
      <c r="P539" s="43">
        <f>'Detailed Results'!J539</f>
        <v>11</v>
      </c>
      <c r="Q539" s="44">
        <f t="shared" si="98"/>
        <v>1</v>
      </c>
      <c r="R539" s="44">
        <f t="shared" si="105"/>
        <v>0.7857142857142857</v>
      </c>
      <c r="S539" s="44">
        <f t="shared" si="99"/>
        <v>0.88</v>
      </c>
      <c r="T539" s="45">
        <f>'Detailed Results'!K539</f>
        <v>7</v>
      </c>
      <c r="U539" s="45">
        <f>'Detailed Results'!L539</f>
        <v>7</v>
      </c>
      <c r="V539" s="46">
        <f t="shared" si="100"/>
        <v>1</v>
      </c>
      <c r="W539" s="46">
        <f t="shared" si="106"/>
        <v>1</v>
      </c>
      <c r="X539" s="46">
        <f t="shared" si="101"/>
        <v>1</v>
      </c>
      <c r="Y539" s="47">
        <f>'Detailed Results'!M539</f>
        <v>11</v>
      </c>
      <c r="Z539" s="47">
        <f>'Detailed Results'!N539</f>
        <v>10</v>
      </c>
      <c r="AA539" s="48">
        <f t="shared" si="102"/>
        <v>0.90909090909090906</v>
      </c>
      <c r="AB539" s="48">
        <f t="shared" si="107"/>
        <v>0.7142857142857143</v>
      </c>
      <c r="AC539" s="48">
        <f t="shared" si="103"/>
        <v>0.8</v>
      </c>
    </row>
    <row r="540" spans="1:29" ht="15" customHeight="1" thickBot="1" x14ac:dyDescent="0.4">
      <c r="A540" s="185"/>
      <c r="B540" s="16" t="s">
        <v>22</v>
      </c>
      <c r="C540" s="17" t="s">
        <v>20</v>
      </c>
      <c r="D540" s="17">
        <v>1</v>
      </c>
      <c r="E540" s="16" t="s">
        <v>17</v>
      </c>
      <c r="F540" s="40">
        <f>'GT Input'!C13</f>
        <v>7</v>
      </c>
      <c r="G540" s="40">
        <f>'GT Input'!D13</f>
        <v>14</v>
      </c>
      <c r="H540" s="40">
        <f>'GT Input'!E13</f>
        <v>7</v>
      </c>
      <c r="I540" s="40">
        <f>'GT Input'!F13</f>
        <v>14</v>
      </c>
      <c r="J540" s="41">
        <f>'Detailed Results'!G540</f>
        <v>7</v>
      </c>
      <c r="K540" s="41">
        <f>'Detailed Results'!H540</f>
        <v>7</v>
      </c>
      <c r="L540" s="42">
        <f t="shared" si="96"/>
        <v>1</v>
      </c>
      <c r="M540" s="42">
        <f t="shared" si="104"/>
        <v>1</v>
      </c>
      <c r="N540" s="42">
        <f t="shared" si="97"/>
        <v>1</v>
      </c>
      <c r="O540" s="43">
        <f>'Detailed Results'!I540</f>
        <v>11</v>
      </c>
      <c r="P540" s="43">
        <f>'Detailed Results'!J540</f>
        <v>11</v>
      </c>
      <c r="Q540" s="44">
        <f t="shared" si="98"/>
        <v>1</v>
      </c>
      <c r="R540" s="44">
        <f t="shared" si="105"/>
        <v>0.7857142857142857</v>
      </c>
      <c r="S540" s="44">
        <f t="shared" si="99"/>
        <v>0.88</v>
      </c>
      <c r="T540" s="45">
        <f>'Detailed Results'!K540</f>
        <v>7</v>
      </c>
      <c r="U540" s="45">
        <f>'Detailed Results'!L540</f>
        <v>7</v>
      </c>
      <c r="V540" s="46">
        <f t="shared" si="100"/>
        <v>1</v>
      </c>
      <c r="W540" s="46">
        <f t="shared" si="106"/>
        <v>1</v>
      </c>
      <c r="X540" s="46">
        <f t="shared" si="101"/>
        <v>1</v>
      </c>
      <c r="Y540" s="47">
        <f>'Detailed Results'!M540</f>
        <v>11</v>
      </c>
      <c r="Z540" s="47">
        <f>'Detailed Results'!N540</f>
        <v>9</v>
      </c>
      <c r="AA540" s="48">
        <f t="shared" si="102"/>
        <v>0.81818181818181823</v>
      </c>
      <c r="AB540" s="48">
        <f t="shared" si="107"/>
        <v>0.6428571428571429</v>
      </c>
      <c r="AC540" s="48">
        <f t="shared" si="103"/>
        <v>0.72000000000000008</v>
      </c>
    </row>
    <row r="541" spans="1:29" ht="15" customHeight="1" thickBot="1" x14ac:dyDescent="0.4">
      <c r="A541" s="185"/>
      <c r="B541" s="16" t="s">
        <v>22</v>
      </c>
      <c r="C541" s="17" t="s">
        <v>20</v>
      </c>
      <c r="D541" s="17">
        <v>1</v>
      </c>
      <c r="E541" s="16" t="s">
        <v>109</v>
      </c>
      <c r="F541" s="40">
        <f>'GT Input'!C13</f>
        <v>7</v>
      </c>
      <c r="G541" s="40">
        <f>'GT Input'!D13</f>
        <v>14</v>
      </c>
      <c r="H541" s="40">
        <f>'GT Input'!E13</f>
        <v>7</v>
      </c>
      <c r="I541" s="40">
        <f>'GT Input'!F13</f>
        <v>14</v>
      </c>
      <c r="J541" s="41">
        <f>'Detailed Results'!G541</f>
        <v>7</v>
      </c>
      <c r="K541" s="41">
        <f>'Detailed Results'!H541</f>
        <v>7</v>
      </c>
      <c r="L541" s="42">
        <f t="shared" si="96"/>
        <v>1</v>
      </c>
      <c r="M541" s="42">
        <f t="shared" si="104"/>
        <v>1</v>
      </c>
      <c r="N541" s="42">
        <f t="shared" si="97"/>
        <v>1</v>
      </c>
      <c r="O541" s="43">
        <f>'Detailed Results'!I541</f>
        <v>11</v>
      </c>
      <c r="P541" s="43">
        <f>'Detailed Results'!J541</f>
        <v>11</v>
      </c>
      <c r="Q541" s="44">
        <f t="shared" si="98"/>
        <v>1</v>
      </c>
      <c r="R541" s="44">
        <f t="shared" si="105"/>
        <v>0.7857142857142857</v>
      </c>
      <c r="S541" s="44">
        <f t="shared" si="99"/>
        <v>0.88</v>
      </c>
      <c r="T541" s="45">
        <f>'Detailed Results'!K541</f>
        <v>7</v>
      </c>
      <c r="U541" s="45">
        <f>'Detailed Results'!L541</f>
        <v>7</v>
      </c>
      <c r="V541" s="46">
        <f t="shared" si="100"/>
        <v>1</v>
      </c>
      <c r="W541" s="46">
        <f t="shared" si="106"/>
        <v>1</v>
      </c>
      <c r="X541" s="46">
        <f t="shared" si="101"/>
        <v>1</v>
      </c>
      <c r="Y541" s="47">
        <f>'Detailed Results'!M541</f>
        <v>11</v>
      </c>
      <c r="Z541" s="47">
        <f>'Detailed Results'!N541</f>
        <v>10</v>
      </c>
      <c r="AA541" s="48">
        <f t="shared" si="102"/>
        <v>0.90909090909090906</v>
      </c>
      <c r="AB541" s="48">
        <f t="shared" si="107"/>
        <v>0.7142857142857143</v>
      </c>
      <c r="AC541" s="48">
        <f t="shared" si="103"/>
        <v>0.8</v>
      </c>
    </row>
    <row r="542" spans="1:29" ht="15" customHeight="1" thickBot="1" x14ac:dyDescent="0.4">
      <c r="A542" s="185"/>
      <c r="B542" s="18" t="s">
        <v>22</v>
      </c>
      <c r="C542" s="19" t="s">
        <v>20</v>
      </c>
      <c r="D542" s="19">
        <v>2</v>
      </c>
      <c r="E542" s="18" t="s">
        <v>17</v>
      </c>
      <c r="F542" s="40">
        <f>'GT Input'!C13</f>
        <v>7</v>
      </c>
      <c r="G542" s="40">
        <f>'GT Input'!D13</f>
        <v>14</v>
      </c>
      <c r="H542" s="40">
        <f>'GT Input'!E13</f>
        <v>7</v>
      </c>
      <c r="I542" s="40">
        <f>'GT Input'!F13</f>
        <v>14</v>
      </c>
      <c r="J542" s="41">
        <f>'Detailed Results'!G542</f>
        <v>7</v>
      </c>
      <c r="K542" s="41">
        <f>'Detailed Results'!H542</f>
        <v>7</v>
      </c>
      <c r="L542" s="42">
        <f t="shared" si="96"/>
        <v>1</v>
      </c>
      <c r="M542" s="42">
        <f t="shared" si="104"/>
        <v>1</v>
      </c>
      <c r="N542" s="42">
        <f t="shared" si="97"/>
        <v>1</v>
      </c>
      <c r="O542" s="43">
        <f>'Detailed Results'!I542</f>
        <v>11</v>
      </c>
      <c r="P542" s="43">
        <f>'Detailed Results'!J542</f>
        <v>11</v>
      </c>
      <c r="Q542" s="44">
        <f t="shared" si="98"/>
        <v>1</v>
      </c>
      <c r="R542" s="44">
        <f t="shared" si="105"/>
        <v>0.7857142857142857</v>
      </c>
      <c r="S542" s="44">
        <f t="shared" si="99"/>
        <v>0.88</v>
      </c>
      <c r="T542" s="45">
        <f>'Detailed Results'!K542</f>
        <v>7</v>
      </c>
      <c r="U542" s="45">
        <f>'Detailed Results'!L542</f>
        <v>7</v>
      </c>
      <c r="V542" s="46">
        <f t="shared" si="100"/>
        <v>1</v>
      </c>
      <c r="W542" s="46">
        <f t="shared" si="106"/>
        <v>1</v>
      </c>
      <c r="X542" s="46">
        <f t="shared" si="101"/>
        <v>1</v>
      </c>
      <c r="Y542" s="47">
        <f>'Detailed Results'!M542</f>
        <v>11</v>
      </c>
      <c r="Z542" s="47">
        <f>'Detailed Results'!N542</f>
        <v>11</v>
      </c>
      <c r="AA542" s="48">
        <f t="shared" si="102"/>
        <v>1</v>
      </c>
      <c r="AB542" s="48">
        <f t="shared" si="107"/>
        <v>0.7857142857142857</v>
      </c>
      <c r="AC542" s="48">
        <f t="shared" si="103"/>
        <v>0.88</v>
      </c>
    </row>
    <row r="543" spans="1:29" ht="15" customHeight="1" thickBot="1" x14ac:dyDescent="0.4">
      <c r="A543" s="185"/>
      <c r="B543" s="18" t="s">
        <v>22</v>
      </c>
      <c r="C543" s="19" t="s">
        <v>20</v>
      </c>
      <c r="D543" s="19">
        <v>2</v>
      </c>
      <c r="E543" s="18" t="s">
        <v>109</v>
      </c>
      <c r="F543" s="40">
        <f>'GT Input'!C13</f>
        <v>7</v>
      </c>
      <c r="G543" s="40">
        <f>'GT Input'!D13</f>
        <v>14</v>
      </c>
      <c r="H543" s="40">
        <f>'GT Input'!E13</f>
        <v>7</v>
      </c>
      <c r="I543" s="40">
        <f>'GT Input'!F13</f>
        <v>14</v>
      </c>
      <c r="J543" s="41">
        <f>'Detailed Results'!G543</f>
        <v>8</v>
      </c>
      <c r="K543" s="41">
        <f>'Detailed Results'!H543</f>
        <v>8</v>
      </c>
      <c r="L543" s="42">
        <f t="shared" si="96"/>
        <v>1</v>
      </c>
      <c r="M543" s="42">
        <f t="shared" si="104"/>
        <v>1.1428571428571428</v>
      </c>
      <c r="N543" s="42">
        <f t="shared" si="97"/>
        <v>1.0666666666666667</v>
      </c>
      <c r="O543" s="43">
        <f>'Detailed Results'!I543</f>
        <v>12</v>
      </c>
      <c r="P543" s="43">
        <f>'Detailed Results'!J543</f>
        <v>12</v>
      </c>
      <c r="Q543" s="44">
        <f t="shared" si="98"/>
        <v>1</v>
      </c>
      <c r="R543" s="44">
        <f t="shared" si="105"/>
        <v>0.8571428571428571</v>
      </c>
      <c r="S543" s="44">
        <f t="shared" si="99"/>
        <v>0.92307692307692302</v>
      </c>
      <c r="T543" s="45">
        <f>'Detailed Results'!K543</f>
        <v>8</v>
      </c>
      <c r="U543" s="45">
        <f>'Detailed Results'!L543</f>
        <v>6</v>
      </c>
      <c r="V543" s="46">
        <f t="shared" si="100"/>
        <v>0.75</v>
      </c>
      <c r="W543" s="46">
        <f t="shared" si="106"/>
        <v>0.8571428571428571</v>
      </c>
      <c r="X543" s="46">
        <f t="shared" si="101"/>
        <v>0.79999999999999993</v>
      </c>
      <c r="Y543" s="47">
        <f>'Detailed Results'!M543</f>
        <v>12</v>
      </c>
      <c r="Z543" s="47">
        <f>'Detailed Results'!N543</f>
        <v>5</v>
      </c>
      <c r="AA543" s="48">
        <f t="shared" si="102"/>
        <v>0.41666666666666669</v>
      </c>
      <c r="AB543" s="48">
        <f t="shared" si="107"/>
        <v>0.35714285714285715</v>
      </c>
      <c r="AC543" s="48">
        <f t="shared" si="103"/>
        <v>0.38461538461538458</v>
      </c>
    </row>
    <row r="544" spans="1:29" ht="15" customHeight="1" thickBot="1" x14ac:dyDescent="0.4">
      <c r="A544" s="185"/>
      <c r="B544" s="16" t="s">
        <v>22</v>
      </c>
      <c r="C544" s="17" t="s">
        <v>20</v>
      </c>
      <c r="D544" s="17">
        <v>3</v>
      </c>
      <c r="E544" s="16" t="s">
        <v>17</v>
      </c>
      <c r="F544" s="40">
        <f>'GT Input'!C13</f>
        <v>7</v>
      </c>
      <c r="G544" s="40">
        <f>'GT Input'!D13</f>
        <v>14</v>
      </c>
      <c r="H544" s="40">
        <f>'GT Input'!E13</f>
        <v>7</v>
      </c>
      <c r="I544" s="40">
        <f>'GT Input'!F13</f>
        <v>14</v>
      </c>
      <c r="J544" s="41">
        <f>'Detailed Results'!G544</f>
        <v>7</v>
      </c>
      <c r="K544" s="41">
        <f>'Detailed Results'!H544</f>
        <v>7</v>
      </c>
      <c r="L544" s="42">
        <f t="shared" si="96"/>
        <v>1</v>
      </c>
      <c r="M544" s="42">
        <f t="shared" si="104"/>
        <v>1</v>
      </c>
      <c r="N544" s="42">
        <f t="shared" si="97"/>
        <v>1</v>
      </c>
      <c r="O544" s="43">
        <f>'Detailed Results'!I544</f>
        <v>12</v>
      </c>
      <c r="P544" s="43">
        <f>'Detailed Results'!J544</f>
        <v>12</v>
      </c>
      <c r="Q544" s="44">
        <f t="shared" si="98"/>
        <v>1</v>
      </c>
      <c r="R544" s="44">
        <f t="shared" si="105"/>
        <v>0.8571428571428571</v>
      </c>
      <c r="S544" s="44">
        <f t="shared" si="99"/>
        <v>0.92307692307692302</v>
      </c>
      <c r="T544" s="45">
        <f>'Detailed Results'!K544</f>
        <v>7</v>
      </c>
      <c r="U544" s="45">
        <f>'Detailed Results'!L544</f>
        <v>7</v>
      </c>
      <c r="V544" s="46">
        <f t="shared" si="100"/>
        <v>1</v>
      </c>
      <c r="W544" s="46">
        <f t="shared" si="106"/>
        <v>1</v>
      </c>
      <c r="X544" s="46">
        <f t="shared" si="101"/>
        <v>1</v>
      </c>
      <c r="Y544" s="47">
        <f>'Detailed Results'!M544</f>
        <v>12</v>
      </c>
      <c r="Z544" s="47">
        <f>'Detailed Results'!N544</f>
        <v>12</v>
      </c>
      <c r="AA544" s="48">
        <f t="shared" si="102"/>
        <v>1</v>
      </c>
      <c r="AB544" s="48">
        <f t="shared" si="107"/>
        <v>0.8571428571428571</v>
      </c>
      <c r="AC544" s="48">
        <f t="shared" si="103"/>
        <v>0.92307692307692302</v>
      </c>
    </row>
    <row r="545" spans="1:29" s="64" customFormat="1" ht="15" customHeight="1" thickBot="1" x14ac:dyDescent="0.4">
      <c r="A545" s="185"/>
      <c r="B545" s="53" t="s">
        <v>22</v>
      </c>
      <c r="C545" s="54" t="s">
        <v>20</v>
      </c>
      <c r="D545" s="54">
        <v>3</v>
      </c>
      <c r="E545" s="53" t="s">
        <v>109</v>
      </c>
      <c r="F545" s="55">
        <f>'GT Input'!C13</f>
        <v>7</v>
      </c>
      <c r="G545" s="55">
        <f>'GT Input'!D13</f>
        <v>14</v>
      </c>
      <c r="H545" s="55">
        <f>'GT Input'!E13</f>
        <v>7</v>
      </c>
      <c r="I545" s="55">
        <f>'GT Input'!F13</f>
        <v>14</v>
      </c>
      <c r="J545" s="56">
        <f>'Detailed Results'!G545</f>
        <v>7</v>
      </c>
      <c r="K545" s="56">
        <f>'Detailed Results'!H545</f>
        <v>7</v>
      </c>
      <c r="L545" s="57">
        <f t="shared" si="96"/>
        <v>1</v>
      </c>
      <c r="M545" s="57">
        <f t="shared" si="104"/>
        <v>1</v>
      </c>
      <c r="N545" s="57">
        <f t="shared" si="97"/>
        <v>1</v>
      </c>
      <c r="O545" s="58">
        <f>'Detailed Results'!I545</f>
        <v>11</v>
      </c>
      <c r="P545" s="58">
        <f>'Detailed Results'!J545</f>
        <v>11</v>
      </c>
      <c r="Q545" s="59">
        <f t="shared" si="98"/>
        <v>1</v>
      </c>
      <c r="R545" s="59">
        <f t="shared" si="105"/>
        <v>0.7857142857142857</v>
      </c>
      <c r="S545" s="59">
        <f t="shared" si="99"/>
        <v>0.88</v>
      </c>
      <c r="T545" s="60">
        <f>'Detailed Results'!K545</f>
        <v>7</v>
      </c>
      <c r="U545" s="60">
        <f>'Detailed Results'!L545</f>
        <v>7</v>
      </c>
      <c r="V545" s="61">
        <f t="shared" si="100"/>
        <v>1</v>
      </c>
      <c r="W545" s="61">
        <f t="shared" si="106"/>
        <v>1</v>
      </c>
      <c r="X545" s="61">
        <f t="shared" si="101"/>
        <v>1</v>
      </c>
      <c r="Y545" s="62">
        <f>'Detailed Results'!M545</f>
        <v>11</v>
      </c>
      <c r="Z545" s="62">
        <f>'Detailed Results'!N545</f>
        <v>10</v>
      </c>
      <c r="AA545" s="63">
        <f t="shared" si="102"/>
        <v>0.90909090909090906</v>
      </c>
      <c r="AB545" s="63">
        <f t="shared" si="107"/>
        <v>0.7142857142857143</v>
      </c>
      <c r="AC545" s="63">
        <f t="shared" si="103"/>
        <v>0.8</v>
      </c>
    </row>
    <row r="546" spans="1:29" ht="15" customHeight="1" thickBot="1" x14ac:dyDescent="0.4">
      <c r="A546" s="185" t="s">
        <v>32</v>
      </c>
      <c r="B546" s="65" t="s">
        <v>15</v>
      </c>
      <c r="C546" s="66" t="s">
        <v>16</v>
      </c>
      <c r="D546" s="66">
        <v>1</v>
      </c>
      <c r="E546" s="65" t="s">
        <v>17</v>
      </c>
      <c r="F546" s="67">
        <f>'GT Input'!C14</f>
        <v>15</v>
      </c>
      <c r="G546" s="67">
        <f>'GT Input'!D14</f>
        <v>32</v>
      </c>
      <c r="H546" s="67">
        <f>'GT Input'!E14</f>
        <v>15</v>
      </c>
      <c r="I546" s="67">
        <f>'GT Input'!F14</f>
        <v>32</v>
      </c>
      <c r="J546" s="68">
        <f>'Detailed Results'!G546</f>
        <v>9</v>
      </c>
      <c r="K546" s="68">
        <f>'Detailed Results'!H546</f>
        <v>7</v>
      </c>
      <c r="L546" s="69">
        <f t="shared" si="96"/>
        <v>0.77777777777777779</v>
      </c>
      <c r="M546" s="69">
        <f t="shared" si="104"/>
        <v>0.46666666666666667</v>
      </c>
      <c r="N546" s="69">
        <f t="shared" si="97"/>
        <v>0.58333333333333337</v>
      </c>
      <c r="O546" s="70">
        <f>'Detailed Results'!I546</f>
        <v>12</v>
      </c>
      <c r="P546" s="70">
        <f>'Detailed Results'!J546</f>
        <v>10</v>
      </c>
      <c r="Q546" s="71">
        <f t="shared" si="98"/>
        <v>0.83333333333333337</v>
      </c>
      <c r="R546" s="71">
        <f t="shared" si="105"/>
        <v>0.3125</v>
      </c>
      <c r="S546" s="71">
        <f t="shared" si="99"/>
        <v>0.45454545454545453</v>
      </c>
      <c r="T546" s="72">
        <f>'Detailed Results'!K546</f>
        <v>9</v>
      </c>
      <c r="U546" s="72">
        <f>'Detailed Results'!L546</f>
        <v>9</v>
      </c>
      <c r="V546" s="73">
        <f t="shared" si="100"/>
        <v>1</v>
      </c>
      <c r="W546" s="73">
        <f t="shared" si="106"/>
        <v>0.6</v>
      </c>
      <c r="X546" s="73">
        <f t="shared" si="101"/>
        <v>0.74999999999999989</v>
      </c>
      <c r="Y546" s="74">
        <f>'Detailed Results'!M546</f>
        <v>12</v>
      </c>
      <c r="Z546" s="74">
        <f>'Detailed Results'!N546</f>
        <v>5</v>
      </c>
      <c r="AA546" s="75">
        <f t="shared" si="102"/>
        <v>0.41666666666666669</v>
      </c>
      <c r="AB546" s="75">
        <f t="shared" si="107"/>
        <v>0.15625</v>
      </c>
      <c r="AC546" s="75">
        <f t="shared" si="103"/>
        <v>0.22727272727272727</v>
      </c>
    </row>
    <row r="547" spans="1:29" ht="15" customHeight="1" thickBot="1" x14ac:dyDescent="0.4">
      <c r="A547" s="185"/>
      <c r="B547" s="7" t="s">
        <v>15</v>
      </c>
      <c r="C547" s="8" t="s">
        <v>16</v>
      </c>
      <c r="D547" s="8">
        <v>1</v>
      </c>
      <c r="E547" s="7" t="s">
        <v>109</v>
      </c>
      <c r="F547" s="40">
        <f>'GT Input'!C14</f>
        <v>15</v>
      </c>
      <c r="G547" s="40">
        <f>'GT Input'!D14</f>
        <v>32</v>
      </c>
      <c r="H547" s="40">
        <f>'GT Input'!E14</f>
        <v>15</v>
      </c>
      <c r="I547" s="40">
        <f>'GT Input'!F14</f>
        <v>32</v>
      </c>
      <c r="J547" s="41">
        <f>'Detailed Results'!G547</f>
        <v>7</v>
      </c>
      <c r="K547" s="41">
        <f>'Detailed Results'!H547</f>
        <v>5</v>
      </c>
      <c r="L547" s="42">
        <f t="shared" si="96"/>
        <v>0.7142857142857143</v>
      </c>
      <c r="M547" s="42">
        <f t="shared" si="104"/>
        <v>0.33333333333333331</v>
      </c>
      <c r="N547" s="42">
        <f t="shared" si="97"/>
        <v>0.45454545454545447</v>
      </c>
      <c r="O547" s="43">
        <f>'Detailed Results'!I547</f>
        <v>10</v>
      </c>
      <c r="P547" s="43">
        <f>'Detailed Results'!J547</f>
        <v>10</v>
      </c>
      <c r="Q547" s="44">
        <f t="shared" si="98"/>
        <v>1</v>
      </c>
      <c r="R547" s="44">
        <f t="shared" si="105"/>
        <v>0.3125</v>
      </c>
      <c r="S547" s="44">
        <f t="shared" si="99"/>
        <v>0.47619047619047616</v>
      </c>
      <c r="T547" s="45">
        <f>'Detailed Results'!K547</f>
        <v>7</v>
      </c>
      <c r="U547" s="45">
        <f>'Detailed Results'!L547</f>
        <v>7</v>
      </c>
      <c r="V547" s="46">
        <f t="shared" si="100"/>
        <v>1</v>
      </c>
      <c r="W547" s="46">
        <f t="shared" si="106"/>
        <v>0.46666666666666667</v>
      </c>
      <c r="X547" s="46">
        <f t="shared" si="101"/>
        <v>0.63636363636363635</v>
      </c>
      <c r="Y547" s="47">
        <f>'Detailed Results'!M547</f>
        <v>10</v>
      </c>
      <c r="Z547" s="47">
        <f>'Detailed Results'!N547</f>
        <v>9</v>
      </c>
      <c r="AA547" s="48">
        <f t="shared" si="102"/>
        <v>0.9</v>
      </c>
      <c r="AB547" s="48">
        <f t="shared" si="107"/>
        <v>0.28125</v>
      </c>
      <c r="AC547" s="48">
        <f t="shared" si="103"/>
        <v>0.4285714285714286</v>
      </c>
    </row>
    <row r="548" spans="1:29" ht="15" customHeight="1" thickBot="1" x14ac:dyDescent="0.4">
      <c r="A548" s="185"/>
      <c r="B548" s="10" t="s">
        <v>15</v>
      </c>
      <c r="C548" s="11" t="s">
        <v>16</v>
      </c>
      <c r="D548" s="11">
        <v>2</v>
      </c>
      <c r="E548" s="10" t="s">
        <v>17</v>
      </c>
      <c r="F548" s="40">
        <f>'GT Input'!C14</f>
        <v>15</v>
      </c>
      <c r="G548" s="40">
        <f>'GT Input'!D14</f>
        <v>32</v>
      </c>
      <c r="H548" s="40">
        <f>'GT Input'!E14</f>
        <v>15</v>
      </c>
      <c r="I548" s="40">
        <f>'GT Input'!F14</f>
        <v>32</v>
      </c>
      <c r="J548" s="41">
        <f>'Detailed Results'!G548</f>
        <v>9</v>
      </c>
      <c r="K548" s="41">
        <f>'Detailed Results'!H548</f>
        <v>7</v>
      </c>
      <c r="L548" s="42">
        <f t="shared" si="96"/>
        <v>0.77777777777777779</v>
      </c>
      <c r="M548" s="42">
        <f t="shared" si="104"/>
        <v>0.46666666666666667</v>
      </c>
      <c r="N548" s="42">
        <f t="shared" si="97"/>
        <v>0.58333333333333337</v>
      </c>
      <c r="O548" s="43">
        <f>'Detailed Results'!I548</f>
        <v>12</v>
      </c>
      <c r="P548" s="43">
        <f>'Detailed Results'!J548</f>
        <v>10</v>
      </c>
      <c r="Q548" s="44">
        <f t="shared" si="98"/>
        <v>0.83333333333333337</v>
      </c>
      <c r="R548" s="44">
        <f t="shared" si="105"/>
        <v>0.3125</v>
      </c>
      <c r="S548" s="44">
        <f t="shared" si="99"/>
        <v>0.45454545454545453</v>
      </c>
      <c r="T548" s="45">
        <f>'Detailed Results'!K548</f>
        <v>9</v>
      </c>
      <c r="U548" s="45">
        <f>'Detailed Results'!L548</f>
        <v>9</v>
      </c>
      <c r="V548" s="46">
        <f t="shared" si="100"/>
        <v>1</v>
      </c>
      <c r="W548" s="46">
        <f t="shared" si="106"/>
        <v>0.6</v>
      </c>
      <c r="X548" s="46">
        <f t="shared" si="101"/>
        <v>0.74999999999999989</v>
      </c>
      <c r="Y548" s="47">
        <f>'Detailed Results'!M548</f>
        <v>12</v>
      </c>
      <c r="Z548" s="47">
        <f>'Detailed Results'!N548</f>
        <v>5</v>
      </c>
      <c r="AA548" s="48">
        <f t="shared" si="102"/>
        <v>0.41666666666666669</v>
      </c>
      <c r="AB548" s="48">
        <f t="shared" si="107"/>
        <v>0.15625</v>
      </c>
      <c r="AC548" s="48">
        <f t="shared" si="103"/>
        <v>0.22727272727272727</v>
      </c>
    </row>
    <row r="549" spans="1:29" ht="15" customHeight="1" thickBot="1" x14ac:dyDescent="0.4">
      <c r="A549" s="185"/>
      <c r="B549" s="10" t="s">
        <v>15</v>
      </c>
      <c r="C549" s="11" t="s">
        <v>16</v>
      </c>
      <c r="D549" s="11">
        <v>2</v>
      </c>
      <c r="E549" s="10" t="s">
        <v>109</v>
      </c>
      <c r="F549" s="40">
        <f>'GT Input'!C14</f>
        <v>15</v>
      </c>
      <c r="G549" s="40">
        <f>'GT Input'!D14</f>
        <v>32</v>
      </c>
      <c r="H549" s="40">
        <f>'GT Input'!E14</f>
        <v>15</v>
      </c>
      <c r="I549" s="40">
        <f>'GT Input'!F14</f>
        <v>32</v>
      </c>
      <c r="J549" s="41">
        <f>'Detailed Results'!G549</f>
        <v>9</v>
      </c>
      <c r="K549" s="41">
        <f>'Detailed Results'!H549</f>
        <v>7</v>
      </c>
      <c r="L549" s="42">
        <f t="shared" si="96"/>
        <v>0.77777777777777779</v>
      </c>
      <c r="M549" s="42">
        <f t="shared" si="104"/>
        <v>0.46666666666666667</v>
      </c>
      <c r="N549" s="42">
        <f t="shared" si="97"/>
        <v>0.58333333333333337</v>
      </c>
      <c r="O549" s="43">
        <f>'Detailed Results'!I549</f>
        <v>12</v>
      </c>
      <c r="P549" s="43">
        <f>'Detailed Results'!J549</f>
        <v>10</v>
      </c>
      <c r="Q549" s="44">
        <f t="shared" si="98"/>
        <v>0.83333333333333337</v>
      </c>
      <c r="R549" s="44">
        <f t="shared" si="105"/>
        <v>0.3125</v>
      </c>
      <c r="S549" s="44">
        <f t="shared" si="99"/>
        <v>0.45454545454545453</v>
      </c>
      <c r="T549" s="45">
        <f>'Detailed Results'!K549</f>
        <v>9</v>
      </c>
      <c r="U549" s="45">
        <f>'Detailed Results'!L549</f>
        <v>9</v>
      </c>
      <c r="V549" s="46">
        <f t="shared" si="100"/>
        <v>1</v>
      </c>
      <c r="W549" s="46">
        <f t="shared" si="106"/>
        <v>0.6</v>
      </c>
      <c r="X549" s="46">
        <f t="shared" si="101"/>
        <v>0.74999999999999989</v>
      </c>
      <c r="Y549" s="47">
        <f>'Detailed Results'!M549</f>
        <v>12</v>
      </c>
      <c r="Z549" s="47">
        <f>'Detailed Results'!N549</f>
        <v>5</v>
      </c>
      <c r="AA549" s="48">
        <f t="shared" si="102"/>
        <v>0.41666666666666669</v>
      </c>
      <c r="AB549" s="48">
        <f t="shared" si="107"/>
        <v>0.15625</v>
      </c>
      <c r="AC549" s="48">
        <f t="shared" si="103"/>
        <v>0.22727272727272727</v>
      </c>
    </row>
    <row r="550" spans="1:29" ht="15" customHeight="1" thickBot="1" x14ac:dyDescent="0.4">
      <c r="A550" s="185"/>
      <c r="B550" s="7" t="s">
        <v>15</v>
      </c>
      <c r="C550" s="8" t="s">
        <v>16</v>
      </c>
      <c r="D550" s="8">
        <v>3</v>
      </c>
      <c r="E550" s="7" t="s">
        <v>17</v>
      </c>
      <c r="F550" s="40">
        <f>'GT Input'!C14</f>
        <v>15</v>
      </c>
      <c r="G550" s="40">
        <f>'GT Input'!D14</f>
        <v>32</v>
      </c>
      <c r="H550" s="40">
        <f>'GT Input'!E14</f>
        <v>15</v>
      </c>
      <c r="I550" s="40">
        <f>'GT Input'!F14</f>
        <v>32</v>
      </c>
      <c r="J550" s="41">
        <f>'Detailed Results'!G550</f>
        <v>9</v>
      </c>
      <c r="K550" s="41">
        <f>'Detailed Results'!H550</f>
        <v>7</v>
      </c>
      <c r="L550" s="42">
        <f t="shared" si="96"/>
        <v>0.77777777777777779</v>
      </c>
      <c r="M550" s="42">
        <f t="shared" si="104"/>
        <v>0.46666666666666667</v>
      </c>
      <c r="N550" s="42">
        <f t="shared" si="97"/>
        <v>0.58333333333333337</v>
      </c>
      <c r="O550" s="43">
        <f>'Detailed Results'!I550</f>
        <v>12</v>
      </c>
      <c r="P550" s="43">
        <f>'Detailed Results'!J550</f>
        <v>10</v>
      </c>
      <c r="Q550" s="44">
        <f t="shared" si="98"/>
        <v>0.83333333333333337</v>
      </c>
      <c r="R550" s="44">
        <f t="shared" si="105"/>
        <v>0.3125</v>
      </c>
      <c r="S550" s="44">
        <f t="shared" si="99"/>
        <v>0.45454545454545453</v>
      </c>
      <c r="T550" s="45">
        <f>'Detailed Results'!K550</f>
        <v>9</v>
      </c>
      <c r="U550" s="45">
        <f>'Detailed Results'!L550</f>
        <v>9</v>
      </c>
      <c r="V550" s="46">
        <f t="shared" si="100"/>
        <v>1</v>
      </c>
      <c r="W550" s="46">
        <f t="shared" si="106"/>
        <v>0.6</v>
      </c>
      <c r="X550" s="46">
        <f t="shared" si="101"/>
        <v>0.74999999999999989</v>
      </c>
      <c r="Y550" s="47">
        <f>'Detailed Results'!M550</f>
        <v>12</v>
      </c>
      <c r="Z550" s="47">
        <f>'Detailed Results'!N550</f>
        <v>5</v>
      </c>
      <c r="AA550" s="48">
        <f t="shared" si="102"/>
        <v>0.41666666666666669</v>
      </c>
      <c r="AB550" s="48">
        <f t="shared" si="107"/>
        <v>0.15625</v>
      </c>
      <c r="AC550" s="48">
        <f t="shared" si="103"/>
        <v>0.22727272727272727</v>
      </c>
    </row>
    <row r="551" spans="1:29" ht="15" customHeight="1" thickBot="1" x14ac:dyDescent="0.4">
      <c r="A551" s="185"/>
      <c r="B551" s="7" t="s">
        <v>15</v>
      </c>
      <c r="C551" s="8" t="s">
        <v>16</v>
      </c>
      <c r="D551" s="8">
        <v>3</v>
      </c>
      <c r="E551" s="7" t="s">
        <v>109</v>
      </c>
      <c r="F551" s="40">
        <f>'GT Input'!C14</f>
        <v>15</v>
      </c>
      <c r="G551" s="40">
        <f>'GT Input'!D14</f>
        <v>32</v>
      </c>
      <c r="H551" s="40">
        <f>'GT Input'!E14</f>
        <v>15</v>
      </c>
      <c r="I551" s="40">
        <f>'GT Input'!F14</f>
        <v>32</v>
      </c>
      <c r="J551" s="41">
        <f>'Detailed Results'!G551</f>
        <v>9</v>
      </c>
      <c r="K551" s="41">
        <f>'Detailed Results'!H551</f>
        <v>6</v>
      </c>
      <c r="L551" s="42">
        <f t="shared" si="96"/>
        <v>0.66666666666666663</v>
      </c>
      <c r="M551" s="42">
        <f t="shared" si="104"/>
        <v>0.4</v>
      </c>
      <c r="N551" s="42">
        <f t="shared" si="97"/>
        <v>0.5</v>
      </c>
      <c r="O551" s="43">
        <f>'Detailed Results'!I551</f>
        <v>12</v>
      </c>
      <c r="P551" s="43">
        <f>'Detailed Results'!J551</f>
        <v>10</v>
      </c>
      <c r="Q551" s="44">
        <f t="shared" si="98"/>
        <v>0.83333333333333337</v>
      </c>
      <c r="R551" s="44">
        <f t="shared" si="105"/>
        <v>0.3125</v>
      </c>
      <c r="S551" s="44">
        <f t="shared" si="99"/>
        <v>0.45454545454545453</v>
      </c>
      <c r="T551" s="45">
        <f>'Detailed Results'!K551</f>
        <v>9</v>
      </c>
      <c r="U551" s="45">
        <f>'Detailed Results'!L551</f>
        <v>7</v>
      </c>
      <c r="V551" s="46">
        <f t="shared" si="100"/>
        <v>0.77777777777777779</v>
      </c>
      <c r="W551" s="46">
        <f t="shared" si="106"/>
        <v>0.46666666666666667</v>
      </c>
      <c r="X551" s="46">
        <f t="shared" si="101"/>
        <v>0.58333333333333337</v>
      </c>
      <c r="Y551" s="47">
        <f>'Detailed Results'!M551</f>
        <v>12</v>
      </c>
      <c r="Z551" s="47">
        <f>'Detailed Results'!N551</f>
        <v>5</v>
      </c>
      <c r="AA551" s="48">
        <f t="shared" si="102"/>
        <v>0.41666666666666669</v>
      </c>
      <c r="AB551" s="48">
        <f t="shared" si="107"/>
        <v>0.15625</v>
      </c>
      <c r="AC551" s="48">
        <f t="shared" si="103"/>
        <v>0.22727272727272727</v>
      </c>
    </row>
    <row r="552" spans="1:29" ht="15" customHeight="1" thickBot="1" x14ac:dyDescent="0.4">
      <c r="A552" s="185"/>
      <c r="B552" s="10" t="s">
        <v>15</v>
      </c>
      <c r="C552" s="11" t="s">
        <v>19</v>
      </c>
      <c r="D552" s="11">
        <v>1</v>
      </c>
      <c r="E552" s="10" t="s">
        <v>17</v>
      </c>
      <c r="F552" s="40">
        <f>'GT Input'!C14</f>
        <v>15</v>
      </c>
      <c r="G552" s="40">
        <f>'GT Input'!D14</f>
        <v>32</v>
      </c>
      <c r="H552" s="40">
        <f>'GT Input'!E14</f>
        <v>15</v>
      </c>
      <c r="I552" s="40">
        <f>'GT Input'!F14</f>
        <v>32</v>
      </c>
      <c r="J552" s="41">
        <f>'Detailed Results'!G552</f>
        <v>9</v>
      </c>
      <c r="K552" s="41">
        <f>'Detailed Results'!H552</f>
        <v>7</v>
      </c>
      <c r="L552" s="42">
        <f t="shared" si="96"/>
        <v>0.77777777777777779</v>
      </c>
      <c r="M552" s="42">
        <f t="shared" si="104"/>
        <v>0.46666666666666667</v>
      </c>
      <c r="N552" s="42">
        <f t="shared" si="97"/>
        <v>0.58333333333333337</v>
      </c>
      <c r="O552" s="43">
        <f>'Detailed Results'!I552</f>
        <v>12</v>
      </c>
      <c r="P552" s="43">
        <f>'Detailed Results'!J552</f>
        <v>10</v>
      </c>
      <c r="Q552" s="44">
        <f t="shared" si="98"/>
        <v>0.83333333333333337</v>
      </c>
      <c r="R552" s="44">
        <f t="shared" si="105"/>
        <v>0.3125</v>
      </c>
      <c r="S552" s="44">
        <f t="shared" si="99"/>
        <v>0.45454545454545453</v>
      </c>
      <c r="T552" s="45">
        <f>'Detailed Results'!K552</f>
        <v>9</v>
      </c>
      <c r="U552" s="45">
        <f>'Detailed Results'!L552</f>
        <v>8</v>
      </c>
      <c r="V552" s="46">
        <f t="shared" si="100"/>
        <v>0.88888888888888884</v>
      </c>
      <c r="W552" s="46">
        <f t="shared" si="106"/>
        <v>0.53333333333333333</v>
      </c>
      <c r="X552" s="46">
        <f t="shared" si="101"/>
        <v>0.66666666666666674</v>
      </c>
      <c r="Y552" s="47">
        <f>'Detailed Results'!M552</f>
        <v>12</v>
      </c>
      <c r="Z552" s="47">
        <f>'Detailed Results'!N552</f>
        <v>5</v>
      </c>
      <c r="AA552" s="48">
        <f t="shared" si="102"/>
        <v>0.41666666666666669</v>
      </c>
      <c r="AB552" s="48">
        <f t="shared" si="107"/>
        <v>0.15625</v>
      </c>
      <c r="AC552" s="48">
        <f t="shared" si="103"/>
        <v>0.22727272727272727</v>
      </c>
    </row>
    <row r="553" spans="1:29" ht="15" customHeight="1" thickBot="1" x14ac:dyDescent="0.4">
      <c r="A553" s="185"/>
      <c r="B553" s="10" t="s">
        <v>15</v>
      </c>
      <c r="C553" s="11" t="s">
        <v>19</v>
      </c>
      <c r="D553" s="11">
        <v>1</v>
      </c>
      <c r="E553" s="10" t="s">
        <v>109</v>
      </c>
      <c r="F553" s="40">
        <f>'GT Input'!C14</f>
        <v>15</v>
      </c>
      <c r="G553" s="40">
        <f>'GT Input'!D14</f>
        <v>32</v>
      </c>
      <c r="H553" s="40">
        <f>'GT Input'!E14</f>
        <v>15</v>
      </c>
      <c r="I553" s="40">
        <f>'GT Input'!F14</f>
        <v>32</v>
      </c>
      <c r="J553" s="41">
        <f>'Detailed Results'!G553</f>
        <v>9</v>
      </c>
      <c r="K553" s="41">
        <f>'Detailed Results'!H553</f>
        <v>6</v>
      </c>
      <c r="L553" s="42">
        <f t="shared" si="96"/>
        <v>0.66666666666666663</v>
      </c>
      <c r="M553" s="42">
        <f t="shared" si="104"/>
        <v>0.4</v>
      </c>
      <c r="N553" s="42">
        <f t="shared" si="97"/>
        <v>0.5</v>
      </c>
      <c r="O553" s="43">
        <f>'Detailed Results'!I553</f>
        <v>12</v>
      </c>
      <c r="P553" s="43">
        <f>'Detailed Results'!J553</f>
        <v>10</v>
      </c>
      <c r="Q553" s="44">
        <f t="shared" si="98"/>
        <v>0.83333333333333337</v>
      </c>
      <c r="R553" s="44">
        <f t="shared" si="105"/>
        <v>0.3125</v>
      </c>
      <c r="S553" s="44">
        <f t="shared" si="99"/>
        <v>0.45454545454545453</v>
      </c>
      <c r="T553" s="45">
        <f>'Detailed Results'!K553</f>
        <v>9</v>
      </c>
      <c r="U553" s="45">
        <f>'Detailed Results'!L553</f>
        <v>7</v>
      </c>
      <c r="V553" s="46">
        <f t="shared" si="100"/>
        <v>0.77777777777777779</v>
      </c>
      <c r="W553" s="46">
        <f t="shared" si="106"/>
        <v>0.46666666666666667</v>
      </c>
      <c r="X553" s="46">
        <f t="shared" si="101"/>
        <v>0.58333333333333337</v>
      </c>
      <c r="Y553" s="47">
        <f>'Detailed Results'!M553</f>
        <v>12</v>
      </c>
      <c r="Z553" s="47">
        <f>'Detailed Results'!N553</f>
        <v>5</v>
      </c>
      <c r="AA553" s="48">
        <f t="shared" si="102"/>
        <v>0.41666666666666669</v>
      </c>
      <c r="AB553" s="48">
        <f t="shared" si="107"/>
        <v>0.15625</v>
      </c>
      <c r="AC553" s="48">
        <f t="shared" si="103"/>
        <v>0.22727272727272727</v>
      </c>
    </row>
    <row r="554" spans="1:29" ht="15" customHeight="1" thickBot="1" x14ac:dyDescent="0.4">
      <c r="A554" s="185"/>
      <c r="B554" s="7" t="s">
        <v>15</v>
      </c>
      <c r="C554" s="8" t="s">
        <v>19</v>
      </c>
      <c r="D554" s="8">
        <v>2</v>
      </c>
      <c r="E554" s="7" t="s">
        <v>17</v>
      </c>
      <c r="F554" s="40">
        <f>'GT Input'!C14</f>
        <v>15</v>
      </c>
      <c r="G554" s="40">
        <f>'GT Input'!D14</f>
        <v>32</v>
      </c>
      <c r="H554" s="40">
        <f>'GT Input'!E14</f>
        <v>15</v>
      </c>
      <c r="I554" s="40">
        <f>'GT Input'!F14</f>
        <v>32</v>
      </c>
      <c r="J554" s="41">
        <f>'Detailed Results'!G554</f>
        <v>9</v>
      </c>
      <c r="K554" s="41">
        <f>'Detailed Results'!H554</f>
        <v>7</v>
      </c>
      <c r="L554" s="42">
        <f t="shared" si="96"/>
        <v>0.77777777777777779</v>
      </c>
      <c r="M554" s="42">
        <f t="shared" si="104"/>
        <v>0.46666666666666667</v>
      </c>
      <c r="N554" s="42">
        <f t="shared" si="97"/>
        <v>0.58333333333333337</v>
      </c>
      <c r="O554" s="43">
        <f>'Detailed Results'!I554</f>
        <v>12</v>
      </c>
      <c r="P554" s="43">
        <f>'Detailed Results'!J554</f>
        <v>10</v>
      </c>
      <c r="Q554" s="44">
        <f t="shared" si="98"/>
        <v>0.83333333333333337</v>
      </c>
      <c r="R554" s="44">
        <f t="shared" si="105"/>
        <v>0.3125</v>
      </c>
      <c r="S554" s="44">
        <f t="shared" si="99"/>
        <v>0.45454545454545453</v>
      </c>
      <c r="T554" s="45">
        <f>'Detailed Results'!K554</f>
        <v>9</v>
      </c>
      <c r="U554" s="45">
        <f>'Detailed Results'!L554</f>
        <v>8</v>
      </c>
      <c r="V554" s="46">
        <f t="shared" si="100"/>
        <v>0.88888888888888884</v>
      </c>
      <c r="W554" s="46">
        <f t="shared" si="106"/>
        <v>0.53333333333333333</v>
      </c>
      <c r="X554" s="46">
        <f t="shared" si="101"/>
        <v>0.66666666666666674</v>
      </c>
      <c r="Y554" s="47">
        <f>'Detailed Results'!M554</f>
        <v>12</v>
      </c>
      <c r="Z554" s="47">
        <f>'Detailed Results'!N554</f>
        <v>5</v>
      </c>
      <c r="AA554" s="48">
        <f t="shared" si="102"/>
        <v>0.41666666666666669</v>
      </c>
      <c r="AB554" s="48">
        <f t="shared" si="107"/>
        <v>0.15625</v>
      </c>
      <c r="AC554" s="48">
        <f t="shared" si="103"/>
        <v>0.22727272727272727</v>
      </c>
    </row>
    <row r="555" spans="1:29" ht="15" customHeight="1" thickBot="1" x14ac:dyDescent="0.4">
      <c r="A555" s="185"/>
      <c r="B555" s="7" t="s">
        <v>15</v>
      </c>
      <c r="C555" s="8" t="s">
        <v>19</v>
      </c>
      <c r="D555" s="8">
        <v>2</v>
      </c>
      <c r="E555" s="7" t="s">
        <v>109</v>
      </c>
      <c r="F555" s="40">
        <f>'GT Input'!C14</f>
        <v>15</v>
      </c>
      <c r="G555" s="40">
        <f>'GT Input'!D14</f>
        <v>32</v>
      </c>
      <c r="H555" s="40">
        <f>'GT Input'!E14</f>
        <v>15</v>
      </c>
      <c r="I555" s="40">
        <f>'GT Input'!F14</f>
        <v>32</v>
      </c>
      <c r="J555" s="41">
        <f>'Detailed Results'!G555</f>
        <v>7</v>
      </c>
      <c r="K555" s="41">
        <f>'Detailed Results'!H555</f>
        <v>5</v>
      </c>
      <c r="L555" s="42">
        <f t="shared" si="96"/>
        <v>0.7142857142857143</v>
      </c>
      <c r="M555" s="42">
        <f t="shared" si="104"/>
        <v>0.33333333333333331</v>
      </c>
      <c r="N555" s="42">
        <f t="shared" si="97"/>
        <v>0.45454545454545447</v>
      </c>
      <c r="O555" s="43">
        <f>'Detailed Results'!I555</f>
        <v>10</v>
      </c>
      <c r="P555" s="43">
        <f>'Detailed Results'!J555</f>
        <v>10</v>
      </c>
      <c r="Q555" s="44">
        <f t="shared" si="98"/>
        <v>1</v>
      </c>
      <c r="R555" s="44">
        <f t="shared" si="105"/>
        <v>0.3125</v>
      </c>
      <c r="S555" s="44">
        <f t="shared" si="99"/>
        <v>0.47619047619047616</v>
      </c>
      <c r="T555" s="45">
        <f>'Detailed Results'!K555</f>
        <v>7</v>
      </c>
      <c r="U555" s="45">
        <f>'Detailed Results'!L555</f>
        <v>5</v>
      </c>
      <c r="V555" s="46">
        <f t="shared" si="100"/>
        <v>0.7142857142857143</v>
      </c>
      <c r="W555" s="46">
        <f t="shared" si="106"/>
        <v>0.33333333333333331</v>
      </c>
      <c r="X555" s="46">
        <f t="shared" si="101"/>
        <v>0.45454545454545447</v>
      </c>
      <c r="Y555" s="47">
        <f>'Detailed Results'!M555</f>
        <v>10</v>
      </c>
      <c r="Z555" s="47">
        <f>'Detailed Results'!N555</f>
        <v>9</v>
      </c>
      <c r="AA555" s="48">
        <f t="shared" si="102"/>
        <v>0.9</v>
      </c>
      <c r="AB555" s="48">
        <f t="shared" si="107"/>
        <v>0.28125</v>
      </c>
      <c r="AC555" s="48">
        <f t="shared" si="103"/>
        <v>0.4285714285714286</v>
      </c>
    </row>
    <row r="556" spans="1:29" ht="15" customHeight="1" thickBot="1" x14ac:dyDescent="0.4">
      <c r="A556" s="185"/>
      <c r="B556" s="10" t="s">
        <v>15</v>
      </c>
      <c r="C556" s="11" t="s">
        <v>19</v>
      </c>
      <c r="D556" s="11">
        <v>3</v>
      </c>
      <c r="E556" s="10" t="s">
        <v>17</v>
      </c>
      <c r="F556" s="40">
        <f>'GT Input'!C14</f>
        <v>15</v>
      </c>
      <c r="G556" s="40">
        <f>'GT Input'!D14</f>
        <v>32</v>
      </c>
      <c r="H556" s="40">
        <f>'GT Input'!E14</f>
        <v>15</v>
      </c>
      <c r="I556" s="40">
        <f>'GT Input'!F14</f>
        <v>32</v>
      </c>
      <c r="J556" s="41">
        <f>'Detailed Results'!G556</f>
        <v>9</v>
      </c>
      <c r="K556" s="41">
        <f>'Detailed Results'!H556</f>
        <v>7</v>
      </c>
      <c r="L556" s="42">
        <f t="shared" si="96"/>
        <v>0.77777777777777779</v>
      </c>
      <c r="M556" s="42">
        <f t="shared" si="104"/>
        <v>0.46666666666666667</v>
      </c>
      <c r="N556" s="42">
        <f t="shared" si="97"/>
        <v>0.58333333333333337</v>
      </c>
      <c r="O556" s="43">
        <f>'Detailed Results'!I556</f>
        <v>12</v>
      </c>
      <c r="P556" s="43">
        <f>'Detailed Results'!J556</f>
        <v>10</v>
      </c>
      <c r="Q556" s="44">
        <f t="shared" si="98"/>
        <v>0.83333333333333337</v>
      </c>
      <c r="R556" s="44">
        <f t="shared" si="105"/>
        <v>0.3125</v>
      </c>
      <c r="S556" s="44">
        <f t="shared" si="99"/>
        <v>0.45454545454545453</v>
      </c>
      <c r="T556" s="45">
        <f>'Detailed Results'!K556</f>
        <v>9</v>
      </c>
      <c r="U556" s="45">
        <f>'Detailed Results'!L556</f>
        <v>8</v>
      </c>
      <c r="V556" s="46">
        <f t="shared" si="100"/>
        <v>0.88888888888888884</v>
      </c>
      <c r="W556" s="46">
        <f t="shared" si="106"/>
        <v>0.53333333333333333</v>
      </c>
      <c r="X556" s="46">
        <f t="shared" si="101"/>
        <v>0.66666666666666674</v>
      </c>
      <c r="Y556" s="47">
        <f>'Detailed Results'!M556</f>
        <v>12</v>
      </c>
      <c r="Z556" s="47">
        <f>'Detailed Results'!N556</f>
        <v>5</v>
      </c>
      <c r="AA556" s="48">
        <f t="shared" si="102"/>
        <v>0.41666666666666669</v>
      </c>
      <c r="AB556" s="48">
        <f t="shared" si="107"/>
        <v>0.15625</v>
      </c>
      <c r="AC556" s="48">
        <f t="shared" si="103"/>
        <v>0.22727272727272727</v>
      </c>
    </row>
    <row r="557" spans="1:29" ht="15" customHeight="1" thickBot="1" x14ac:dyDescent="0.4">
      <c r="A557" s="185"/>
      <c r="B557" s="10" t="s">
        <v>15</v>
      </c>
      <c r="C557" s="11" t="s">
        <v>19</v>
      </c>
      <c r="D557" s="11">
        <v>3</v>
      </c>
      <c r="E557" s="10" t="s">
        <v>109</v>
      </c>
      <c r="F557" s="40">
        <f>'GT Input'!C14</f>
        <v>15</v>
      </c>
      <c r="G557" s="40">
        <f>'GT Input'!D14</f>
        <v>32</v>
      </c>
      <c r="H557" s="40">
        <f>'GT Input'!E14</f>
        <v>15</v>
      </c>
      <c r="I557" s="40">
        <f>'GT Input'!F14</f>
        <v>32</v>
      </c>
      <c r="J557" s="41">
        <f>'Detailed Results'!G557</f>
        <v>9</v>
      </c>
      <c r="K557" s="41">
        <f>'Detailed Results'!H557</f>
        <v>7</v>
      </c>
      <c r="L557" s="42">
        <f t="shared" si="96"/>
        <v>0.77777777777777779</v>
      </c>
      <c r="M557" s="42">
        <f t="shared" si="104"/>
        <v>0.46666666666666667</v>
      </c>
      <c r="N557" s="42">
        <f t="shared" si="97"/>
        <v>0.58333333333333337</v>
      </c>
      <c r="O557" s="43">
        <f>'Detailed Results'!I557</f>
        <v>12</v>
      </c>
      <c r="P557" s="43">
        <f>'Detailed Results'!J557</f>
        <v>10</v>
      </c>
      <c r="Q557" s="44">
        <f t="shared" si="98"/>
        <v>0.83333333333333337</v>
      </c>
      <c r="R557" s="44">
        <f t="shared" si="105"/>
        <v>0.3125</v>
      </c>
      <c r="S557" s="44">
        <f t="shared" si="99"/>
        <v>0.45454545454545453</v>
      </c>
      <c r="T557" s="45">
        <f>'Detailed Results'!K557</f>
        <v>9</v>
      </c>
      <c r="U557" s="45">
        <f>'Detailed Results'!L557</f>
        <v>7</v>
      </c>
      <c r="V557" s="46">
        <f t="shared" si="100"/>
        <v>0.77777777777777779</v>
      </c>
      <c r="W557" s="46">
        <f t="shared" si="106"/>
        <v>0.46666666666666667</v>
      </c>
      <c r="X557" s="46">
        <f t="shared" si="101"/>
        <v>0.58333333333333337</v>
      </c>
      <c r="Y557" s="47">
        <f>'Detailed Results'!M557</f>
        <v>12</v>
      </c>
      <c r="Z557" s="47">
        <f>'Detailed Results'!N557</f>
        <v>5</v>
      </c>
      <c r="AA557" s="48">
        <f t="shared" si="102"/>
        <v>0.41666666666666669</v>
      </c>
      <c r="AB557" s="48">
        <f t="shared" si="107"/>
        <v>0.15625</v>
      </c>
      <c r="AC557" s="48">
        <f t="shared" si="103"/>
        <v>0.22727272727272727</v>
      </c>
    </row>
    <row r="558" spans="1:29" ht="15" customHeight="1" thickBot="1" x14ac:dyDescent="0.4">
      <c r="A558" s="185"/>
      <c r="B558" s="7" t="s">
        <v>15</v>
      </c>
      <c r="C558" s="8" t="s">
        <v>20</v>
      </c>
      <c r="D558" s="8">
        <v>1</v>
      </c>
      <c r="E558" s="7" t="s">
        <v>17</v>
      </c>
      <c r="F558" s="40">
        <f>'GT Input'!C14</f>
        <v>15</v>
      </c>
      <c r="G558" s="40">
        <f>'GT Input'!D14</f>
        <v>32</v>
      </c>
      <c r="H558" s="40">
        <f>'GT Input'!E14</f>
        <v>15</v>
      </c>
      <c r="I558" s="40">
        <f>'GT Input'!F14</f>
        <v>32</v>
      </c>
      <c r="J558" s="41">
        <f>'Detailed Results'!G558</f>
        <v>9</v>
      </c>
      <c r="K558" s="41">
        <f>'Detailed Results'!H558</f>
        <v>7</v>
      </c>
      <c r="L558" s="42">
        <f t="shared" si="96"/>
        <v>0.77777777777777779</v>
      </c>
      <c r="M558" s="42">
        <f t="shared" si="104"/>
        <v>0.46666666666666667</v>
      </c>
      <c r="N558" s="42">
        <f t="shared" si="97"/>
        <v>0.58333333333333337</v>
      </c>
      <c r="O558" s="43">
        <f>'Detailed Results'!I558</f>
        <v>12</v>
      </c>
      <c r="P558" s="43">
        <f>'Detailed Results'!J558</f>
        <v>10</v>
      </c>
      <c r="Q558" s="44">
        <f t="shared" si="98"/>
        <v>0.83333333333333337</v>
      </c>
      <c r="R558" s="44">
        <f t="shared" si="105"/>
        <v>0.3125</v>
      </c>
      <c r="S558" s="44">
        <f t="shared" si="99"/>
        <v>0.45454545454545453</v>
      </c>
      <c r="T558" s="45">
        <f>'Detailed Results'!K558</f>
        <v>9</v>
      </c>
      <c r="U558" s="45">
        <f>'Detailed Results'!L558</f>
        <v>9</v>
      </c>
      <c r="V558" s="46">
        <f t="shared" si="100"/>
        <v>1</v>
      </c>
      <c r="W558" s="46">
        <f t="shared" si="106"/>
        <v>0.6</v>
      </c>
      <c r="X558" s="46">
        <f t="shared" si="101"/>
        <v>0.74999999999999989</v>
      </c>
      <c r="Y558" s="47">
        <f>'Detailed Results'!M558</f>
        <v>12</v>
      </c>
      <c r="Z558" s="47">
        <f>'Detailed Results'!N558</f>
        <v>5</v>
      </c>
      <c r="AA558" s="48">
        <f t="shared" si="102"/>
        <v>0.41666666666666669</v>
      </c>
      <c r="AB558" s="48">
        <f t="shared" si="107"/>
        <v>0.15625</v>
      </c>
      <c r="AC558" s="48">
        <f t="shared" si="103"/>
        <v>0.22727272727272727</v>
      </c>
    </row>
    <row r="559" spans="1:29" ht="15" customHeight="1" thickBot="1" x14ac:dyDescent="0.4">
      <c r="A559" s="185"/>
      <c r="B559" s="7" t="s">
        <v>15</v>
      </c>
      <c r="C559" s="8" t="s">
        <v>20</v>
      </c>
      <c r="D559" s="8">
        <v>1</v>
      </c>
      <c r="E559" s="7" t="s">
        <v>109</v>
      </c>
      <c r="F559" s="40">
        <f>'GT Input'!C14</f>
        <v>15</v>
      </c>
      <c r="G559" s="40">
        <f>'GT Input'!D14</f>
        <v>32</v>
      </c>
      <c r="H559" s="40">
        <f>'GT Input'!E14</f>
        <v>15</v>
      </c>
      <c r="I559" s="40">
        <f>'GT Input'!F14</f>
        <v>32</v>
      </c>
      <c r="J559" s="41">
        <f>'Detailed Results'!G559</f>
        <v>7</v>
      </c>
      <c r="K559" s="41">
        <f>'Detailed Results'!H559</f>
        <v>5</v>
      </c>
      <c r="L559" s="42">
        <f t="shared" si="96"/>
        <v>0.7142857142857143</v>
      </c>
      <c r="M559" s="42">
        <f t="shared" si="104"/>
        <v>0.33333333333333331</v>
      </c>
      <c r="N559" s="42">
        <f t="shared" si="97"/>
        <v>0.45454545454545447</v>
      </c>
      <c r="O559" s="43">
        <f>'Detailed Results'!I559</f>
        <v>10</v>
      </c>
      <c r="P559" s="43">
        <f>'Detailed Results'!J559</f>
        <v>10</v>
      </c>
      <c r="Q559" s="44">
        <f t="shared" si="98"/>
        <v>1</v>
      </c>
      <c r="R559" s="44">
        <f t="shared" si="105"/>
        <v>0.3125</v>
      </c>
      <c r="S559" s="44">
        <f t="shared" si="99"/>
        <v>0.47619047619047616</v>
      </c>
      <c r="T559" s="45">
        <f>'Detailed Results'!K559</f>
        <v>7</v>
      </c>
      <c r="U559" s="45">
        <f>'Detailed Results'!L559</f>
        <v>5</v>
      </c>
      <c r="V559" s="46">
        <f t="shared" si="100"/>
        <v>0.7142857142857143</v>
      </c>
      <c r="W559" s="46">
        <f t="shared" si="106"/>
        <v>0.33333333333333331</v>
      </c>
      <c r="X559" s="46">
        <f t="shared" si="101"/>
        <v>0.45454545454545447</v>
      </c>
      <c r="Y559" s="47">
        <f>'Detailed Results'!M559</f>
        <v>10</v>
      </c>
      <c r="Z559" s="47">
        <f>'Detailed Results'!N559</f>
        <v>8</v>
      </c>
      <c r="AA559" s="48">
        <f t="shared" si="102"/>
        <v>0.8</v>
      </c>
      <c r="AB559" s="48">
        <f t="shared" si="107"/>
        <v>0.25</v>
      </c>
      <c r="AC559" s="48">
        <f t="shared" si="103"/>
        <v>0.38095238095238093</v>
      </c>
    </row>
    <row r="560" spans="1:29" ht="15" customHeight="1" thickBot="1" x14ac:dyDescent="0.4">
      <c r="A560" s="185"/>
      <c r="B560" s="10" t="s">
        <v>15</v>
      </c>
      <c r="C560" s="11" t="s">
        <v>20</v>
      </c>
      <c r="D560" s="11">
        <v>2</v>
      </c>
      <c r="E560" s="10" t="s">
        <v>17</v>
      </c>
      <c r="F560" s="40">
        <f>'GT Input'!C14</f>
        <v>15</v>
      </c>
      <c r="G560" s="40">
        <f>'GT Input'!D14</f>
        <v>32</v>
      </c>
      <c r="H560" s="40">
        <f>'GT Input'!E14</f>
        <v>15</v>
      </c>
      <c r="I560" s="40">
        <f>'GT Input'!F14</f>
        <v>32</v>
      </c>
      <c r="J560" s="41">
        <f>'Detailed Results'!G560</f>
        <v>9</v>
      </c>
      <c r="K560" s="41">
        <f>'Detailed Results'!H560</f>
        <v>7</v>
      </c>
      <c r="L560" s="42">
        <f t="shared" si="96"/>
        <v>0.77777777777777779</v>
      </c>
      <c r="M560" s="42">
        <f t="shared" si="104"/>
        <v>0.46666666666666667</v>
      </c>
      <c r="N560" s="42">
        <f t="shared" si="97"/>
        <v>0.58333333333333337</v>
      </c>
      <c r="O560" s="43">
        <f>'Detailed Results'!I560</f>
        <v>12</v>
      </c>
      <c r="P560" s="43">
        <f>'Detailed Results'!J560</f>
        <v>10</v>
      </c>
      <c r="Q560" s="44">
        <f t="shared" si="98"/>
        <v>0.83333333333333337</v>
      </c>
      <c r="R560" s="44">
        <f t="shared" si="105"/>
        <v>0.3125</v>
      </c>
      <c r="S560" s="44">
        <f t="shared" si="99"/>
        <v>0.45454545454545453</v>
      </c>
      <c r="T560" s="45">
        <f>'Detailed Results'!K560</f>
        <v>9</v>
      </c>
      <c r="U560" s="45">
        <f>'Detailed Results'!L560</f>
        <v>8</v>
      </c>
      <c r="V560" s="46">
        <f t="shared" si="100"/>
        <v>0.88888888888888884</v>
      </c>
      <c r="W560" s="46">
        <f t="shared" si="106"/>
        <v>0.53333333333333333</v>
      </c>
      <c r="X560" s="46">
        <f t="shared" si="101"/>
        <v>0.66666666666666674</v>
      </c>
      <c r="Y560" s="47">
        <f>'Detailed Results'!M560</f>
        <v>12</v>
      </c>
      <c r="Z560" s="47">
        <f>'Detailed Results'!N560</f>
        <v>5</v>
      </c>
      <c r="AA560" s="48">
        <f t="shared" si="102"/>
        <v>0.41666666666666669</v>
      </c>
      <c r="AB560" s="48">
        <f t="shared" si="107"/>
        <v>0.15625</v>
      </c>
      <c r="AC560" s="48">
        <f t="shared" si="103"/>
        <v>0.22727272727272727</v>
      </c>
    </row>
    <row r="561" spans="1:29" ht="15" customHeight="1" thickBot="1" x14ac:dyDescent="0.4">
      <c r="A561" s="185"/>
      <c r="B561" s="10" t="s">
        <v>15</v>
      </c>
      <c r="C561" s="11" t="s">
        <v>20</v>
      </c>
      <c r="D561" s="11">
        <v>2</v>
      </c>
      <c r="E561" s="10" t="s">
        <v>109</v>
      </c>
      <c r="F561" s="40">
        <f>'GT Input'!C14</f>
        <v>15</v>
      </c>
      <c r="G561" s="40">
        <f>'GT Input'!D14</f>
        <v>32</v>
      </c>
      <c r="H561" s="40">
        <f>'GT Input'!E14</f>
        <v>15</v>
      </c>
      <c r="I561" s="40">
        <f>'GT Input'!F14</f>
        <v>32</v>
      </c>
      <c r="J561" s="41">
        <f>'Detailed Results'!G561</f>
        <v>7</v>
      </c>
      <c r="K561" s="41">
        <f>'Detailed Results'!H561</f>
        <v>5</v>
      </c>
      <c r="L561" s="42">
        <f t="shared" si="96"/>
        <v>0.7142857142857143</v>
      </c>
      <c r="M561" s="42">
        <f t="shared" si="104"/>
        <v>0.33333333333333331</v>
      </c>
      <c r="N561" s="42">
        <f t="shared" si="97"/>
        <v>0.45454545454545447</v>
      </c>
      <c r="O561" s="43">
        <f>'Detailed Results'!I561</f>
        <v>10</v>
      </c>
      <c r="P561" s="43">
        <f>'Detailed Results'!J561</f>
        <v>10</v>
      </c>
      <c r="Q561" s="44">
        <f t="shared" si="98"/>
        <v>1</v>
      </c>
      <c r="R561" s="44">
        <f t="shared" si="105"/>
        <v>0.3125</v>
      </c>
      <c r="S561" s="44">
        <f t="shared" si="99"/>
        <v>0.47619047619047616</v>
      </c>
      <c r="T561" s="45">
        <f>'Detailed Results'!K561</f>
        <v>7</v>
      </c>
      <c r="U561" s="45">
        <f>'Detailed Results'!L561</f>
        <v>5</v>
      </c>
      <c r="V561" s="46">
        <f t="shared" si="100"/>
        <v>0.7142857142857143</v>
      </c>
      <c r="W561" s="46">
        <f t="shared" si="106"/>
        <v>0.33333333333333331</v>
      </c>
      <c r="X561" s="46">
        <f t="shared" si="101"/>
        <v>0.45454545454545447</v>
      </c>
      <c r="Y561" s="47">
        <f>'Detailed Results'!M561</f>
        <v>10</v>
      </c>
      <c r="Z561" s="47">
        <f>'Detailed Results'!N561</f>
        <v>9</v>
      </c>
      <c r="AA561" s="48">
        <f t="shared" si="102"/>
        <v>0.9</v>
      </c>
      <c r="AB561" s="48">
        <f t="shared" si="107"/>
        <v>0.28125</v>
      </c>
      <c r="AC561" s="48">
        <f t="shared" si="103"/>
        <v>0.4285714285714286</v>
      </c>
    </row>
    <row r="562" spans="1:29" ht="15" customHeight="1" thickBot="1" x14ac:dyDescent="0.4">
      <c r="A562" s="185"/>
      <c r="B562" s="7" t="s">
        <v>15</v>
      </c>
      <c r="C562" s="8" t="s">
        <v>20</v>
      </c>
      <c r="D562" s="8">
        <v>3</v>
      </c>
      <c r="E562" s="7" t="s">
        <v>17</v>
      </c>
      <c r="F562" s="40">
        <f>'GT Input'!C14</f>
        <v>15</v>
      </c>
      <c r="G562" s="40">
        <f>'GT Input'!D14</f>
        <v>32</v>
      </c>
      <c r="H562" s="40">
        <f>'GT Input'!E14</f>
        <v>15</v>
      </c>
      <c r="I562" s="40">
        <f>'GT Input'!F14</f>
        <v>32</v>
      </c>
      <c r="J562" s="41">
        <f>'Detailed Results'!G562</f>
        <v>9</v>
      </c>
      <c r="K562" s="41">
        <f>'Detailed Results'!H562</f>
        <v>7</v>
      </c>
      <c r="L562" s="42">
        <f t="shared" si="96"/>
        <v>0.77777777777777779</v>
      </c>
      <c r="M562" s="42">
        <f t="shared" si="104"/>
        <v>0.46666666666666667</v>
      </c>
      <c r="N562" s="42">
        <f t="shared" si="97"/>
        <v>0.58333333333333337</v>
      </c>
      <c r="O562" s="43">
        <f>'Detailed Results'!I562</f>
        <v>12</v>
      </c>
      <c r="P562" s="43">
        <f>'Detailed Results'!J562</f>
        <v>10</v>
      </c>
      <c r="Q562" s="44">
        <f t="shared" si="98"/>
        <v>0.83333333333333337</v>
      </c>
      <c r="R562" s="44">
        <f t="shared" si="105"/>
        <v>0.3125</v>
      </c>
      <c r="S562" s="44">
        <f t="shared" si="99"/>
        <v>0.45454545454545453</v>
      </c>
      <c r="T562" s="45">
        <f>'Detailed Results'!K562</f>
        <v>9</v>
      </c>
      <c r="U562" s="45">
        <f>'Detailed Results'!L562</f>
        <v>9</v>
      </c>
      <c r="V562" s="46">
        <f t="shared" si="100"/>
        <v>1</v>
      </c>
      <c r="W562" s="46">
        <f t="shared" si="106"/>
        <v>0.6</v>
      </c>
      <c r="X562" s="46">
        <f t="shared" si="101"/>
        <v>0.74999999999999989</v>
      </c>
      <c r="Y562" s="47">
        <f>'Detailed Results'!M562</f>
        <v>12</v>
      </c>
      <c r="Z562" s="47">
        <f>'Detailed Results'!N562</f>
        <v>5</v>
      </c>
      <c r="AA562" s="48">
        <f t="shared" si="102"/>
        <v>0.41666666666666669</v>
      </c>
      <c r="AB562" s="48">
        <f t="shared" si="107"/>
        <v>0.15625</v>
      </c>
      <c r="AC562" s="48">
        <f t="shared" si="103"/>
        <v>0.22727272727272727</v>
      </c>
    </row>
    <row r="563" spans="1:29" ht="15" customHeight="1" thickBot="1" x14ac:dyDescent="0.4">
      <c r="A563" s="185"/>
      <c r="B563" s="7" t="s">
        <v>15</v>
      </c>
      <c r="C563" s="8" t="s">
        <v>20</v>
      </c>
      <c r="D563" s="8">
        <v>3</v>
      </c>
      <c r="E563" s="7" t="s">
        <v>109</v>
      </c>
      <c r="F563" s="40">
        <f>'GT Input'!C14</f>
        <v>15</v>
      </c>
      <c r="G563" s="40">
        <f>'GT Input'!D14</f>
        <v>32</v>
      </c>
      <c r="H563" s="40">
        <f>'GT Input'!E14</f>
        <v>15</v>
      </c>
      <c r="I563" s="40">
        <f>'GT Input'!F14</f>
        <v>32</v>
      </c>
      <c r="J563" s="41">
        <f>'Detailed Results'!G563</f>
        <v>9</v>
      </c>
      <c r="K563" s="41">
        <f>'Detailed Results'!H563</f>
        <v>6</v>
      </c>
      <c r="L563" s="42">
        <f t="shared" si="96"/>
        <v>0.66666666666666663</v>
      </c>
      <c r="M563" s="42">
        <f t="shared" si="104"/>
        <v>0.4</v>
      </c>
      <c r="N563" s="42">
        <f t="shared" si="97"/>
        <v>0.5</v>
      </c>
      <c r="O563" s="43">
        <f>'Detailed Results'!I563</f>
        <v>12</v>
      </c>
      <c r="P563" s="43">
        <f>'Detailed Results'!J563</f>
        <v>10</v>
      </c>
      <c r="Q563" s="44">
        <f t="shared" si="98"/>
        <v>0.83333333333333337</v>
      </c>
      <c r="R563" s="44">
        <f t="shared" si="105"/>
        <v>0.3125</v>
      </c>
      <c r="S563" s="44">
        <f t="shared" si="99"/>
        <v>0.45454545454545453</v>
      </c>
      <c r="T563" s="45">
        <f>'Detailed Results'!K563</f>
        <v>9</v>
      </c>
      <c r="U563" s="45">
        <f>'Detailed Results'!L563</f>
        <v>6</v>
      </c>
      <c r="V563" s="46">
        <f t="shared" si="100"/>
        <v>0.66666666666666663</v>
      </c>
      <c r="W563" s="46">
        <f t="shared" si="106"/>
        <v>0.4</v>
      </c>
      <c r="X563" s="46">
        <f t="shared" si="101"/>
        <v>0.5</v>
      </c>
      <c r="Y563" s="47">
        <f>'Detailed Results'!M563</f>
        <v>12</v>
      </c>
      <c r="Z563" s="47">
        <f>'Detailed Results'!N563</f>
        <v>4</v>
      </c>
      <c r="AA563" s="48">
        <f t="shared" si="102"/>
        <v>0.33333333333333331</v>
      </c>
      <c r="AB563" s="48">
        <f t="shared" si="107"/>
        <v>0.125</v>
      </c>
      <c r="AC563" s="48">
        <f t="shared" si="103"/>
        <v>0.18181818181818182</v>
      </c>
    </row>
    <row r="564" spans="1:29" ht="15" customHeight="1" thickBot="1" x14ac:dyDescent="0.4">
      <c r="A564" s="185"/>
      <c r="B564" s="12" t="s">
        <v>21</v>
      </c>
      <c r="C564" s="13" t="s">
        <v>16</v>
      </c>
      <c r="D564" s="13">
        <v>1</v>
      </c>
      <c r="E564" s="12" t="s">
        <v>17</v>
      </c>
      <c r="F564" s="40">
        <f>'GT Input'!C14</f>
        <v>15</v>
      </c>
      <c r="G564" s="40">
        <f>'GT Input'!D14</f>
        <v>32</v>
      </c>
      <c r="H564" s="40">
        <f>'GT Input'!E14</f>
        <v>15</v>
      </c>
      <c r="I564" s="40">
        <f>'GT Input'!F14</f>
        <v>32</v>
      </c>
      <c r="J564" s="41">
        <f>'Detailed Results'!G564</f>
        <v>7</v>
      </c>
      <c r="K564" s="41">
        <f>'Detailed Results'!H564</f>
        <v>8</v>
      </c>
      <c r="L564" s="42">
        <f t="shared" si="96"/>
        <v>1.1428571428571428</v>
      </c>
      <c r="M564" s="42">
        <f t="shared" si="104"/>
        <v>0.53333333333333333</v>
      </c>
      <c r="N564" s="42">
        <f t="shared" si="97"/>
        <v>0.72727272727272729</v>
      </c>
      <c r="O564" s="43">
        <f>'Detailed Results'!I564</f>
        <v>15</v>
      </c>
      <c r="P564" s="43">
        <f>'Detailed Results'!J564</f>
        <v>15</v>
      </c>
      <c r="Q564" s="44">
        <f t="shared" si="98"/>
        <v>1</v>
      </c>
      <c r="R564" s="44">
        <f t="shared" si="105"/>
        <v>0.46875</v>
      </c>
      <c r="S564" s="44">
        <f t="shared" si="99"/>
        <v>0.63829787234042556</v>
      </c>
      <c r="T564" s="45">
        <f>'Detailed Results'!K564</f>
        <v>7</v>
      </c>
      <c r="U564" s="45">
        <f>'Detailed Results'!L564</f>
        <v>5</v>
      </c>
      <c r="V564" s="46">
        <f t="shared" si="100"/>
        <v>0.7142857142857143</v>
      </c>
      <c r="W564" s="46">
        <f t="shared" si="106"/>
        <v>0.33333333333333331</v>
      </c>
      <c r="X564" s="46">
        <f t="shared" si="101"/>
        <v>0.45454545454545447</v>
      </c>
      <c r="Y564" s="47">
        <f>'Detailed Results'!M564</f>
        <v>15</v>
      </c>
      <c r="Z564" s="47">
        <f>'Detailed Results'!N564</f>
        <v>9</v>
      </c>
      <c r="AA564" s="48">
        <f t="shared" si="102"/>
        <v>0.6</v>
      </c>
      <c r="AB564" s="48">
        <f t="shared" si="107"/>
        <v>0.28125</v>
      </c>
      <c r="AC564" s="48">
        <f t="shared" si="103"/>
        <v>0.38297872340425532</v>
      </c>
    </row>
    <row r="565" spans="1:29" ht="15" customHeight="1" thickBot="1" x14ac:dyDescent="0.4">
      <c r="A565" s="185"/>
      <c r="B565" s="12" t="s">
        <v>21</v>
      </c>
      <c r="C565" s="13" t="s">
        <v>16</v>
      </c>
      <c r="D565" s="13">
        <v>1</v>
      </c>
      <c r="E565" s="12" t="s">
        <v>109</v>
      </c>
      <c r="F565" s="40">
        <f>'GT Input'!C14</f>
        <v>15</v>
      </c>
      <c r="G565" s="40">
        <f>'GT Input'!D14</f>
        <v>32</v>
      </c>
      <c r="H565" s="40">
        <f>'GT Input'!E14</f>
        <v>15</v>
      </c>
      <c r="I565" s="40">
        <f>'GT Input'!F14</f>
        <v>32</v>
      </c>
      <c r="J565" s="41">
        <f>'Detailed Results'!G565</f>
        <v>9</v>
      </c>
      <c r="K565" s="41">
        <f>'Detailed Results'!H565</f>
        <v>6</v>
      </c>
      <c r="L565" s="42">
        <f t="shared" si="96"/>
        <v>0.66666666666666663</v>
      </c>
      <c r="M565" s="42">
        <f t="shared" si="104"/>
        <v>0.4</v>
      </c>
      <c r="N565" s="42">
        <f t="shared" si="97"/>
        <v>0.5</v>
      </c>
      <c r="O565" s="43">
        <f>'Detailed Results'!I565</f>
        <v>14</v>
      </c>
      <c r="P565" s="43">
        <f>'Detailed Results'!J565</f>
        <v>10</v>
      </c>
      <c r="Q565" s="44">
        <f t="shared" si="98"/>
        <v>0.7142857142857143</v>
      </c>
      <c r="R565" s="44">
        <f t="shared" si="105"/>
        <v>0.3125</v>
      </c>
      <c r="S565" s="44">
        <f t="shared" si="99"/>
        <v>0.43478260869565216</v>
      </c>
      <c r="T565" s="45">
        <f>'Detailed Results'!K565</f>
        <v>9</v>
      </c>
      <c r="U565" s="45">
        <f>'Detailed Results'!L565</f>
        <v>6</v>
      </c>
      <c r="V565" s="46">
        <f t="shared" si="100"/>
        <v>0.66666666666666663</v>
      </c>
      <c r="W565" s="46">
        <f t="shared" si="106"/>
        <v>0.4</v>
      </c>
      <c r="X565" s="46">
        <f t="shared" si="101"/>
        <v>0.5</v>
      </c>
      <c r="Y565" s="47">
        <f>'Detailed Results'!M565</f>
        <v>14</v>
      </c>
      <c r="Z565" s="47">
        <f>'Detailed Results'!N565</f>
        <v>5</v>
      </c>
      <c r="AA565" s="48">
        <f t="shared" si="102"/>
        <v>0.35714285714285715</v>
      </c>
      <c r="AB565" s="48">
        <f t="shared" si="107"/>
        <v>0.15625</v>
      </c>
      <c r="AC565" s="48">
        <f t="shared" si="103"/>
        <v>0.21739130434782608</v>
      </c>
    </row>
    <row r="566" spans="1:29" ht="15" customHeight="1" thickBot="1" x14ac:dyDescent="0.4">
      <c r="A566" s="185"/>
      <c r="B566" s="14" t="s">
        <v>21</v>
      </c>
      <c r="C566" s="15" t="s">
        <v>16</v>
      </c>
      <c r="D566" s="15">
        <v>2</v>
      </c>
      <c r="E566" s="14" t="s">
        <v>17</v>
      </c>
      <c r="F566" s="40">
        <f>'GT Input'!C14</f>
        <v>15</v>
      </c>
      <c r="G566" s="40">
        <f>'GT Input'!D14</f>
        <v>32</v>
      </c>
      <c r="H566" s="40">
        <f>'GT Input'!E14</f>
        <v>15</v>
      </c>
      <c r="I566" s="40">
        <f>'GT Input'!F14</f>
        <v>32</v>
      </c>
      <c r="J566" s="41">
        <f>'Detailed Results'!G566</f>
        <v>13</v>
      </c>
      <c r="K566" s="41">
        <f>'Detailed Results'!H566</f>
        <v>9</v>
      </c>
      <c r="L566" s="42">
        <f t="shared" si="96"/>
        <v>0.69230769230769229</v>
      </c>
      <c r="M566" s="42">
        <f t="shared" si="104"/>
        <v>0.6</v>
      </c>
      <c r="N566" s="42">
        <f t="shared" si="97"/>
        <v>0.6428571428571429</v>
      </c>
      <c r="O566" s="43">
        <f>'Detailed Results'!I566</f>
        <v>18</v>
      </c>
      <c r="P566" s="43">
        <f>'Detailed Results'!J566</f>
        <v>18</v>
      </c>
      <c r="Q566" s="44">
        <f t="shared" si="98"/>
        <v>1</v>
      </c>
      <c r="R566" s="44">
        <f t="shared" si="105"/>
        <v>0.5625</v>
      </c>
      <c r="S566" s="44">
        <f t="shared" si="99"/>
        <v>0.72</v>
      </c>
      <c r="T566" s="45">
        <f>'Detailed Results'!K566</f>
        <v>13</v>
      </c>
      <c r="U566" s="45">
        <f>'Detailed Results'!L566</f>
        <v>7</v>
      </c>
      <c r="V566" s="46">
        <f t="shared" si="100"/>
        <v>0.53846153846153844</v>
      </c>
      <c r="W566" s="46">
        <f t="shared" si="106"/>
        <v>0.46666666666666667</v>
      </c>
      <c r="X566" s="46">
        <f t="shared" si="101"/>
        <v>0.5</v>
      </c>
      <c r="Y566" s="47">
        <f>'Detailed Results'!M566</f>
        <v>18</v>
      </c>
      <c r="Z566" s="47">
        <f>'Detailed Results'!N566</f>
        <v>10</v>
      </c>
      <c r="AA566" s="48">
        <f t="shared" si="102"/>
        <v>0.55555555555555558</v>
      </c>
      <c r="AB566" s="48">
        <f t="shared" si="107"/>
        <v>0.3125</v>
      </c>
      <c r="AC566" s="48">
        <f t="shared" si="103"/>
        <v>0.39999999999999997</v>
      </c>
    </row>
    <row r="567" spans="1:29" ht="15" customHeight="1" thickBot="1" x14ac:dyDescent="0.4">
      <c r="A567" s="185"/>
      <c r="B567" s="14" t="s">
        <v>21</v>
      </c>
      <c r="C567" s="15" t="s">
        <v>16</v>
      </c>
      <c r="D567" s="15">
        <v>2</v>
      </c>
      <c r="E567" s="14" t="s">
        <v>109</v>
      </c>
      <c r="F567" s="40">
        <f>'GT Input'!C14</f>
        <v>15</v>
      </c>
      <c r="G567" s="40">
        <f>'GT Input'!D14</f>
        <v>32</v>
      </c>
      <c r="H567" s="40">
        <f>'GT Input'!E14</f>
        <v>15</v>
      </c>
      <c r="I567" s="40">
        <f>'GT Input'!F14</f>
        <v>32</v>
      </c>
      <c r="J567" s="41">
        <f>'Detailed Results'!G567</f>
        <v>9</v>
      </c>
      <c r="K567" s="41">
        <f>'Detailed Results'!H567</f>
        <v>6</v>
      </c>
      <c r="L567" s="42">
        <f t="shared" si="96"/>
        <v>0.66666666666666663</v>
      </c>
      <c r="M567" s="42">
        <f t="shared" si="104"/>
        <v>0.4</v>
      </c>
      <c r="N567" s="42">
        <f t="shared" si="97"/>
        <v>0.5</v>
      </c>
      <c r="O567" s="43">
        <f>'Detailed Results'!I567</f>
        <v>14</v>
      </c>
      <c r="P567" s="43">
        <f>'Detailed Results'!J567</f>
        <v>10</v>
      </c>
      <c r="Q567" s="44">
        <f t="shared" si="98"/>
        <v>0.7142857142857143</v>
      </c>
      <c r="R567" s="44">
        <f t="shared" si="105"/>
        <v>0.3125</v>
      </c>
      <c r="S567" s="44">
        <f t="shared" si="99"/>
        <v>0.43478260869565216</v>
      </c>
      <c r="T567" s="45">
        <f>'Detailed Results'!K567</f>
        <v>9</v>
      </c>
      <c r="U567" s="45">
        <f>'Detailed Results'!L567</f>
        <v>7</v>
      </c>
      <c r="V567" s="46">
        <f t="shared" si="100"/>
        <v>0.77777777777777779</v>
      </c>
      <c r="W567" s="46">
        <f t="shared" si="106"/>
        <v>0.46666666666666667</v>
      </c>
      <c r="X567" s="46">
        <f t="shared" si="101"/>
        <v>0.58333333333333337</v>
      </c>
      <c r="Y567" s="47">
        <f>'Detailed Results'!M567</f>
        <v>14</v>
      </c>
      <c r="Z567" s="47">
        <f>'Detailed Results'!N567</f>
        <v>5</v>
      </c>
      <c r="AA567" s="48">
        <f t="shared" si="102"/>
        <v>0.35714285714285715</v>
      </c>
      <c r="AB567" s="48">
        <f t="shared" si="107"/>
        <v>0.15625</v>
      </c>
      <c r="AC567" s="48">
        <f t="shared" si="103"/>
        <v>0.21739130434782608</v>
      </c>
    </row>
    <row r="568" spans="1:29" ht="15" customHeight="1" thickBot="1" x14ac:dyDescent="0.4">
      <c r="A568" s="185"/>
      <c r="B568" s="12" t="s">
        <v>21</v>
      </c>
      <c r="C568" s="13" t="s">
        <v>16</v>
      </c>
      <c r="D568" s="13">
        <v>3</v>
      </c>
      <c r="E568" s="12" t="s">
        <v>17</v>
      </c>
      <c r="F568" s="40">
        <f>'GT Input'!C14</f>
        <v>15</v>
      </c>
      <c r="G568" s="40">
        <f>'GT Input'!D14</f>
        <v>32</v>
      </c>
      <c r="H568" s="40">
        <f>'GT Input'!E14</f>
        <v>15</v>
      </c>
      <c r="I568" s="40">
        <f>'GT Input'!F14</f>
        <v>32</v>
      </c>
      <c r="J568" s="41">
        <f>'Detailed Results'!G568</f>
        <v>11</v>
      </c>
      <c r="K568" s="41">
        <f>'Detailed Results'!H568</f>
        <v>8</v>
      </c>
      <c r="L568" s="42">
        <f t="shared" si="96"/>
        <v>0.72727272727272729</v>
      </c>
      <c r="M568" s="42">
        <f t="shared" si="104"/>
        <v>0.53333333333333333</v>
      </c>
      <c r="N568" s="42">
        <f t="shared" si="97"/>
        <v>0.61538461538461531</v>
      </c>
      <c r="O568" s="43">
        <f>'Detailed Results'!I568</f>
        <v>15</v>
      </c>
      <c r="P568" s="43">
        <f>'Detailed Results'!J568</f>
        <v>15</v>
      </c>
      <c r="Q568" s="44">
        <f t="shared" si="98"/>
        <v>1</v>
      </c>
      <c r="R568" s="44">
        <f t="shared" si="105"/>
        <v>0.46875</v>
      </c>
      <c r="S568" s="44">
        <f t="shared" si="99"/>
        <v>0.63829787234042556</v>
      </c>
      <c r="T568" s="45">
        <f>'Detailed Results'!K568</f>
        <v>11</v>
      </c>
      <c r="U568" s="45">
        <f>'Detailed Results'!L568</f>
        <v>6</v>
      </c>
      <c r="V568" s="46">
        <f t="shared" si="100"/>
        <v>0.54545454545454541</v>
      </c>
      <c r="W568" s="46">
        <f t="shared" si="106"/>
        <v>0.4</v>
      </c>
      <c r="X568" s="46">
        <f t="shared" si="101"/>
        <v>0.46153846153846151</v>
      </c>
      <c r="Y568" s="47">
        <f>'Detailed Results'!M568</f>
        <v>15</v>
      </c>
      <c r="Z568" s="47">
        <f>'Detailed Results'!N568</f>
        <v>11</v>
      </c>
      <c r="AA568" s="48">
        <f t="shared" si="102"/>
        <v>0.73333333333333328</v>
      </c>
      <c r="AB568" s="48">
        <f t="shared" si="107"/>
        <v>0.34375</v>
      </c>
      <c r="AC568" s="48">
        <f t="shared" si="103"/>
        <v>0.46808510638297868</v>
      </c>
    </row>
    <row r="569" spans="1:29" ht="15" customHeight="1" thickBot="1" x14ac:dyDescent="0.4">
      <c r="A569" s="185"/>
      <c r="B569" s="12" t="s">
        <v>21</v>
      </c>
      <c r="C569" s="13" t="s">
        <v>16</v>
      </c>
      <c r="D569" s="13">
        <v>3</v>
      </c>
      <c r="E569" s="12" t="s">
        <v>109</v>
      </c>
      <c r="F569" s="40">
        <f>'GT Input'!C14</f>
        <v>15</v>
      </c>
      <c r="G569" s="40">
        <f>'GT Input'!D14</f>
        <v>32</v>
      </c>
      <c r="H569" s="40">
        <f>'GT Input'!E14</f>
        <v>15</v>
      </c>
      <c r="I569" s="40">
        <f>'GT Input'!F14</f>
        <v>32</v>
      </c>
      <c r="J569" s="41">
        <f>'Detailed Results'!G569</f>
        <v>9</v>
      </c>
      <c r="K569" s="41">
        <f>'Detailed Results'!H569</f>
        <v>6</v>
      </c>
      <c r="L569" s="42">
        <f t="shared" si="96"/>
        <v>0.66666666666666663</v>
      </c>
      <c r="M569" s="42">
        <f t="shared" si="104"/>
        <v>0.4</v>
      </c>
      <c r="N569" s="42">
        <f t="shared" si="97"/>
        <v>0.5</v>
      </c>
      <c r="O569" s="43">
        <f>'Detailed Results'!I569</f>
        <v>15</v>
      </c>
      <c r="P569" s="43">
        <f>'Detailed Results'!J569</f>
        <v>10</v>
      </c>
      <c r="Q569" s="44">
        <f t="shared" si="98"/>
        <v>0.66666666666666663</v>
      </c>
      <c r="R569" s="44">
        <f t="shared" si="105"/>
        <v>0.3125</v>
      </c>
      <c r="S569" s="44">
        <f t="shared" si="99"/>
        <v>0.42553191489361702</v>
      </c>
      <c r="T569" s="45">
        <f>'Detailed Results'!K569</f>
        <v>9</v>
      </c>
      <c r="U569" s="45">
        <f>'Detailed Results'!L569</f>
        <v>7</v>
      </c>
      <c r="V569" s="46">
        <f t="shared" si="100"/>
        <v>0.77777777777777779</v>
      </c>
      <c r="W569" s="46">
        <f t="shared" si="106"/>
        <v>0.46666666666666667</v>
      </c>
      <c r="X569" s="46">
        <f t="shared" si="101"/>
        <v>0.58333333333333337</v>
      </c>
      <c r="Y569" s="47">
        <f>'Detailed Results'!M569</f>
        <v>15</v>
      </c>
      <c r="Z569" s="47">
        <f>'Detailed Results'!N569</f>
        <v>5</v>
      </c>
      <c r="AA569" s="48">
        <f t="shared" si="102"/>
        <v>0.33333333333333331</v>
      </c>
      <c r="AB569" s="48">
        <f t="shared" si="107"/>
        <v>0.15625</v>
      </c>
      <c r="AC569" s="48">
        <f t="shared" si="103"/>
        <v>0.21276595744680851</v>
      </c>
    </row>
    <row r="570" spans="1:29" ht="15" customHeight="1" thickBot="1" x14ac:dyDescent="0.4">
      <c r="A570" s="185"/>
      <c r="B570" s="14" t="s">
        <v>21</v>
      </c>
      <c r="C570" s="15" t="s">
        <v>19</v>
      </c>
      <c r="D570" s="15">
        <v>1</v>
      </c>
      <c r="E570" s="14" t="s">
        <v>17</v>
      </c>
      <c r="F570" s="40">
        <f>'GT Input'!C14</f>
        <v>15</v>
      </c>
      <c r="G570" s="40">
        <f>'GT Input'!D14</f>
        <v>32</v>
      </c>
      <c r="H570" s="40">
        <f>'GT Input'!E14</f>
        <v>15</v>
      </c>
      <c r="I570" s="40">
        <f>'GT Input'!F14</f>
        <v>32</v>
      </c>
      <c r="J570" s="41">
        <f>'Detailed Results'!G570</f>
        <v>13</v>
      </c>
      <c r="K570" s="41">
        <f>'Detailed Results'!H570</f>
        <v>11</v>
      </c>
      <c r="L570" s="42">
        <f t="shared" si="96"/>
        <v>0.84615384615384615</v>
      </c>
      <c r="M570" s="42">
        <f t="shared" si="104"/>
        <v>0.73333333333333328</v>
      </c>
      <c r="N570" s="42">
        <f t="shared" si="97"/>
        <v>0.78571428571428559</v>
      </c>
      <c r="O570" s="43">
        <f>'Detailed Results'!I570</f>
        <v>18</v>
      </c>
      <c r="P570" s="43">
        <f>'Detailed Results'!J570</f>
        <v>18</v>
      </c>
      <c r="Q570" s="44">
        <f t="shared" si="98"/>
        <v>1</v>
      </c>
      <c r="R570" s="44">
        <f t="shared" si="105"/>
        <v>0.5625</v>
      </c>
      <c r="S570" s="44">
        <f t="shared" si="99"/>
        <v>0.72</v>
      </c>
      <c r="T570" s="45">
        <f>'Detailed Results'!K570</f>
        <v>13</v>
      </c>
      <c r="U570" s="45">
        <f>'Detailed Results'!L570</f>
        <v>9</v>
      </c>
      <c r="V570" s="46">
        <f t="shared" si="100"/>
        <v>0.69230769230769229</v>
      </c>
      <c r="W570" s="46">
        <f t="shared" si="106"/>
        <v>0.6</v>
      </c>
      <c r="X570" s="46">
        <f t="shared" si="101"/>
        <v>0.6428571428571429</v>
      </c>
      <c r="Y570" s="47">
        <f>'Detailed Results'!M570</f>
        <v>18</v>
      </c>
      <c r="Z570" s="47">
        <f>'Detailed Results'!N570</f>
        <v>9</v>
      </c>
      <c r="AA570" s="48">
        <f t="shared" si="102"/>
        <v>0.5</v>
      </c>
      <c r="AB570" s="48">
        <f t="shared" si="107"/>
        <v>0.28125</v>
      </c>
      <c r="AC570" s="48">
        <f t="shared" si="103"/>
        <v>0.36</v>
      </c>
    </row>
    <row r="571" spans="1:29" ht="15" customHeight="1" thickBot="1" x14ac:dyDescent="0.4">
      <c r="A571" s="185"/>
      <c r="B571" s="14" t="s">
        <v>21</v>
      </c>
      <c r="C571" s="15" t="s">
        <v>19</v>
      </c>
      <c r="D571" s="15">
        <v>1</v>
      </c>
      <c r="E571" s="14" t="s">
        <v>109</v>
      </c>
      <c r="F571" s="40">
        <f>'GT Input'!C14</f>
        <v>15</v>
      </c>
      <c r="G571" s="40">
        <f>'GT Input'!D14</f>
        <v>32</v>
      </c>
      <c r="H571" s="40">
        <f>'GT Input'!E14</f>
        <v>15</v>
      </c>
      <c r="I571" s="40">
        <f>'GT Input'!F14</f>
        <v>32</v>
      </c>
      <c r="J571" s="41">
        <f>'Detailed Results'!G571</f>
        <v>9</v>
      </c>
      <c r="K571" s="41">
        <f>'Detailed Results'!H571</f>
        <v>6</v>
      </c>
      <c r="L571" s="42">
        <f t="shared" si="96"/>
        <v>0.66666666666666663</v>
      </c>
      <c r="M571" s="42">
        <f t="shared" si="104"/>
        <v>0.4</v>
      </c>
      <c r="N571" s="42">
        <f t="shared" si="97"/>
        <v>0.5</v>
      </c>
      <c r="O571" s="43">
        <f>'Detailed Results'!I571</f>
        <v>14</v>
      </c>
      <c r="P571" s="43">
        <f>'Detailed Results'!J571</f>
        <v>10</v>
      </c>
      <c r="Q571" s="44">
        <f t="shared" si="98"/>
        <v>0.7142857142857143</v>
      </c>
      <c r="R571" s="44">
        <f t="shared" si="105"/>
        <v>0.3125</v>
      </c>
      <c r="S571" s="44">
        <f t="shared" si="99"/>
        <v>0.43478260869565216</v>
      </c>
      <c r="T571" s="45">
        <f>'Detailed Results'!K571</f>
        <v>9</v>
      </c>
      <c r="U571" s="45">
        <f>'Detailed Results'!L571</f>
        <v>7</v>
      </c>
      <c r="V571" s="46">
        <f t="shared" si="100"/>
        <v>0.77777777777777779</v>
      </c>
      <c r="W571" s="46">
        <f t="shared" si="106"/>
        <v>0.46666666666666667</v>
      </c>
      <c r="X571" s="46">
        <f t="shared" si="101"/>
        <v>0.58333333333333337</v>
      </c>
      <c r="Y571" s="47">
        <f>'Detailed Results'!M571</f>
        <v>14</v>
      </c>
      <c r="Z571" s="47">
        <f>'Detailed Results'!N571</f>
        <v>5</v>
      </c>
      <c r="AA571" s="48">
        <f t="shared" si="102"/>
        <v>0.35714285714285715</v>
      </c>
      <c r="AB571" s="48">
        <f t="shared" si="107"/>
        <v>0.15625</v>
      </c>
      <c r="AC571" s="48">
        <f t="shared" si="103"/>
        <v>0.21739130434782608</v>
      </c>
    </row>
    <row r="572" spans="1:29" ht="15" customHeight="1" thickBot="1" x14ac:dyDescent="0.4">
      <c r="A572" s="185"/>
      <c r="B572" s="12" t="s">
        <v>21</v>
      </c>
      <c r="C572" s="13" t="s">
        <v>19</v>
      </c>
      <c r="D572" s="13">
        <v>2</v>
      </c>
      <c r="E572" s="12" t="s">
        <v>17</v>
      </c>
      <c r="F572" s="40">
        <f>'GT Input'!C14</f>
        <v>15</v>
      </c>
      <c r="G572" s="40">
        <f>'GT Input'!D14</f>
        <v>32</v>
      </c>
      <c r="H572" s="40">
        <f>'GT Input'!E14</f>
        <v>15</v>
      </c>
      <c r="I572" s="40">
        <f>'GT Input'!F14</f>
        <v>32</v>
      </c>
      <c r="J572" s="41">
        <f>'Detailed Results'!G572</f>
        <v>13</v>
      </c>
      <c r="K572" s="41">
        <f>'Detailed Results'!H572</f>
        <v>11</v>
      </c>
      <c r="L572" s="42">
        <f t="shared" si="96"/>
        <v>0.84615384615384615</v>
      </c>
      <c r="M572" s="42">
        <f t="shared" si="104"/>
        <v>0.73333333333333328</v>
      </c>
      <c r="N572" s="42">
        <f t="shared" si="97"/>
        <v>0.78571428571428559</v>
      </c>
      <c r="O572" s="43">
        <f>'Detailed Results'!I572</f>
        <v>14</v>
      </c>
      <c r="P572" s="43">
        <f>'Detailed Results'!J572</f>
        <v>14</v>
      </c>
      <c r="Q572" s="44">
        <f t="shared" si="98"/>
        <v>1</v>
      </c>
      <c r="R572" s="44">
        <f t="shared" si="105"/>
        <v>0.4375</v>
      </c>
      <c r="S572" s="44">
        <f t="shared" si="99"/>
        <v>0.60869565217391308</v>
      </c>
      <c r="T572" s="45">
        <f>'Detailed Results'!K572</f>
        <v>13</v>
      </c>
      <c r="U572" s="45">
        <f>'Detailed Results'!L572</f>
        <v>7</v>
      </c>
      <c r="V572" s="46">
        <f t="shared" si="100"/>
        <v>0.53846153846153844</v>
      </c>
      <c r="W572" s="46">
        <f t="shared" si="106"/>
        <v>0.46666666666666667</v>
      </c>
      <c r="X572" s="46">
        <f t="shared" si="101"/>
        <v>0.5</v>
      </c>
      <c r="Y572" s="47">
        <f>'Detailed Results'!M572</f>
        <v>14</v>
      </c>
      <c r="Z572" s="47">
        <f>'Detailed Results'!N572</f>
        <v>9</v>
      </c>
      <c r="AA572" s="48">
        <f t="shared" si="102"/>
        <v>0.6428571428571429</v>
      </c>
      <c r="AB572" s="48">
        <f t="shared" si="107"/>
        <v>0.28125</v>
      </c>
      <c r="AC572" s="48">
        <f t="shared" si="103"/>
        <v>0.39130434782608697</v>
      </c>
    </row>
    <row r="573" spans="1:29" ht="15" customHeight="1" thickBot="1" x14ac:dyDescent="0.4">
      <c r="A573" s="185"/>
      <c r="B573" s="12" t="s">
        <v>21</v>
      </c>
      <c r="C573" s="13" t="s">
        <v>19</v>
      </c>
      <c r="D573" s="13">
        <v>2</v>
      </c>
      <c r="E573" s="12" t="s">
        <v>109</v>
      </c>
      <c r="F573" s="40">
        <f>'GT Input'!C14</f>
        <v>15</v>
      </c>
      <c r="G573" s="40">
        <f>'GT Input'!D14</f>
        <v>32</v>
      </c>
      <c r="H573" s="40">
        <f>'GT Input'!E14</f>
        <v>15</v>
      </c>
      <c r="I573" s="40">
        <f>'GT Input'!F14</f>
        <v>32</v>
      </c>
      <c r="J573" s="41">
        <f>'Detailed Results'!G573</f>
        <v>9</v>
      </c>
      <c r="K573" s="41">
        <f>'Detailed Results'!H573</f>
        <v>6</v>
      </c>
      <c r="L573" s="42">
        <f t="shared" si="96"/>
        <v>0.66666666666666663</v>
      </c>
      <c r="M573" s="42">
        <f t="shared" si="104"/>
        <v>0.4</v>
      </c>
      <c r="N573" s="42">
        <f t="shared" si="97"/>
        <v>0.5</v>
      </c>
      <c r="O573" s="43">
        <f>'Detailed Results'!I573</f>
        <v>14</v>
      </c>
      <c r="P573" s="43">
        <f>'Detailed Results'!J573</f>
        <v>10</v>
      </c>
      <c r="Q573" s="44">
        <f t="shared" si="98"/>
        <v>0.7142857142857143</v>
      </c>
      <c r="R573" s="44">
        <f t="shared" si="105"/>
        <v>0.3125</v>
      </c>
      <c r="S573" s="44">
        <f t="shared" si="99"/>
        <v>0.43478260869565216</v>
      </c>
      <c r="T573" s="45">
        <f>'Detailed Results'!K573</f>
        <v>9</v>
      </c>
      <c r="U573" s="45">
        <f>'Detailed Results'!L573</f>
        <v>7</v>
      </c>
      <c r="V573" s="46">
        <f t="shared" si="100"/>
        <v>0.77777777777777779</v>
      </c>
      <c r="W573" s="46">
        <f t="shared" si="106"/>
        <v>0.46666666666666667</v>
      </c>
      <c r="X573" s="46">
        <f t="shared" si="101"/>
        <v>0.58333333333333337</v>
      </c>
      <c r="Y573" s="47">
        <f>'Detailed Results'!M573</f>
        <v>14</v>
      </c>
      <c r="Z573" s="47">
        <f>'Detailed Results'!N573</f>
        <v>5</v>
      </c>
      <c r="AA573" s="48">
        <f t="shared" si="102"/>
        <v>0.35714285714285715</v>
      </c>
      <c r="AB573" s="48">
        <f t="shared" si="107"/>
        <v>0.15625</v>
      </c>
      <c r="AC573" s="48">
        <f t="shared" si="103"/>
        <v>0.21739130434782608</v>
      </c>
    </row>
    <row r="574" spans="1:29" ht="15" customHeight="1" thickBot="1" x14ac:dyDescent="0.4">
      <c r="A574" s="185"/>
      <c r="B574" s="14" t="s">
        <v>21</v>
      </c>
      <c r="C574" s="15" t="s">
        <v>19</v>
      </c>
      <c r="D574" s="15">
        <v>3</v>
      </c>
      <c r="E574" s="14" t="s">
        <v>17</v>
      </c>
      <c r="F574" s="40">
        <f>'GT Input'!C14</f>
        <v>15</v>
      </c>
      <c r="G574" s="40">
        <f>'GT Input'!D14</f>
        <v>32</v>
      </c>
      <c r="H574" s="40">
        <f>'GT Input'!E14</f>
        <v>15</v>
      </c>
      <c r="I574" s="40">
        <f>'GT Input'!F14</f>
        <v>32</v>
      </c>
      <c r="J574" s="41">
        <f>'Detailed Results'!G574</f>
        <v>11</v>
      </c>
      <c r="K574" s="41">
        <f>'Detailed Results'!H574</f>
        <v>9</v>
      </c>
      <c r="L574" s="42">
        <f t="shared" si="96"/>
        <v>0.81818181818181823</v>
      </c>
      <c r="M574" s="42">
        <f t="shared" si="104"/>
        <v>0.6</v>
      </c>
      <c r="N574" s="42">
        <f t="shared" si="97"/>
        <v>0.69230769230769229</v>
      </c>
      <c r="O574" s="43">
        <f>'Detailed Results'!I574</f>
        <v>15</v>
      </c>
      <c r="P574" s="43">
        <f>'Detailed Results'!J574</f>
        <v>15</v>
      </c>
      <c r="Q574" s="44">
        <f t="shared" si="98"/>
        <v>1</v>
      </c>
      <c r="R574" s="44">
        <f t="shared" si="105"/>
        <v>0.46875</v>
      </c>
      <c r="S574" s="44">
        <f t="shared" si="99"/>
        <v>0.63829787234042556</v>
      </c>
      <c r="T574" s="45">
        <f>'Detailed Results'!K574</f>
        <v>11</v>
      </c>
      <c r="U574" s="45">
        <f>'Detailed Results'!L574</f>
        <v>4</v>
      </c>
      <c r="V574" s="46">
        <f t="shared" si="100"/>
        <v>0.36363636363636365</v>
      </c>
      <c r="W574" s="46">
        <f t="shared" si="106"/>
        <v>0.26666666666666666</v>
      </c>
      <c r="X574" s="46">
        <f t="shared" si="101"/>
        <v>0.30769230769230765</v>
      </c>
      <c r="Y574" s="47">
        <f>'Detailed Results'!M574</f>
        <v>15</v>
      </c>
      <c r="Z574" s="47">
        <f>'Detailed Results'!N574</f>
        <v>10</v>
      </c>
      <c r="AA574" s="48">
        <f t="shared" si="102"/>
        <v>0.66666666666666663</v>
      </c>
      <c r="AB574" s="48">
        <f t="shared" si="107"/>
        <v>0.3125</v>
      </c>
      <c r="AC574" s="48">
        <f t="shared" si="103"/>
        <v>0.42553191489361702</v>
      </c>
    </row>
    <row r="575" spans="1:29" ht="15" customHeight="1" thickBot="1" x14ac:dyDescent="0.4">
      <c r="A575" s="185"/>
      <c r="B575" s="14" t="s">
        <v>21</v>
      </c>
      <c r="C575" s="15" t="s">
        <v>19</v>
      </c>
      <c r="D575" s="15">
        <v>3</v>
      </c>
      <c r="E575" s="14" t="s">
        <v>109</v>
      </c>
      <c r="F575" s="40">
        <f>'GT Input'!C14</f>
        <v>15</v>
      </c>
      <c r="G575" s="40">
        <f>'GT Input'!D14</f>
        <v>32</v>
      </c>
      <c r="H575" s="40">
        <f>'GT Input'!E14</f>
        <v>15</v>
      </c>
      <c r="I575" s="40">
        <f>'GT Input'!F14</f>
        <v>32</v>
      </c>
      <c r="J575" s="41">
        <f>'Detailed Results'!G575</f>
        <v>9</v>
      </c>
      <c r="K575" s="41">
        <f>'Detailed Results'!H575</f>
        <v>6</v>
      </c>
      <c r="L575" s="42">
        <f t="shared" si="96"/>
        <v>0.66666666666666663</v>
      </c>
      <c r="M575" s="42">
        <f t="shared" si="104"/>
        <v>0.4</v>
      </c>
      <c r="N575" s="42">
        <f t="shared" si="97"/>
        <v>0.5</v>
      </c>
      <c r="O575" s="43">
        <f>'Detailed Results'!I575</f>
        <v>14</v>
      </c>
      <c r="P575" s="43">
        <f>'Detailed Results'!J575</f>
        <v>10</v>
      </c>
      <c r="Q575" s="44">
        <f t="shared" si="98"/>
        <v>0.7142857142857143</v>
      </c>
      <c r="R575" s="44">
        <f t="shared" si="105"/>
        <v>0.3125</v>
      </c>
      <c r="S575" s="44">
        <f t="shared" si="99"/>
        <v>0.43478260869565216</v>
      </c>
      <c r="T575" s="45">
        <f>'Detailed Results'!K575</f>
        <v>9</v>
      </c>
      <c r="U575" s="45">
        <f>'Detailed Results'!L575</f>
        <v>7</v>
      </c>
      <c r="V575" s="46">
        <f t="shared" si="100"/>
        <v>0.77777777777777779</v>
      </c>
      <c r="W575" s="46">
        <f t="shared" si="106"/>
        <v>0.46666666666666667</v>
      </c>
      <c r="X575" s="46">
        <f t="shared" si="101"/>
        <v>0.58333333333333337</v>
      </c>
      <c r="Y575" s="47">
        <f>'Detailed Results'!M575</f>
        <v>14</v>
      </c>
      <c r="Z575" s="47">
        <f>'Detailed Results'!N575</f>
        <v>5</v>
      </c>
      <c r="AA575" s="48">
        <f t="shared" si="102"/>
        <v>0.35714285714285715</v>
      </c>
      <c r="AB575" s="48">
        <f t="shared" si="107"/>
        <v>0.15625</v>
      </c>
      <c r="AC575" s="48">
        <f t="shared" si="103"/>
        <v>0.21739130434782608</v>
      </c>
    </row>
    <row r="576" spans="1:29" ht="15" customHeight="1" thickBot="1" x14ac:dyDescent="0.4">
      <c r="A576" s="185"/>
      <c r="B576" s="12" t="s">
        <v>21</v>
      </c>
      <c r="C576" s="13" t="s">
        <v>20</v>
      </c>
      <c r="D576" s="13">
        <v>1</v>
      </c>
      <c r="E576" s="12" t="s">
        <v>17</v>
      </c>
      <c r="F576" s="40">
        <f>'GT Input'!C14</f>
        <v>15</v>
      </c>
      <c r="G576" s="40">
        <f>'GT Input'!D14</f>
        <v>32</v>
      </c>
      <c r="H576" s="40">
        <f>'GT Input'!E14</f>
        <v>15</v>
      </c>
      <c r="I576" s="40">
        <f>'GT Input'!F14</f>
        <v>32</v>
      </c>
      <c r="J576" s="41">
        <f>'Detailed Results'!G576</f>
        <v>11</v>
      </c>
      <c r="K576" s="41">
        <f>'Detailed Results'!H576</f>
        <v>9</v>
      </c>
      <c r="L576" s="42">
        <f t="shared" si="96"/>
        <v>0.81818181818181823</v>
      </c>
      <c r="M576" s="42">
        <f t="shared" si="104"/>
        <v>0.6</v>
      </c>
      <c r="N576" s="42">
        <f t="shared" si="97"/>
        <v>0.69230769230769229</v>
      </c>
      <c r="O576" s="43">
        <f>'Detailed Results'!I576</f>
        <v>15</v>
      </c>
      <c r="P576" s="43">
        <f>'Detailed Results'!J576</f>
        <v>15</v>
      </c>
      <c r="Q576" s="44">
        <f t="shared" si="98"/>
        <v>1</v>
      </c>
      <c r="R576" s="44">
        <f t="shared" si="105"/>
        <v>0.46875</v>
      </c>
      <c r="S576" s="44">
        <f t="shared" si="99"/>
        <v>0.63829787234042556</v>
      </c>
      <c r="T576" s="45">
        <f>'Detailed Results'!K576</f>
        <v>11</v>
      </c>
      <c r="U576" s="45">
        <f>'Detailed Results'!L576</f>
        <v>4</v>
      </c>
      <c r="V576" s="46">
        <f t="shared" si="100"/>
        <v>0.36363636363636365</v>
      </c>
      <c r="W576" s="46">
        <f t="shared" si="106"/>
        <v>0.26666666666666666</v>
      </c>
      <c r="X576" s="46">
        <f t="shared" si="101"/>
        <v>0.30769230769230765</v>
      </c>
      <c r="Y576" s="47">
        <f>'Detailed Results'!M576</f>
        <v>15</v>
      </c>
      <c r="Z576" s="47">
        <f>'Detailed Results'!N576</f>
        <v>11</v>
      </c>
      <c r="AA576" s="48">
        <f t="shared" si="102"/>
        <v>0.73333333333333328</v>
      </c>
      <c r="AB576" s="48">
        <f t="shared" si="107"/>
        <v>0.34375</v>
      </c>
      <c r="AC576" s="48">
        <f t="shared" si="103"/>
        <v>0.46808510638297868</v>
      </c>
    </row>
    <row r="577" spans="1:29" ht="15" customHeight="1" thickBot="1" x14ac:dyDescent="0.4">
      <c r="A577" s="185"/>
      <c r="B577" s="12" t="s">
        <v>21</v>
      </c>
      <c r="C577" s="13" t="s">
        <v>20</v>
      </c>
      <c r="D577" s="13">
        <v>1</v>
      </c>
      <c r="E577" s="12" t="s">
        <v>109</v>
      </c>
      <c r="F577" s="40">
        <f>'GT Input'!C14</f>
        <v>15</v>
      </c>
      <c r="G577" s="40">
        <f>'GT Input'!D14</f>
        <v>32</v>
      </c>
      <c r="H577" s="40">
        <f>'GT Input'!E14</f>
        <v>15</v>
      </c>
      <c r="I577" s="40">
        <f>'GT Input'!F14</f>
        <v>32</v>
      </c>
      <c r="J577" s="41">
        <f>'Detailed Results'!G577</f>
        <v>9</v>
      </c>
      <c r="K577" s="41">
        <f>'Detailed Results'!H577</f>
        <v>6</v>
      </c>
      <c r="L577" s="42">
        <f t="shared" si="96"/>
        <v>0.66666666666666663</v>
      </c>
      <c r="M577" s="42">
        <f t="shared" si="104"/>
        <v>0.4</v>
      </c>
      <c r="N577" s="42">
        <f t="shared" si="97"/>
        <v>0.5</v>
      </c>
      <c r="O577" s="43">
        <f>'Detailed Results'!I577</f>
        <v>15</v>
      </c>
      <c r="P577" s="43">
        <f>'Detailed Results'!J577</f>
        <v>10</v>
      </c>
      <c r="Q577" s="44">
        <f t="shared" si="98"/>
        <v>0.66666666666666663</v>
      </c>
      <c r="R577" s="44">
        <f t="shared" si="105"/>
        <v>0.3125</v>
      </c>
      <c r="S577" s="44">
        <f t="shared" si="99"/>
        <v>0.42553191489361702</v>
      </c>
      <c r="T577" s="45">
        <f>'Detailed Results'!K577</f>
        <v>9</v>
      </c>
      <c r="U577" s="45">
        <f>'Detailed Results'!L577</f>
        <v>7</v>
      </c>
      <c r="V577" s="46">
        <f t="shared" si="100"/>
        <v>0.77777777777777779</v>
      </c>
      <c r="W577" s="46">
        <f t="shared" si="106"/>
        <v>0.46666666666666667</v>
      </c>
      <c r="X577" s="46">
        <f t="shared" si="101"/>
        <v>0.58333333333333337</v>
      </c>
      <c r="Y577" s="47">
        <f>'Detailed Results'!M577</f>
        <v>15</v>
      </c>
      <c r="Z577" s="47">
        <f>'Detailed Results'!N577</f>
        <v>5</v>
      </c>
      <c r="AA577" s="48">
        <f t="shared" si="102"/>
        <v>0.33333333333333331</v>
      </c>
      <c r="AB577" s="48">
        <f t="shared" si="107"/>
        <v>0.15625</v>
      </c>
      <c r="AC577" s="48">
        <f t="shared" si="103"/>
        <v>0.21276595744680851</v>
      </c>
    </row>
    <row r="578" spans="1:29" ht="15" customHeight="1" thickBot="1" x14ac:dyDescent="0.4">
      <c r="A578" s="185"/>
      <c r="B578" s="14" t="s">
        <v>21</v>
      </c>
      <c r="C578" s="15" t="s">
        <v>20</v>
      </c>
      <c r="D578" s="15">
        <v>2</v>
      </c>
      <c r="E578" s="14" t="s">
        <v>17</v>
      </c>
      <c r="F578" s="40">
        <f>'GT Input'!C14</f>
        <v>15</v>
      </c>
      <c r="G578" s="40">
        <f>'GT Input'!D14</f>
        <v>32</v>
      </c>
      <c r="H578" s="40">
        <f>'GT Input'!E14</f>
        <v>15</v>
      </c>
      <c r="I578" s="40">
        <f>'GT Input'!F14</f>
        <v>32</v>
      </c>
      <c r="J578" s="41">
        <f>'Detailed Results'!G578</f>
        <v>13</v>
      </c>
      <c r="K578" s="41">
        <f>'Detailed Results'!H578</f>
        <v>11</v>
      </c>
      <c r="L578" s="42">
        <f t="shared" si="96"/>
        <v>0.84615384615384615</v>
      </c>
      <c r="M578" s="42">
        <f t="shared" si="104"/>
        <v>0.73333333333333328</v>
      </c>
      <c r="N578" s="42">
        <f t="shared" si="97"/>
        <v>0.78571428571428559</v>
      </c>
      <c r="O578" s="43">
        <f>'Detailed Results'!I578</f>
        <v>17</v>
      </c>
      <c r="P578" s="43">
        <f>'Detailed Results'!J578</f>
        <v>17</v>
      </c>
      <c r="Q578" s="44">
        <f t="shared" si="98"/>
        <v>1</v>
      </c>
      <c r="R578" s="44">
        <f t="shared" si="105"/>
        <v>0.53125</v>
      </c>
      <c r="S578" s="44">
        <f t="shared" si="99"/>
        <v>0.69387755102040816</v>
      </c>
      <c r="T578" s="45">
        <f>'Detailed Results'!K578</f>
        <v>13</v>
      </c>
      <c r="U578" s="45">
        <f>'Detailed Results'!L578</f>
        <v>7</v>
      </c>
      <c r="V578" s="46">
        <f t="shared" si="100"/>
        <v>0.53846153846153844</v>
      </c>
      <c r="W578" s="46">
        <f t="shared" si="106"/>
        <v>0.46666666666666667</v>
      </c>
      <c r="X578" s="46">
        <f t="shared" si="101"/>
        <v>0.5</v>
      </c>
      <c r="Y578" s="47">
        <f>'Detailed Results'!M578</f>
        <v>17</v>
      </c>
      <c r="Z578" s="47">
        <f>'Detailed Results'!N578</f>
        <v>9</v>
      </c>
      <c r="AA578" s="48">
        <f t="shared" si="102"/>
        <v>0.52941176470588236</v>
      </c>
      <c r="AB578" s="48">
        <f t="shared" si="107"/>
        <v>0.28125</v>
      </c>
      <c r="AC578" s="48">
        <f t="shared" si="103"/>
        <v>0.36734693877551022</v>
      </c>
    </row>
    <row r="579" spans="1:29" ht="15" customHeight="1" thickBot="1" x14ac:dyDescent="0.4">
      <c r="A579" s="185"/>
      <c r="B579" s="14" t="s">
        <v>21</v>
      </c>
      <c r="C579" s="15" t="s">
        <v>20</v>
      </c>
      <c r="D579" s="15">
        <v>2</v>
      </c>
      <c r="E579" s="14" t="s">
        <v>109</v>
      </c>
      <c r="F579" s="40">
        <f>'GT Input'!C14</f>
        <v>15</v>
      </c>
      <c r="G579" s="40">
        <f>'GT Input'!D14</f>
        <v>32</v>
      </c>
      <c r="H579" s="40">
        <f>'GT Input'!E14</f>
        <v>15</v>
      </c>
      <c r="I579" s="40">
        <f>'GT Input'!F14</f>
        <v>32</v>
      </c>
      <c r="J579" s="41">
        <f>'Detailed Results'!G579</f>
        <v>9</v>
      </c>
      <c r="K579" s="41">
        <f>'Detailed Results'!H579</f>
        <v>6</v>
      </c>
      <c r="L579" s="42">
        <f t="shared" si="96"/>
        <v>0.66666666666666663</v>
      </c>
      <c r="M579" s="42">
        <f t="shared" si="104"/>
        <v>0.4</v>
      </c>
      <c r="N579" s="42">
        <f t="shared" si="97"/>
        <v>0.5</v>
      </c>
      <c r="O579" s="43">
        <f>'Detailed Results'!I579</f>
        <v>12</v>
      </c>
      <c r="P579" s="43">
        <f>'Detailed Results'!J579</f>
        <v>10</v>
      </c>
      <c r="Q579" s="44">
        <f t="shared" si="98"/>
        <v>0.83333333333333337</v>
      </c>
      <c r="R579" s="44">
        <f t="shared" si="105"/>
        <v>0.3125</v>
      </c>
      <c r="S579" s="44">
        <f t="shared" si="99"/>
        <v>0.45454545454545453</v>
      </c>
      <c r="T579" s="45">
        <f>'Detailed Results'!K579</f>
        <v>9</v>
      </c>
      <c r="U579" s="45">
        <f>'Detailed Results'!L579</f>
        <v>7</v>
      </c>
      <c r="V579" s="46">
        <f t="shared" si="100"/>
        <v>0.77777777777777779</v>
      </c>
      <c r="W579" s="46">
        <f t="shared" si="106"/>
        <v>0.46666666666666667</v>
      </c>
      <c r="X579" s="46">
        <f t="shared" si="101"/>
        <v>0.58333333333333337</v>
      </c>
      <c r="Y579" s="47">
        <f>'Detailed Results'!M579</f>
        <v>12</v>
      </c>
      <c r="Z579" s="47">
        <f>'Detailed Results'!N579</f>
        <v>5</v>
      </c>
      <c r="AA579" s="48">
        <f t="shared" si="102"/>
        <v>0.41666666666666669</v>
      </c>
      <c r="AB579" s="48">
        <f t="shared" si="107"/>
        <v>0.15625</v>
      </c>
      <c r="AC579" s="48">
        <f t="shared" si="103"/>
        <v>0.22727272727272727</v>
      </c>
    </row>
    <row r="580" spans="1:29" ht="15" customHeight="1" thickBot="1" x14ac:dyDescent="0.4">
      <c r="A580" s="185"/>
      <c r="B580" s="12" t="s">
        <v>21</v>
      </c>
      <c r="C580" s="13" t="s">
        <v>20</v>
      </c>
      <c r="D580" s="13">
        <v>3</v>
      </c>
      <c r="E580" s="12" t="s">
        <v>17</v>
      </c>
      <c r="F580" s="40">
        <f>'GT Input'!C14</f>
        <v>15</v>
      </c>
      <c r="G580" s="40">
        <f>'GT Input'!D14</f>
        <v>32</v>
      </c>
      <c r="H580" s="40">
        <f>'GT Input'!E14</f>
        <v>15</v>
      </c>
      <c r="I580" s="40">
        <f>'GT Input'!F14</f>
        <v>32</v>
      </c>
      <c r="J580" s="41">
        <f>'Detailed Results'!G580</f>
        <v>13</v>
      </c>
      <c r="K580" s="41">
        <f>'Detailed Results'!H580</f>
        <v>11</v>
      </c>
      <c r="L580" s="42">
        <f t="shared" si="96"/>
        <v>0.84615384615384615</v>
      </c>
      <c r="M580" s="42">
        <f t="shared" si="104"/>
        <v>0.73333333333333328</v>
      </c>
      <c r="N580" s="42">
        <f t="shared" si="97"/>
        <v>0.78571428571428559</v>
      </c>
      <c r="O580" s="43">
        <f>'Detailed Results'!I580</f>
        <v>18</v>
      </c>
      <c r="P580" s="43">
        <f>'Detailed Results'!J580</f>
        <v>18</v>
      </c>
      <c r="Q580" s="44">
        <f t="shared" si="98"/>
        <v>1</v>
      </c>
      <c r="R580" s="44">
        <f t="shared" si="105"/>
        <v>0.5625</v>
      </c>
      <c r="S580" s="44">
        <f t="shared" si="99"/>
        <v>0.72</v>
      </c>
      <c r="T580" s="45">
        <f>'Detailed Results'!K580</f>
        <v>13</v>
      </c>
      <c r="U580" s="45">
        <f>'Detailed Results'!L580</f>
        <v>7</v>
      </c>
      <c r="V580" s="46">
        <f t="shared" si="100"/>
        <v>0.53846153846153844</v>
      </c>
      <c r="W580" s="46">
        <f t="shared" si="106"/>
        <v>0.46666666666666667</v>
      </c>
      <c r="X580" s="46">
        <f t="shared" si="101"/>
        <v>0.5</v>
      </c>
      <c r="Y580" s="47">
        <f>'Detailed Results'!M580</f>
        <v>18</v>
      </c>
      <c r="Z580" s="47">
        <f>'Detailed Results'!N580</f>
        <v>10</v>
      </c>
      <c r="AA580" s="48">
        <f t="shared" si="102"/>
        <v>0.55555555555555558</v>
      </c>
      <c r="AB580" s="48">
        <f t="shared" si="107"/>
        <v>0.3125</v>
      </c>
      <c r="AC580" s="48">
        <f t="shared" si="103"/>
        <v>0.39999999999999997</v>
      </c>
    </row>
    <row r="581" spans="1:29" ht="15" customHeight="1" thickBot="1" x14ac:dyDescent="0.4">
      <c r="A581" s="185"/>
      <c r="B581" s="12" t="s">
        <v>21</v>
      </c>
      <c r="C581" s="13" t="s">
        <v>20</v>
      </c>
      <c r="D581" s="13">
        <v>3</v>
      </c>
      <c r="E581" s="12" t="s">
        <v>109</v>
      </c>
      <c r="F581" s="40">
        <f>'GT Input'!C14</f>
        <v>15</v>
      </c>
      <c r="G581" s="40">
        <f>'GT Input'!D14</f>
        <v>32</v>
      </c>
      <c r="H581" s="40">
        <f>'GT Input'!E14</f>
        <v>15</v>
      </c>
      <c r="I581" s="40">
        <f>'GT Input'!F14</f>
        <v>32</v>
      </c>
      <c r="J581" s="41">
        <f>'Detailed Results'!G581</f>
        <v>9</v>
      </c>
      <c r="K581" s="41">
        <f>'Detailed Results'!H581</f>
        <v>6</v>
      </c>
      <c r="L581" s="42">
        <f t="shared" si="96"/>
        <v>0.66666666666666663</v>
      </c>
      <c r="M581" s="42">
        <f t="shared" si="104"/>
        <v>0.4</v>
      </c>
      <c r="N581" s="42">
        <f t="shared" si="97"/>
        <v>0.5</v>
      </c>
      <c r="O581" s="43">
        <f>'Detailed Results'!I581</f>
        <v>14</v>
      </c>
      <c r="P581" s="43">
        <f>'Detailed Results'!J581</f>
        <v>10</v>
      </c>
      <c r="Q581" s="44">
        <f t="shared" si="98"/>
        <v>0.7142857142857143</v>
      </c>
      <c r="R581" s="44">
        <f t="shared" si="105"/>
        <v>0.3125</v>
      </c>
      <c r="S581" s="44">
        <f t="shared" si="99"/>
        <v>0.43478260869565216</v>
      </c>
      <c r="T581" s="45">
        <f>'Detailed Results'!K581</f>
        <v>9</v>
      </c>
      <c r="U581" s="45">
        <f>'Detailed Results'!L581</f>
        <v>7</v>
      </c>
      <c r="V581" s="46">
        <f t="shared" si="100"/>
        <v>0.77777777777777779</v>
      </c>
      <c r="W581" s="46">
        <f t="shared" si="106"/>
        <v>0.46666666666666667</v>
      </c>
      <c r="X581" s="46">
        <f t="shared" si="101"/>
        <v>0.58333333333333337</v>
      </c>
      <c r="Y581" s="47">
        <f>'Detailed Results'!M581</f>
        <v>14</v>
      </c>
      <c r="Z581" s="47">
        <f>'Detailed Results'!N581</f>
        <v>5</v>
      </c>
      <c r="AA581" s="48">
        <f t="shared" si="102"/>
        <v>0.35714285714285715</v>
      </c>
      <c r="AB581" s="48">
        <f t="shared" si="107"/>
        <v>0.15625</v>
      </c>
      <c r="AC581" s="48">
        <f t="shared" si="103"/>
        <v>0.21739130434782608</v>
      </c>
    </row>
    <row r="582" spans="1:29" ht="15" customHeight="1" thickBot="1" x14ac:dyDescent="0.4">
      <c r="A582" s="185"/>
      <c r="B582" s="16" t="s">
        <v>22</v>
      </c>
      <c r="C582" s="17" t="s">
        <v>16</v>
      </c>
      <c r="D582" s="17">
        <v>1</v>
      </c>
      <c r="E582" s="16" t="s">
        <v>17</v>
      </c>
      <c r="F582" s="40">
        <f>'GT Input'!C14</f>
        <v>15</v>
      </c>
      <c r="G582" s="40">
        <f>'GT Input'!D14</f>
        <v>32</v>
      </c>
      <c r="H582" s="40">
        <f>'GT Input'!E14</f>
        <v>15</v>
      </c>
      <c r="I582" s="40">
        <f>'GT Input'!F14</f>
        <v>32</v>
      </c>
      <c r="J582" s="41">
        <f>'Detailed Results'!G582</f>
        <v>11</v>
      </c>
      <c r="K582" s="41">
        <f>'Detailed Results'!H582</f>
        <v>9</v>
      </c>
      <c r="L582" s="42">
        <f t="shared" ref="L582:L645" si="108">IFERROR(K582/J582,"")</f>
        <v>0.81818181818181823</v>
      </c>
      <c r="M582" s="42">
        <f t="shared" si="104"/>
        <v>0.6</v>
      </c>
      <c r="N582" s="42">
        <f t="shared" ref="N582:N645" si="109">IFERROR(2*L582*M582/(L582+M582),"")</f>
        <v>0.69230769230769229</v>
      </c>
      <c r="O582" s="43">
        <f>'Detailed Results'!I582</f>
        <v>19</v>
      </c>
      <c r="P582" s="43">
        <f>'Detailed Results'!J582</f>
        <v>19</v>
      </c>
      <c r="Q582" s="44">
        <f t="shared" ref="Q582:Q645" si="110">IFERROR(P582/O582,"")</f>
        <v>1</v>
      </c>
      <c r="R582" s="44">
        <f t="shared" si="105"/>
        <v>0.59375</v>
      </c>
      <c r="S582" s="44">
        <f t="shared" ref="S582:S645" si="111">IFERROR(2*Q582*R582/(Q582+R582),"")</f>
        <v>0.74509803921568629</v>
      </c>
      <c r="T582" s="45">
        <f>'Detailed Results'!K582</f>
        <v>11</v>
      </c>
      <c r="U582" s="45">
        <f>'Detailed Results'!L582</f>
        <v>6</v>
      </c>
      <c r="V582" s="46">
        <f t="shared" ref="V582:V645" si="112">IFERROR(U582/T582,"")</f>
        <v>0.54545454545454541</v>
      </c>
      <c r="W582" s="46">
        <f t="shared" si="106"/>
        <v>0.4</v>
      </c>
      <c r="X582" s="46">
        <f t="shared" ref="X582:X645" si="113">IFERROR(2*V582*W582/(V582+W582),"")</f>
        <v>0.46153846153846151</v>
      </c>
      <c r="Y582" s="47">
        <f>'Detailed Results'!M582</f>
        <v>19</v>
      </c>
      <c r="Z582" s="47">
        <f>'Detailed Results'!N582</f>
        <v>12</v>
      </c>
      <c r="AA582" s="48">
        <f t="shared" ref="AA582:AA645" si="114">IFERROR(Z582/Y582,"")</f>
        <v>0.63157894736842102</v>
      </c>
      <c r="AB582" s="48">
        <f t="shared" si="107"/>
        <v>0.375</v>
      </c>
      <c r="AC582" s="48">
        <f t="shared" ref="AC582:AC645" si="115">IFERROR(2*AA582*AB582/(AA582+AB582),"")</f>
        <v>0.47058823529411764</v>
      </c>
    </row>
    <row r="583" spans="1:29" ht="15" customHeight="1" thickBot="1" x14ac:dyDescent="0.4">
      <c r="A583" s="185"/>
      <c r="B583" s="16" t="s">
        <v>22</v>
      </c>
      <c r="C583" s="17" t="s">
        <v>16</v>
      </c>
      <c r="D583" s="17">
        <v>1</v>
      </c>
      <c r="E583" s="16" t="s">
        <v>109</v>
      </c>
      <c r="F583" s="40">
        <f>'GT Input'!C14</f>
        <v>15</v>
      </c>
      <c r="G583" s="40">
        <f>'GT Input'!D14</f>
        <v>32</v>
      </c>
      <c r="H583" s="40">
        <f>'GT Input'!E14</f>
        <v>15</v>
      </c>
      <c r="I583" s="40">
        <f>'GT Input'!F14</f>
        <v>32</v>
      </c>
      <c r="J583" s="41">
        <f>'Detailed Results'!G583</f>
        <v>13</v>
      </c>
      <c r="K583" s="41">
        <f>'Detailed Results'!H583</f>
        <v>8</v>
      </c>
      <c r="L583" s="42">
        <f t="shared" si="108"/>
        <v>0.61538461538461542</v>
      </c>
      <c r="M583" s="42">
        <f t="shared" ref="M583:M646" si="116">IFERROR(K583/F583,"")</f>
        <v>0.53333333333333333</v>
      </c>
      <c r="N583" s="42">
        <f t="shared" si="109"/>
        <v>0.57142857142857151</v>
      </c>
      <c r="O583" s="43">
        <f>'Detailed Results'!I583</f>
        <v>24</v>
      </c>
      <c r="P583" s="43">
        <f>'Detailed Results'!J583</f>
        <v>18</v>
      </c>
      <c r="Q583" s="44">
        <f t="shared" si="110"/>
        <v>0.75</v>
      </c>
      <c r="R583" s="44">
        <f t="shared" ref="R583:R646" si="117">IFERROR(P583/G583,"")</f>
        <v>0.5625</v>
      </c>
      <c r="S583" s="44">
        <f t="shared" si="111"/>
        <v>0.6428571428571429</v>
      </c>
      <c r="T583" s="45">
        <f>'Detailed Results'!K583</f>
        <v>13</v>
      </c>
      <c r="U583" s="45">
        <f>'Detailed Results'!L583</f>
        <v>11</v>
      </c>
      <c r="V583" s="46">
        <f t="shared" si="112"/>
        <v>0.84615384615384615</v>
      </c>
      <c r="W583" s="46">
        <f t="shared" ref="W583:W646" si="118">IFERROR(U583/H583,"")</f>
        <v>0.73333333333333328</v>
      </c>
      <c r="X583" s="46">
        <f t="shared" si="113"/>
        <v>0.78571428571428559</v>
      </c>
      <c r="Y583" s="47">
        <f>'Detailed Results'!M583</f>
        <v>24</v>
      </c>
      <c r="Z583" s="47">
        <f>'Detailed Results'!N583</f>
        <v>15</v>
      </c>
      <c r="AA583" s="48">
        <f t="shared" si="114"/>
        <v>0.625</v>
      </c>
      <c r="AB583" s="48">
        <f t="shared" ref="AB583:AB646" si="119">IFERROR(Z583/I583,"")</f>
        <v>0.46875</v>
      </c>
      <c r="AC583" s="48">
        <f t="shared" si="115"/>
        <v>0.5357142857142857</v>
      </c>
    </row>
    <row r="584" spans="1:29" ht="15" customHeight="1" thickBot="1" x14ac:dyDescent="0.4">
      <c r="A584" s="185"/>
      <c r="B584" s="18" t="s">
        <v>22</v>
      </c>
      <c r="C584" s="19" t="s">
        <v>16</v>
      </c>
      <c r="D584" s="19">
        <v>2</v>
      </c>
      <c r="E584" s="18" t="s">
        <v>17</v>
      </c>
      <c r="F584" s="40">
        <f>'GT Input'!C14</f>
        <v>15</v>
      </c>
      <c r="G584" s="40">
        <f>'GT Input'!D14</f>
        <v>32</v>
      </c>
      <c r="H584" s="40">
        <f>'GT Input'!E14</f>
        <v>15</v>
      </c>
      <c r="I584" s="40">
        <f>'GT Input'!F14</f>
        <v>32</v>
      </c>
      <c r="J584" s="41">
        <f>'Detailed Results'!G584</f>
        <v>11</v>
      </c>
      <c r="K584" s="41">
        <f>'Detailed Results'!H584</f>
        <v>9</v>
      </c>
      <c r="L584" s="42">
        <f t="shared" si="108"/>
        <v>0.81818181818181823</v>
      </c>
      <c r="M584" s="42">
        <f t="shared" si="116"/>
        <v>0.6</v>
      </c>
      <c r="N584" s="42">
        <f t="shared" si="109"/>
        <v>0.69230769230769229</v>
      </c>
      <c r="O584" s="43">
        <f>'Detailed Results'!I584</f>
        <v>19</v>
      </c>
      <c r="P584" s="43">
        <f>'Detailed Results'!J584</f>
        <v>19</v>
      </c>
      <c r="Q584" s="44">
        <f t="shared" si="110"/>
        <v>1</v>
      </c>
      <c r="R584" s="44">
        <f t="shared" si="117"/>
        <v>0.59375</v>
      </c>
      <c r="S584" s="44">
        <f t="shared" si="111"/>
        <v>0.74509803921568629</v>
      </c>
      <c r="T584" s="45">
        <f>'Detailed Results'!K584</f>
        <v>11</v>
      </c>
      <c r="U584" s="45">
        <f>'Detailed Results'!L584</f>
        <v>7</v>
      </c>
      <c r="V584" s="46">
        <f t="shared" si="112"/>
        <v>0.63636363636363635</v>
      </c>
      <c r="W584" s="46">
        <f t="shared" si="118"/>
        <v>0.46666666666666667</v>
      </c>
      <c r="X584" s="46">
        <f t="shared" si="113"/>
        <v>0.53846153846153855</v>
      </c>
      <c r="Y584" s="47">
        <f>'Detailed Results'!M584</f>
        <v>19</v>
      </c>
      <c r="Z584" s="47">
        <f>'Detailed Results'!N584</f>
        <v>10</v>
      </c>
      <c r="AA584" s="48">
        <f t="shared" si="114"/>
        <v>0.52631578947368418</v>
      </c>
      <c r="AB584" s="48">
        <f t="shared" si="119"/>
        <v>0.3125</v>
      </c>
      <c r="AC584" s="48">
        <f t="shared" si="115"/>
        <v>0.39215686274509803</v>
      </c>
    </row>
    <row r="585" spans="1:29" ht="15" customHeight="1" thickBot="1" x14ac:dyDescent="0.4">
      <c r="A585" s="185"/>
      <c r="B585" s="18" t="s">
        <v>22</v>
      </c>
      <c r="C585" s="19" t="s">
        <v>16</v>
      </c>
      <c r="D585" s="19">
        <v>2</v>
      </c>
      <c r="E585" s="18" t="s">
        <v>109</v>
      </c>
      <c r="F585" s="40">
        <f>'GT Input'!C14</f>
        <v>15</v>
      </c>
      <c r="G585" s="40">
        <f>'GT Input'!D14</f>
        <v>32</v>
      </c>
      <c r="H585" s="40">
        <f>'GT Input'!E14</f>
        <v>15</v>
      </c>
      <c r="I585" s="40">
        <f>'GT Input'!F14</f>
        <v>32</v>
      </c>
      <c r="J585" s="41">
        <f>'Detailed Results'!G585</f>
        <v>9</v>
      </c>
      <c r="K585" s="41">
        <f>'Detailed Results'!H585</f>
        <v>7</v>
      </c>
      <c r="L585" s="42">
        <f t="shared" si="108"/>
        <v>0.77777777777777779</v>
      </c>
      <c r="M585" s="42">
        <f t="shared" si="116"/>
        <v>0.46666666666666667</v>
      </c>
      <c r="N585" s="42">
        <f t="shared" si="109"/>
        <v>0.58333333333333337</v>
      </c>
      <c r="O585" s="43">
        <f>'Detailed Results'!I585</f>
        <v>12</v>
      </c>
      <c r="P585" s="43">
        <f>'Detailed Results'!J585</f>
        <v>12</v>
      </c>
      <c r="Q585" s="44">
        <f t="shared" si="110"/>
        <v>1</v>
      </c>
      <c r="R585" s="44">
        <f t="shared" si="117"/>
        <v>0.375</v>
      </c>
      <c r="S585" s="44">
        <f t="shared" si="111"/>
        <v>0.54545454545454541</v>
      </c>
      <c r="T585" s="45">
        <f>'Detailed Results'!K585</f>
        <v>9</v>
      </c>
      <c r="U585" s="45">
        <f>'Detailed Results'!L585</f>
        <v>5</v>
      </c>
      <c r="V585" s="46">
        <f t="shared" si="112"/>
        <v>0.55555555555555558</v>
      </c>
      <c r="W585" s="46">
        <f t="shared" si="118"/>
        <v>0.33333333333333331</v>
      </c>
      <c r="X585" s="46">
        <f t="shared" si="113"/>
        <v>0.41666666666666669</v>
      </c>
      <c r="Y585" s="47">
        <f>'Detailed Results'!M585</f>
        <v>12</v>
      </c>
      <c r="Z585" s="47">
        <f>'Detailed Results'!N585</f>
        <v>4</v>
      </c>
      <c r="AA585" s="48">
        <f t="shared" si="114"/>
        <v>0.33333333333333331</v>
      </c>
      <c r="AB585" s="48">
        <f t="shared" si="119"/>
        <v>0.125</v>
      </c>
      <c r="AC585" s="48">
        <f t="shared" si="115"/>
        <v>0.18181818181818182</v>
      </c>
    </row>
    <row r="586" spans="1:29" ht="15" customHeight="1" thickBot="1" x14ac:dyDescent="0.4">
      <c r="A586" s="185"/>
      <c r="B586" s="16" t="s">
        <v>22</v>
      </c>
      <c r="C586" s="17" t="s">
        <v>16</v>
      </c>
      <c r="D586" s="17">
        <v>3</v>
      </c>
      <c r="E586" s="16" t="s">
        <v>17</v>
      </c>
      <c r="F586" s="40">
        <f>'GT Input'!C14</f>
        <v>15</v>
      </c>
      <c r="G586" s="40">
        <f>'GT Input'!D14</f>
        <v>32</v>
      </c>
      <c r="H586" s="40">
        <f>'GT Input'!E14</f>
        <v>15</v>
      </c>
      <c r="I586" s="40">
        <f>'GT Input'!F14</f>
        <v>32</v>
      </c>
      <c r="J586" s="41">
        <f>'Detailed Results'!G586</f>
        <v>11</v>
      </c>
      <c r="K586" s="41">
        <f>'Detailed Results'!H586</f>
        <v>9</v>
      </c>
      <c r="L586" s="42">
        <f t="shared" si="108"/>
        <v>0.81818181818181823</v>
      </c>
      <c r="M586" s="42">
        <f t="shared" si="116"/>
        <v>0.6</v>
      </c>
      <c r="N586" s="42">
        <f t="shared" si="109"/>
        <v>0.69230769230769229</v>
      </c>
      <c r="O586" s="43">
        <f>'Detailed Results'!I586</f>
        <v>7</v>
      </c>
      <c r="P586" s="43">
        <f>'Detailed Results'!J586</f>
        <v>7</v>
      </c>
      <c r="Q586" s="44">
        <f t="shared" si="110"/>
        <v>1</v>
      </c>
      <c r="R586" s="44">
        <f t="shared" si="117"/>
        <v>0.21875</v>
      </c>
      <c r="S586" s="44">
        <f t="shared" si="111"/>
        <v>0.35897435897435898</v>
      </c>
      <c r="T586" s="45">
        <f>'Detailed Results'!K586</f>
        <v>11</v>
      </c>
      <c r="U586" s="45">
        <f>'Detailed Results'!L586</f>
        <v>6</v>
      </c>
      <c r="V586" s="46">
        <f t="shared" si="112"/>
        <v>0.54545454545454541</v>
      </c>
      <c r="W586" s="46">
        <f t="shared" si="118"/>
        <v>0.4</v>
      </c>
      <c r="X586" s="46">
        <f t="shared" si="113"/>
        <v>0.46153846153846151</v>
      </c>
      <c r="Y586" s="47">
        <f>'Detailed Results'!M586</f>
        <v>7</v>
      </c>
      <c r="Z586" s="47">
        <f>'Detailed Results'!N586</f>
        <v>6</v>
      </c>
      <c r="AA586" s="48">
        <f t="shared" si="114"/>
        <v>0.8571428571428571</v>
      </c>
      <c r="AB586" s="48">
        <f t="shared" si="119"/>
        <v>0.1875</v>
      </c>
      <c r="AC586" s="48">
        <f t="shared" si="115"/>
        <v>0.30769230769230765</v>
      </c>
    </row>
    <row r="587" spans="1:29" ht="15" customHeight="1" thickBot="1" x14ac:dyDescent="0.4">
      <c r="A587" s="185"/>
      <c r="B587" s="16" t="s">
        <v>22</v>
      </c>
      <c r="C587" s="17" t="s">
        <v>16</v>
      </c>
      <c r="D587" s="17">
        <v>3</v>
      </c>
      <c r="E587" s="16" t="s">
        <v>109</v>
      </c>
      <c r="F587" s="40">
        <f>'GT Input'!C14</f>
        <v>15</v>
      </c>
      <c r="G587" s="40">
        <f>'GT Input'!D14</f>
        <v>32</v>
      </c>
      <c r="H587" s="40">
        <f>'GT Input'!E14</f>
        <v>15</v>
      </c>
      <c r="I587" s="40">
        <f>'GT Input'!F14</f>
        <v>32</v>
      </c>
      <c r="J587" s="41">
        <f>'Detailed Results'!G587</f>
        <v>13</v>
      </c>
      <c r="K587" s="41">
        <f>'Detailed Results'!H587</f>
        <v>11</v>
      </c>
      <c r="L587" s="42">
        <f t="shared" si="108"/>
        <v>0.84615384615384615</v>
      </c>
      <c r="M587" s="42">
        <f t="shared" si="116"/>
        <v>0.73333333333333328</v>
      </c>
      <c r="N587" s="42">
        <f t="shared" si="109"/>
        <v>0.78571428571428559</v>
      </c>
      <c r="O587" s="43">
        <f>'Detailed Results'!I587</f>
        <v>24</v>
      </c>
      <c r="P587" s="43">
        <f>'Detailed Results'!J587</f>
        <v>18</v>
      </c>
      <c r="Q587" s="44">
        <f t="shared" si="110"/>
        <v>0.75</v>
      </c>
      <c r="R587" s="44">
        <f t="shared" si="117"/>
        <v>0.5625</v>
      </c>
      <c r="S587" s="44">
        <f t="shared" si="111"/>
        <v>0.6428571428571429</v>
      </c>
      <c r="T587" s="45">
        <f>'Detailed Results'!K587</f>
        <v>13</v>
      </c>
      <c r="U587" s="45">
        <f>'Detailed Results'!L587</f>
        <v>9</v>
      </c>
      <c r="V587" s="46">
        <f t="shared" si="112"/>
        <v>0.69230769230769229</v>
      </c>
      <c r="W587" s="46">
        <f t="shared" si="118"/>
        <v>0.6</v>
      </c>
      <c r="X587" s="46">
        <f t="shared" si="113"/>
        <v>0.6428571428571429</v>
      </c>
      <c r="Y587" s="47">
        <f>'Detailed Results'!M587</f>
        <v>24</v>
      </c>
      <c r="Z587" s="47">
        <f>'Detailed Results'!N587</f>
        <v>12</v>
      </c>
      <c r="AA587" s="48">
        <f t="shared" si="114"/>
        <v>0.5</v>
      </c>
      <c r="AB587" s="48">
        <f t="shared" si="119"/>
        <v>0.375</v>
      </c>
      <c r="AC587" s="48">
        <f t="shared" si="115"/>
        <v>0.42857142857142855</v>
      </c>
    </row>
    <row r="588" spans="1:29" ht="15" customHeight="1" thickBot="1" x14ac:dyDescent="0.4">
      <c r="A588" s="185"/>
      <c r="B588" s="18" t="s">
        <v>22</v>
      </c>
      <c r="C588" s="19" t="s">
        <v>19</v>
      </c>
      <c r="D588" s="19">
        <v>1</v>
      </c>
      <c r="E588" s="18" t="s">
        <v>17</v>
      </c>
      <c r="F588" s="40">
        <f>'GT Input'!C14</f>
        <v>15</v>
      </c>
      <c r="G588" s="40">
        <f>'GT Input'!D14</f>
        <v>32</v>
      </c>
      <c r="H588" s="40">
        <f>'GT Input'!E14</f>
        <v>15</v>
      </c>
      <c r="I588" s="40">
        <f>'GT Input'!F14</f>
        <v>32</v>
      </c>
      <c r="J588" s="41">
        <f>'Detailed Results'!G588</f>
        <v>11</v>
      </c>
      <c r="K588" s="41">
        <f>'Detailed Results'!H588</f>
        <v>9</v>
      </c>
      <c r="L588" s="42">
        <f t="shared" si="108"/>
        <v>0.81818181818181823</v>
      </c>
      <c r="M588" s="42">
        <f t="shared" si="116"/>
        <v>0.6</v>
      </c>
      <c r="N588" s="42">
        <f t="shared" si="109"/>
        <v>0.69230769230769229</v>
      </c>
      <c r="O588" s="43">
        <f>'Detailed Results'!I588</f>
        <v>19</v>
      </c>
      <c r="P588" s="43">
        <f>'Detailed Results'!J588</f>
        <v>19</v>
      </c>
      <c r="Q588" s="44">
        <f t="shared" si="110"/>
        <v>1</v>
      </c>
      <c r="R588" s="44">
        <f t="shared" si="117"/>
        <v>0.59375</v>
      </c>
      <c r="S588" s="44">
        <f t="shared" si="111"/>
        <v>0.74509803921568629</v>
      </c>
      <c r="T588" s="45">
        <f>'Detailed Results'!K588</f>
        <v>11</v>
      </c>
      <c r="U588" s="45">
        <f>'Detailed Results'!L588</f>
        <v>6</v>
      </c>
      <c r="V588" s="46">
        <f t="shared" si="112"/>
        <v>0.54545454545454541</v>
      </c>
      <c r="W588" s="46">
        <f t="shared" si="118"/>
        <v>0.4</v>
      </c>
      <c r="X588" s="46">
        <f t="shared" si="113"/>
        <v>0.46153846153846151</v>
      </c>
      <c r="Y588" s="47">
        <f>'Detailed Results'!M588</f>
        <v>19</v>
      </c>
      <c r="Z588" s="47">
        <f>'Detailed Results'!N588</f>
        <v>12</v>
      </c>
      <c r="AA588" s="48">
        <f t="shared" si="114"/>
        <v>0.63157894736842102</v>
      </c>
      <c r="AB588" s="48">
        <f t="shared" si="119"/>
        <v>0.375</v>
      </c>
      <c r="AC588" s="48">
        <f t="shared" si="115"/>
        <v>0.47058823529411764</v>
      </c>
    </row>
    <row r="589" spans="1:29" ht="15" customHeight="1" thickBot="1" x14ac:dyDescent="0.4">
      <c r="A589" s="185"/>
      <c r="B589" s="18" t="s">
        <v>22</v>
      </c>
      <c r="C589" s="19" t="s">
        <v>19</v>
      </c>
      <c r="D589" s="19">
        <v>1</v>
      </c>
      <c r="E589" s="18" t="s">
        <v>109</v>
      </c>
      <c r="F589" s="40">
        <f>'GT Input'!C14</f>
        <v>15</v>
      </c>
      <c r="G589" s="40">
        <f>'GT Input'!D14</f>
        <v>32</v>
      </c>
      <c r="H589" s="40">
        <f>'GT Input'!E14</f>
        <v>15</v>
      </c>
      <c r="I589" s="40">
        <f>'GT Input'!F14</f>
        <v>32</v>
      </c>
      <c r="J589" s="41">
        <f>'Detailed Results'!G589</f>
        <v>13</v>
      </c>
      <c r="K589" s="41">
        <f>'Detailed Results'!H589</f>
        <v>11</v>
      </c>
      <c r="L589" s="42">
        <f t="shared" si="108"/>
        <v>0.84615384615384615</v>
      </c>
      <c r="M589" s="42">
        <f t="shared" si="116"/>
        <v>0.73333333333333328</v>
      </c>
      <c r="N589" s="42">
        <f t="shared" si="109"/>
        <v>0.78571428571428559</v>
      </c>
      <c r="O589" s="43">
        <f>'Detailed Results'!I589</f>
        <v>25</v>
      </c>
      <c r="P589" s="43">
        <f>'Detailed Results'!J589</f>
        <v>18</v>
      </c>
      <c r="Q589" s="44">
        <f t="shared" si="110"/>
        <v>0.72</v>
      </c>
      <c r="R589" s="44">
        <f t="shared" si="117"/>
        <v>0.5625</v>
      </c>
      <c r="S589" s="44">
        <f t="shared" si="111"/>
        <v>0.63157894736842102</v>
      </c>
      <c r="T589" s="45">
        <f>'Detailed Results'!K589</f>
        <v>13</v>
      </c>
      <c r="U589" s="45">
        <f>'Detailed Results'!L589</f>
        <v>9</v>
      </c>
      <c r="V589" s="46">
        <f t="shared" si="112"/>
        <v>0.69230769230769229</v>
      </c>
      <c r="W589" s="46">
        <f t="shared" si="118"/>
        <v>0.6</v>
      </c>
      <c r="X589" s="46">
        <f t="shared" si="113"/>
        <v>0.6428571428571429</v>
      </c>
      <c r="Y589" s="47">
        <f>'Detailed Results'!M589</f>
        <v>25</v>
      </c>
      <c r="Z589" s="47">
        <f>'Detailed Results'!N589</f>
        <v>14</v>
      </c>
      <c r="AA589" s="48">
        <f t="shared" si="114"/>
        <v>0.56000000000000005</v>
      </c>
      <c r="AB589" s="48">
        <f t="shared" si="119"/>
        <v>0.4375</v>
      </c>
      <c r="AC589" s="48">
        <f t="shared" si="115"/>
        <v>0.49122807017543862</v>
      </c>
    </row>
    <row r="590" spans="1:29" ht="15" customHeight="1" thickBot="1" x14ac:dyDescent="0.4">
      <c r="A590" s="185"/>
      <c r="B590" s="16" t="s">
        <v>22</v>
      </c>
      <c r="C590" s="17" t="s">
        <v>19</v>
      </c>
      <c r="D590" s="17">
        <v>2</v>
      </c>
      <c r="E590" s="16" t="s">
        <v>17</v>
      </c>
      <c r="F590" s="40">
        <f>'GT Input'!C14</f>
        <v>15</v>
      </c>
      <c r="G590" s="40">
        <f>'GT Input'!D14</f>
        <v>32</v>
      </c>
      <c r="H590" s="40">
        <f>'GT Input'!E14</f>
        <v>15</v>
      </c>
      <c r="I590" s="40">
        <f>'GT Input'!F14</f>
        <v>32</v>
      </c>
      <c r="J590" s="41">
        <f>'Detailed Results'!G590</f>
        <v>11</v>
      </c>
      <c r="K590" s="41">
        <f>'Detailed Results'!H590</f>
        <v>9</v>
      </c>
      <c r="L590" s="42">
        <f t="shared" si="108"/>
        <v>0.81818181818181823</v>
      </c>
      <c r="M590" s="42">
        <f t="shared" si="116"/>
        <v>0.6</v>
      </c>
      <c r="N590" s="42">
        <f t="shared" si="109"/>
        <v>0.69230769230769229</v>
      </c>
      <c r="O590" s="43">
        <f>'Detailed Results'!I590</f>
        <v>19</v>
      </c>
      <c r="P590" s="43">
        <f>'Detailed Results'!J590</f>
        <v>19</v>
      </c>
      <c r="Q590" s="44">
        <f t="shared" si="110"/>
        <v>1</v>
      </c>
      <c r="R590" s="44">
        <f t="shared" si="117"/>
        <v>0.59375</v>
      </c>
      <c r="S590" s="44">
        <f t="shared" si="111"/>
        <v>0.74509803921568629</v>
      </c>
      <c r="T590" s="45">
        <f>'Detailed Results'!K590</f>
        <v>11</v>
      </c>
      <c r="U590" s="45">
        <f>'Detailed Results'!L590</f>
        <v>7</v>
      </c>
      <c r="V590" s="46">
        <f t="shared" si="112"/>
        <v>0.63636363636363635</v>
      </c>
      <c r="W590" s="46">
        <f t="shared" si="118"/>
        <v>0.46666666666666667</v>
      </c>
      <c r="X590" s="46">
        <f t="shared" si="113"/>
        <v>0.53846153846153855</v>
      </c>
      <c r="Y590" s="47">
        <f>'Detailed Results'!M590</f>
        <v>19</v>
      </c>
      <c r="Z590" s="47">
        <f>'Detailed Results'!N590</f>
        <v>13</v>
      </c>
      <c r="AA590" s="48">
        <f t="shared" si="114"/>
        <v>0.68421052631578949</v>
      </c>
      <c r="AB590" s="48">
        <f t="shared" si="119"/>
        <v>0.40625</v>
      </c>
      <c r="AC590" s="48">
        <f t="shared" si="115"/>
        <v>0.50980392156862753</v>
      </c>
    </row>
    <row r="591" spans="1:29" ht="15" customHeight="1" thickBot="1" x14ac:dyDescent="0.4">
      <c r="A591" s="185"/>
      <c r="B591" s="16" t="s">
        <v>22</v>
      </c>
      <c r="C591" s="17" t="s">
        <v>19</v>
      </c>
      <c r="D591" s="17">
        <v>2</v>
      </c>
      <c r="E591" s="16" t="s">
        <v>109</v>
      </c>
      <c r="F591" s="40">
        <f>'GT Input'!C14</f>
        <v>15</v>
      </c>
      <c r="G591" s="40">
        <f>'GT Input'!D14</f>
        <v>32</v>
      </c>
      <c r="H591" s="40">
        <f>'GT Input'!E14</f>
        <v>15</v>
      </c>
      <c r="I591" s="40">
        <f>'GT Input'!F14</f>
        <v>32</v>
      </c>
      <c r="J591" s="41">
        <f>'Detailed Results'!G591</f>
        <v>13</v>
      </c>
      <c r="K591" s="41">
        <f>'Detailed Results'!H591</f>
        <v>13</v>
      </c>
      <c r="L591" s="42">
        <f t="shared" si="108"/>
        <v>1</v>
      </c>
      <c r="M591" s="42">
        <f t="shared" si="116"/>
        <v>0.8666666666666667</v>
      </c>
      <c r="N591" s="42">
        <f t="shared" si="109"/>
        <v>0.9285714285714286</v>
      </c>
      <c r="O591" s="43">
        <f>'Detailed Results'!I591</f>
        <v>23</v>
      </c>
      <c r="P591" s="43">
        <f>'Detailed Results'!J591</f>
        <v>23</v>
      </c>
      <c r="Q591" s="44">
        <f t="shared" si="110"/>
        <v>1</v>
      </c>
      <c r="R591" s="44">
        <f t="shared" si="117"/>
        <v>0.71875</v>
      </c>
      <c r="S591" s="44">
        <f t="shared" si="111"/>
        <v>0.83636363636363631</v>
      </c>
      <c r="T591" s="45">
        <f>'Detailed Results'!K591</f>
        <v>13</v>
      </c>
      <c r="U591" s="45">
        <f>'Detailed Results'!L591</f>
        <v>9</v>
      </c>
      <c r="V591" s="46">
        <f t="shared" si="112"/>
        <v>0.69230769230769229</v>
      </c>
      <c r="W591" s="46">
        <f t="shared" si="118"/>
        <v>0.6</v>
      </c>
      <c r="X591" s="46">
        <f t="shared" si="113"/>
        <v>0.6428571428571429</v>
      </c>
      <c r="Y591" s="47">
        <f>'Detailed Results'!M591</f>
        <v>23</v>
      </c>
      <c r="Z591" s="47">
        <f>'Detailed Results'!N591</f>
        <v>16</v>
      </c>
      <c r="AA591" s="48">
        <f t="shared" si="114"/>
        <v>0.69565217391304346</v>
      </c>
      <c r="AB591" s="48">
        <f t="shared" si="119"/>
        <v>0.5</v>
      </c>
      <c r="AC591" s="48">
        <f t="shared" si="115"/>
        <v>0.58181818181818179</v>
      </c>
    </row>
    <row r="592" spans="1:29" ht="15" customHeight="1" thickBot="1" x14ac:dyDescent="0.4">
      <c r="A592" s="185"/>
      <c r="B592" s="18" t="s">
        <v>22</v>
      </c>
      <c r="C592" s="19" t="s">
        <v>19</v>
      </c>
      <c r="D592" s="19">
        <v>3</v>
      </c>
      <c r="E592" s="18" t="s">
        <v>17</v>
      </c>
      <c r="F592" s="40">
        <f>'GT Input'!C14</f>
        <v>15</v>
      </c>
      <c r="G592" s="40">
        <f>'GT Input'!D14</f>
        <v>32</v>
      </c>
      <c r="H592" s="40">
        <f>'GT Input'!E14</f>
        <v>15</v>
      </c>
      <c r="I592" s="40">
        <f>'GT Input'!F14</f>
        <v>32</v>
      </c>
      <c r="J592" s="41">
        <f>'Detailed Results'!G592</f>
        <v>11</v>
      </c>
      <c r="K592" s="41">
        <f>'Detailed Results'!H592</f>
        <v>9</v>
      </c>
      <c r="L592" s="42">
        <f t="shared" si="108"/>
        <v>0.81818181818181823</v>
      </c>
      <c r="M592" s="42">
        <f t="shared" si="116"/>
        <v>0.6</v>
      </c>
      <c r="N592" s="42">
        <f t="shared" si="109"/>
        <v>0.69230769230769229</v>
      </c>
      <c r="O592" s="43">
        <f>'Detailed Results'!I592</f>
        <v>7</v>
      </c>
      <c r="P592" s="43">
        <f>'Detailed Results'!J592</f>
        <v>7</v>
      </c>
      <c r="Q592" s="44">
        <f t="shared" si="110"/>
        <v>1</v>
      </c>
      <c r="R592" s="44">
        <f t="shared" si="117"/>
        <v>0.21875</v>
      </c>
      <c r="S592" s="44">
        <f t="shared" si="111"/>
        <v>0.35897435897435898</v>
      </c>
      <c r="T592" s="45">
        <f>'Detailed Results'!K592</f>
        <v>11</v>
      </c>
      <c r="U592" s="45">
        <f>'Detailed Results'!L592</f>
        <v>7</v>
      </c>
      <c r="V592" s="46">
        <f t="shared" si="112"/>
        <v>0.63636363636363635</v>
      </c>
      <c r="W592" s="46">
        <f t="shared" si="118"/>
        <v>0.46666666666666667</v>
      </c>
      <c r="X592" s="46">
        <f t="shared" si="113"/>
        <v>0.53846153846153855</v>
      </c>
      <c r="Y592" s="47">
        <f>'Detailed Results'!M592</f>
        <v>7</v>
      </c>
      <c r="Z592" s="47">
        <f>'Detailed Results'!N592</f>
        <v>7</v>
      </c>
      <c r="AA592" s="48">
        <f t="shared" si="114"/>
        <v>1</v>
      </c>
      <c r="AB592" s="48">
        <f t="shared" si="119"/>
        <v>0.21875</v>
      </c>
      <c r="AC592" s="48">
        <f t="shared" si="115"/>
        <v>0.35897435897435898</v>
      </c>
    </row>
    <row r="593" spans="1:29" ht="15" customHeight="1" thickBot="1" x14ac:dyDescent="0.4">
      <c r="A593" s="185"/>
      <c r="B593" s="18" t="s">
        <v>22</v>
      </c>
      <c r="C593" s="19" t="s">
        <v>19</v>
      </c>
      <c r="D593" s="19">
        <v>3</v>
      </c>
      <c r="E593" s="18" t="s">
        <v>109</v>
      </c>
      <c r="F593" s="40">
        <f>'GT Input'!C14</f>
        <v>15</v>
      </c>
      <c r="G593" s="40">
        <f>'GT Input'!D14</f>
        <v>32</v>
      </c>
      <c r="H593" s="40">
        <f>'GT Input'!E14</f>
        <v>15</v>
      </c>
      <c r="I593" s="40">
        <f>'GT Input'!F14</f>
        <v>32</v>
      </c>
      <c r="J593" s="41">
        <f>'Detailed Results'!G593</f>
        <v>13</v>
      </c>
      <c r="K593" s="41">
        <f>'Detailed Results'!H593</f>
        <v>12</v>
      </c>
      <c r="L593" s="42">
        <f t="shared" si="108"/>
        <v>0.92307692307692313</v>
      </c>
      <c r="M593" s="42">
        <f t="shared" si="116"/>
        <v>0.8</v>
      </c>
      <c r="N593" s="42">
        <f t="shared" si="109"/>
        <v>0.8571428571428571</v>
      </c>
      <c r="O593" s="43">
        <f>'Detailed Results'!I593</f>
        <v>25</v>
      </c>
      <c r="P593" s="43">
        <f>'Detailed Results'!J593</f>
        <v>18</v>
      </c>
      <c r="Q593" s="44">
        <f t="shared" si="110"/>
        <v>0.72</v>
      </c>
      <c r="R593" s="44">
        <f t="shared" si="117"/>
        <v>0.5625</v>
      </c>
      <c r="S593" s="44">
        <f t="shared" si="111"/>
        <v>0.63157894736842102</v>
      </c>
      <c r="T593" s="45">
        <f>'Detailed Results'!K593</f>
        <v>13</v>
      </c>
      <c r="U593" s="45">
        <f>'Detailed Results'!L593</f>
        <v>11</v>
      </c>
      <c r="V593" s="46">
        <f t="shared" si="112"/>
        <v>0.84615384615384615</v>
      </c>
      <c r="W593" s="46">
        <f t="shared" si="118"/>
        <v>0.73333333333333328</v>
      </c>
      <c r="X593" s="46">
        <f t="shared" si="113"/>
        <v>0.78571428571428559</v>
      </c>
      <c r="Y593" s="47">
        <f>'Detailed Results'!M593</f>
        <v>25</v>
      </c>
      <c r="Z593" s="47">
        <f>'Detailed Results'!N593</f>
        <v>16</v>
      </c>
      <c r="AA593" s="48">
        <f t="shared" si="114"/>
        <v>0.64</v>
      </c>
      <c r="AB593" s="48">
        <f t="shared" si="119"/>
        <v>0.5</v>
      </c>
      <c r="AC593" s="48">
        <f t="shared" si="115"/>
        <v>0.56140350877192979</v>
      </c>
    </row>
    <row r="594" spans="1:29" ht="15" customHeight="1" thickBot="1" x14ac:dyDescent="0.4">
      <c r="A594" s="185"/>
      <c r="B594" s="16" t="s">
        <v>22</v>
      </c>
      <c r="C594" s="17" t="s">
        <v>20</v>
      </c>
      <c r="D594" s="17">
        <v>1</v>
      </c>
      <c r="E594" s="16" t="s">
        <v>17</v>
      </c>
      <c r="F594" s="40">
        <f>'GT Input'!C14</f>
        <v>15</v>
      </c>
      <c r="G594" s="40">
        <f>'GT Input'!D14</f>
        <v>32</v>
      </c>
      <c r="H594" s="40">
        <f>'GT Input'!E14</f>
        <v>15</v>
      </c>
      <c r="I594" s="40">
        <f>'GT Input'!F14</f>
        <v>32</v>
      </c>
      <c r="J594" s="41">
        <f>'Detailed Results'!G594</f>
        <v>11</v>
      </c>
      <c r="K594" s="41">
        <f>'Detailed Results'!H594</f>
        <v>9</v>
      </c>
      <c r="L594" s="42">
        <f t="shared" si="108"/>
        <v>0.81818181818181823</v>
      </c>
      <c r="M594" s="42">
        <f t="shared" si="116"/>
        <v>0.6</v>
      </c>
      <c r="N594" s="42">
        <f t="shared" si="109"/>
        <v>0.69230769230769229</v>
      </c>
      <c r="O594" s="43">
        <f>'Detailed Results'!I594</f>
        <v>19</v>
      </c>
      <c r="P594" s="43">
        <f>'Detailed Results'!J594</f>
        <v>19</v>
      </c>
      <c r="Q594" s="44">
        <f t="shared" si="110"/>
        <v>1</v>
      </c>
      <c r="R594" s="44">
        <f t="shared" si="117"/>
        <v>0.59375</v>
      </c>
      <c r="S594" s="44">
        <f t="shared" si="111"/>
        <v>0.74509803921568629</v>
      </c>
      <c r="T594" s="45">
        <f>'Detailed Results'!K594</f>
        <v>11</v>
      </c>
      <c r="U594" s="45">
        <f>'Detailed Results'!L594</f>
        <v>7</v>
      </c>
      <c r="V594" s="46">
        <f t="shared" si="112"/>
        <v>0.63636363636363635</v>
      </c>
      <c r="W594" s="46">
        <f t="shared" si="118"/>
        <v>0.46666666666666667</v>
      </c>
      <c r="X594" s="46">
        <f t="shared" si="113"/>
        <v>0.53846153846153855</v>
      </c>
      <c r="Y594" s="47">
        <f>'Detailed Results'!M594</f>
        <v>19</v>
      </c>
      <c r="Z594" s="47">
        <f>'Detailed Results'!N594</f>
        <v>12</v>
      </c>
      <c r="AA594" s="48">
        <f t="shared" si="114"/>
        <v>0.63157894736842102</v>
      </c>
      <c r="AB594" s="48">
        <f t="shared" si="119"/>
        <v>0.375</v>
      </c>
      <c r="AC594" s="48">
        <f t="shared" si="115"/>
        <v>0.47058823529411764</v>
      </c>
    </row>
    <row r="595" spans="1:29" ht="15" customHeight="1" thickBot="1" x14ac:dyDescent="0.4">
      <c r="A595" s="185"/>
      <c r="B595" s="16" t="s">
        <v>22</v>
      </c>
      <c r="C595" s="17" t="s">
        <v>20</v>
      </c>
      <c r="D595" s="17">
        <v>1</v>
      </c>
      <c r="E595" s="16" t="s">
        <v>109</v>
      </c>
      <c r="F595" s="40">
        <f>'GT Input'!C14</f>
        <v>15</v>
      </c>
      <c r="G595" s="40">
        <f>'GT Input'!D14</f>
        <v>32</v>
      </c>
      <c r="H595" s="40">
        <f>'GT Input'!E14</f>
        <v>15</v>
      </c>
      <c r="I595" s="40">
        <f>'GT Input'!F14</f>
        <v>32</v>
      </c>
      <c r="J595" s="41">
        <f>'Detailed Results'!G595</f>
        <v>13</v>
      </c>
      <c r="K595" s="41">
        <f>'Detailed Results'!H595</f>
        <v>12</v>
      </c>
      <c r="L595" s="42">
        <f t="shared" si="108"/>
        <v>0.92307692307692313</v>
      </c>
      <c r="M595" s="42">
        <f t="shared" si="116"/>
        <v>0.8</v>
      </c>
      <c r="N595" s="42">
        <f t="shared" si="109"/>
        <v>0.8571428571428571</v>
      </c>
      <c r="O595" s="43">
        <f>'Detailed Results'!I595</f>
        <v>20</v>
      </c>
      <c r="P595" s="43">
        <f>'Detailed Results'!J595</f>
        <v>20</v>
      </c>
      <c r="Q595" s="44">
        <f t="shared" si="110"/>
        <v>1</v>
      </c>
      <c r="R595" s="44">
        <f t="shared" si="117"/>
        <v>0.625</v>
      </c>
      <c r="S595" s="44">
        <f t="shared" si="111"/>
        <v>0.76923076923076927</v>
      </c>
      <c r="T595" s="45">
        <f>'Detailed Results'!K595</f>
        <v>13</v>
      </c>
      <c r="U595" s="45">
        <f>'Detailed Results'!L595</f>
        <v>11</v>
      </c>
      <c r="V595" s="46">
        <f t="shared" si="112"/>
        <v>0.84615384615384615</v>
      </c>
      <c r="W595" s="46">
        <f t="shared" si="118"/>
        <v>0.73333333333333328</v>
      </c>
      <c r="X595" s="46">
        <f t="shared" si="113"/>
        <v>0.78571428571428559</v>
      </c>
      <c r="Y595" s="47">
        <f>'Detailed Results'!M595</f>
        <v>20</v>
      </c>
      <c r="Z595" s="47">
        <f>'Detailed Results'!N595</f>
        <v>11</v>
      </c>
      <c r="AA595" s="48">
        <f t="shared" si="114"/>
        <v>0.55000000000000004</v>
      </c>
      <c r="AB595" s="48">
        <f t="shared" si="119"/>
        <v>0.34375</v>
      </c>
      <c r="AC595" s="48">
        <f t="shared" si="115"/>
        <v>0.42307692307692313</v>
      </c>
    </row>
    <row r="596" spans="1:29" ht="15" customHeight="1" thickBot="1" x14ac:dyDescent="0.4">
      <c r="A596" s="185"/>
      <c r="B596" s="18" t="s">
        <v>22</v>
      </c>
      <c r="C596" s="19" t="s">
        <v>20</v>
      </c>
      <c r="D596" s="19">
        <v>2</v>
      </c>
      <c r="E596" s="18" t="s">
        <v>17</v>
      </c>
      <c r="F596" s="40">
        <f>'GT Input'!C14</f>
        <v>15</v>
      </c>
      <c r="G596" s="40">
        <f>'GT Input'!D14</f>
        <v>32</v>
      </c>
      <c r="H596" s="40">
        <f>'GT Input'!E14</f>
        <v>15</v>
      </c>
      <c r="I596" s="40">
        <f>'GT Input'!F14</f>
        <v>32</v>
      </c>
      <c r="J596" s="41">
        <f>'Detailed Results'!G596</f>
        <v>13</v>
      </c>
      <c r="K596" s="41">
        <f>'Detailed Results'!H596</f>
        <v>10</v>
      </c>
      <c r="L596" s="42">
        <f t="shared" si="108"/>
        <v>0.76923076923076927</v>
      </c>
      <c r="M596" s="42">
        <f t="shared" si="116"/>
        <v>0.66666666666666663</v>
      </c>
      <c r="N596" s="42">
        <f t="shared" si="109"/>
        <v>0.71428571428571419</v>
      </c>
      <c r="O596" s="43">
        <f>'Detailed Results'!I596</f>
        <v>20</v>
      </c>
      <c r="P596" s="43">
        <f>'Detailed Results'!J596</f>
        <v>20</v>
      </c>
      <c r="Q596" s="44">
        <f t="shared" si="110"/>
        <v>1</v>
      </c>
      <c r="R596" s="44">
        <f t="shared" si="117"/>
        <v>0.625</v>
      </c>
      <c r="S596" s="44">
        <f t="shared" si="111"/>
        <v>0.76923076923076927</v>
      </c>
      <c r="T596" s="45">
        <f>'Detailed Results'!K596</f>
        <v>13</v>
      </c>
      <c r="U596" s="45">
        <f>'Detailed Results'!L596</f>
        <v>8</v>
      </c>
      <c r="V596" s="46">
        <f t="shared" si="112"/>
        <v>0.61538461538461542</v>
      </c>
      <c r="W596" s="46">
        <f t="shared" si="118"/>
        <v>0.53333333333333333</v>
      </c>
      <c r="X596" s="46">
        <f t="shared" si="113"/>
        <v>0.57142857142857151</v>
      </c>
      <c r="Y596" s="47">
        <f>'Detailed Results'!M596</f>
        <v>20</v>
      </c>
      <c r="Z596" s="47">
        <f>'Detailed Results'!N596</f>
        <v>12</v>
      </c>
      <c r="AA596" s="48">
        <f t="shared" si="114"/>
        <v>0.6</v>
      </c>
      <c r="AB596" s="48">
        <f t="shared" si="119"/>
        <v>0.375</v>
      </c>
      <c r="AC596" s="48">
        <f t="shared" si="115"/>
        <v>0.46153846153846151</v>
      </c>
    </row>
    <row r="597" spans="1:29" ht="15" customHeight="1" thickBot="1" x14ac:dyDescent="0.4">
      <c r="A597" s="185"/>
      <c r="B597" s="18" t="s">
        <v>22</v>
      </c>
      <c r="C597" s="19" t="s">
        <v>20</v>
      </c>
      <c r="D597" s="19">
        <v>2</v>
      </c>
      <c r="E597" s="18" t="s">
        <v>109</v>
      </c>
      <c r="F597" s="40">
        <f>'GT Input'!C14</f>
        <v>15</v>
      </c>
      <c r="G597" s="40">
        <f>'GT Input'!D14</f>
        <v>32</v>
      </c>
      <c r="H597" s="40">
        <f>'GT Input'!E14</f>
        <v>15</v>
      </c>
      <c r="I597" s="40">
        <f>'GT Input'!F14</f>
        <v>32</v>
      </c>
      <c r="J597" s="41">
        <f>'Detailed Results'!G597</f>
        <v>9</v>
      </c>
      <c r="K597" s="41">
        <f>'Detailed Results'!H597</f>
        <v>6</v>
      </c>
      <c r="L597" s="42">
        <f t="shared" si="108"/>
        <v>0.66666666666666663</v>
      </c>
      <c r="M597" s="42">
        <f t="shared" si="116"/>
        <v>0.4</v>
      </c>
      <c r="N597" s="42">
        <f t="shared" si="109"/>
        <v>0.5</v>
      </c>
      <c r="O597" s="43">
        <f>'Detailed Results'!I597</f>
        <v>10</v>
      </c>
      <c r="P597" s="43">
        <f>'Detailed Results'!J597</f>
        <v>10</v>
      </c>
      <c r="Q597" s="44">
        <f t="shared" si="110"/>
        <v>1</v>
      </c>
      <c r="R597" s="44">
        <f t="shared" si="117"/>
        <v>0.3125</v>
      </c>
      <c r="S597" s="44">
        <f t="shared" si="111"/>
        <v>0.47619047619047616</v>
      </c>
      <c r="T597" s="45">
        <f>'Detailed Results'!K597</f>
        <v>9</v>
      </c>
      <c r="U597" s="45">
        <f>'Detailed Results'!L597</f>
        <v>3</v>
      </c>
      <c r="V597" s="46">
        <f t="shared" si="112"/>
        <v>0.33333333333333331</v>
      </c>
      <c r="W597" s="46">
        <f t="shared" si="118"/>
        <v>0.2</v>
      </c>
      <c r="X597" s="46">
        <f t="shared" si="113"/>
        <v>0.25</v>
      </c>
      <c r="Y597" s="47">
        <f>'Detailed Results'!M597</f>
        <v>10</v>
      </c>
      <c r="Z597" s="47">
        <f>'Detailed Results'!N597</f>
        <v>4</v>
      </c>
      <c r="AA597" s="48">
        <f t="shared" si="114"/>
        <v>0.4</v>
      </c>
      <c r="AB597" s="48">
        <f t="shared" si="119"/>
        <v>0.125</v>
      </c>
      <c r="AC597" s="48">
        <f t="shared" si="115"/>
        <v>0.19047619047619047</v>
      </c>
    </row>
    <row r="598" spans="1:29" ht="15" customHeight="1" thickBot="1" x14ac:dyDescent="0.4">
      <c r="A598" s="185"/>
      <c r="B598" s="16" t="s">
        <v>22</v>
      </c>
      <c r="C598" s="17" t="s">
        <v>20</v>
      </c>
      <c r="D598" s="17">
        <v>3</v>
      </c>
      <c r="E598" s="16" t="s">
        <v>17</v>
      </c>
      <c r="F598" s="40">
        <f>'GT Input'!C14</f>
        <v>15</v>
      </c>
      <c r="G598" s="40">
        <f>'GT Input'!D14</f>
        <v>32</v>
      </c>
      <c r="H598" s="40">
        <f>'GT Input'!E14</f>
        <v>15</v>
      </c>
      <c r="I598" s="40">
        <f>'GT Input'!F14</f>
        <v>32</v>
      </c>
      <c r="J598" s="41">
        <f>'Detailed Results'!G598</f>
        <v>11</v>
      </c>
      <c r="K598" s="41">
        <f>'Detailed Results'!H598</f>
        <v>9</v>
      </c>
      <c r="L598" s="42">
        <f t="shared" si="108"/>
        <v>0.81818181818181823</v>
      </c>
      <c r="M598" s="42">
        <f t="shared" si="116"/>
        <v>0.6</v>
      </c>
      <c r="N598" s="42">
        <f t="shared" si="109"/>
        <v>0.69230769230769229</v>
      </c>
      <c r="O598" s="43">
        <f>'Detailed Results'!I598</f>
        <v>19</v>
      </c>
      <c r="P598" s="43">
        <f>'Detailed Results'!J598</f>
        <v>19</v>
      </c>
      <c r="Q598" s="44">
        <f t="shared" si="110"/>
        <v>1</v>
      </c>
      <c r="R598" s="44">
        <f t="shared" si="117"/>
        <v>0.59375</v>
      </c>
      <c r="S598" s="44">
        <f t="shared" si="111"/>
        <v>0.74509803921568629</v>
      </c>
      <c r="T598" s="45">
        <f>'Detailed Results'!K598</f>
        <v>11</v>
      </c>
      <c r="U598" s="45">
        <f>'Detailed Results'!L598</f>
        <v>6</v>
      </c>
      <c r="V598" s="46">
        <f t="shared" si="112"/>
        <v>0.54545454545454541</v>
      </c>
      <c r="W598" s="46">
        <f t="shared" si="118"/>
        <v>0.4</v>
      </c>
      <c r="X598" s="46">
        <f t="shared" si="113"/>
        <v>0.46153846153846151</v>
      </c>
      <c r="Y598" s="47">
        <f>'Detailed Results'!M598</f>
        <v>19</v>
      </c>
      <c r="Z598" s="47">
        <f>'Detailed Results'!N598</f>
        <v>11</v>
      </c>
      <c r="AA598" s="48">
        <f t="shared" si="114"/>
        <v>0.57894736842105265</v>
      </c>
      <c r="AB598" s="48">
        <f t="shared" si="119"/>
        <v>0.34375</v>
      </c>
      <c r="AC598" s="48">
        <f t="shared" si="115"/>
        <v>0.43137254901960781</v>
      </c>
    </row>
    <row r="599" spans="1:29" s="64" customFormat="1" ht="15" customHeight="1" thickBot="1" x14ac:dyDescent="0.4">
      <c r="A599" s="185"/>
      <c r="B599" s="53" t="s">
        <v>22</v>
      </c>
      <c r="C599" s="54" t="s">
        <v>20</v>
      </c>
      <c r="D599" s="54">
        <v>3</v>
      </c>
      <c r="E599" s="53" t="s">
        <v>109</v>
      </c>
      <c r="F599" s="55">
        <f>'GT Input'!C14</f>
        <v>15</v>
      </c>
      <c r="G599" s="55">
        <f>'GT Input'!D14</f>
        <v>32</v>
      </c>
      <c r="H599" s="55">
        <f>'GT Input'!E14</f>
        <v>15</v>
      </c>
      <c r="I599" s="55">
        <f>'GT Input'!F14</f>
        <v>32</v>
      </c>
      <c r="J599" s="56">
        <f>'Detailed Results'!G599</f>
        <v>13</v>
      </c>
      <c r="K599" s="56">
        <f>'Detailed Results'!H599</f>
        <v>13</v>
      </c>
      <c r="L599" s="57">
        <f t="shared" si="108"/>
        <v>1</v>
      </c>
      <c r="M599" s="57">
        <f t="shared" si="116"/>
        <v>0.8666666666666667</v>
      </c>
      <c r="N599" s="57">
        <f t="shared" si="109"/>
        <v>0.9285714285714286</v>
      </c>
      <c r="O599" s="58">
        <f>'Detailed Results'!I599</f>
        <v>24</v>
      </c>
      <c r="P599" s="58">
        <f>'Detailed Results'!J599</f>
        <v>24</v>
      </c>
      <c r="Q599" s="59">
        <f t="shared" si="110"/>
        <v>1</v>
      </c>
      <c r="R599" s="59">
        <f t="shared" si="117"/>
        <v>0.75</v>
      </c>
      <c r="S599" s="59">
        <f t="shared" si="111"/>
        <v>0.8571428571428571</v>
      </c>
      <c r="T599" s="60">
        <f>'Detailed Results'!K599</f>
        <v>13</v>
      </c>
      <c r="U599" s="60">
        <f>'Detailed Results'!L599</f>
        <v>9</v>
      </c>
      <c r="V599" s="61">
        <f t="shared" si="112"/>
        <v>0.69230769230769229</v>
      </c>
      <c r="W599" s="61">
        <f t="shared" si="118"/>
        <v>0.6</v>
      </c>
      <c r="X599" s="61">
        <f t="shared" si="113"/>
        <v>0.6428571428571429</v>
      </c>
      <c r="Y599" s="62">
        <f>'Detailed Results'!M599</f>
        <v>24</v>
      </c>
      <c r="Z599" s="62">
        <f>'Detailed Results'!N599</f>
        <v>16</v>
      </c>
      <c r="AA599" s="63">
        <f t="shared" si="114"/>
        <v>0.66666666666666663</v>
      </c>
      <c r="AB599" s="63">
        <f t="shared" si="119"/>
        <v>0.5</v>
      </c>
      <c r="AC599" s="63">
        <f t="shared" si="115"/>
        <v>0.57142857142857151</v>
      </c>
    </row>
    <row r="600" spans="1:29" ht="15" customHeight="1" thickBot="1" x14ac:dyDescent="0.4">
      <c r="A600" s="185" t="s">
        <v>33</v>
      </c>
      <c r="B600" s="65" t="s">
        <v>15</v>
      </c>
      <c r="C600" s="66" t="s">
        <v>16</v>
      </c>
      <c r="D600" s="66">
        <v>1</v>
      </c>
      <c r="E600" s="65" t="s">
        <v>17</v>
      </c>
      <c r="F600" s="67">
        <f>'GT Input'!C15</f>
        <v>13</v>
      </c>
      <c r="G600" s="67">
        <f>'GT Input'!D15</f>
        <v>18</v>
      </c>
      <c r="H600" s="67">
        <f>'GT Input'!E15</f>
        <v>13</v>
      </c>
      <c r="I600" s="67">
        <f>'GT Input'!F15</f>
        <v>18</v>
      </c>
      <c r="J600" s="68">
        <f>'Detailed Results'!G600</f>
        <v>9</v>
      </c>
      <c r="K600" s="68">
        <f>'Detailed Results'!H600</f>
        <v>9</v>
      </c>
      <c r="L600" s="69">
        <f t="shared" si="108"/>
        <v>1</v>
      </c>
      <c r="M600" s="69">
        <f t="shared" si="116"/>
        <v>0.69230769230769229</v>
      </c>
      <c r="N600" s="69">
        <f t="shared" si="109"/>
        <v>0.81818181818181812</v>
      </c>
      <c r="O600" s="70">
        <f>'Detailed Results'!I600</f>
        <v>12</v>
      </c>
      <c r="P600" s="70">
        <f>'Detailed Results'!J600</f>
        <v>12</v>
      </c>
      <c r="Q600" s="71">
        <f t="shared" si="110"/>
        <v>1</v>
      </c>
      <c r="R600" s="71">
        <f t="shared" si="117"/>
        <v>0.66666666666666663</v>
      </c>
      <c r="S600" s="71">
        <f t="shared" si="111"/>
        <v>0.8</v>
      </c>
      <c r="T600" s="72">
        <f>'Detailed Results'!K600</f>
        <v>9</v>
      </c>
      <c r="U600" s="72">
        <f>'Detailed Results'!L600</f>
        <v>9</v>
      </c>
      <c r="V600" s="73">
        <f t="shared" si="112"/>
        <v>1</v>
      </c>
      <c r="W600" s="73">
        <f t="shared" si="118"/>
        <v>0.69230769230769229</v>
      </c>
      <c r="X600" s="73">
        <f t="shared" si="113"/>
        <v>0.81818181818181812</v>
      </c>
      <c r="Y600" s="74">
        <f>'Detailed Results'!M600</f>
        <v>12</v>
      </c>
      <c r="Z600" s="74">
        <f>'Detailed Results'!N600</f>
        <v>12</v>
      </c>
      <c r="AA600" s="75">
        <f t="shared" si="114"/>
        <v>1</v>
      </c>
      <c r="AB600" s="75">
        <f t="shared" si="119"/>
        <v>0.66666666666666663</v>
      </c>
      <c r="AC600" s="75">
        <f t="shared" si="115"/>
        <v>0.8</v>
      </c>
    </row>
    <row r="601" spans="1:29" ht="15" customHeight="1" thickBot="1" x14ac:dyDescent="0.4">
      <c r="A601" s="185"/>
      <c r="B601" s="7" t="s">
        <v>15</v>
      </c>
      <c r="C601" s="8" t="s">
        <v>16</v>
      </c>
      <c r="D601" s="8">
        <v>1</v>
      </c>
      <c r="E601" s="7" t="s">
        <v>109</v>
      </c>
      <c r="F601" s="40">
        <f>'GT Input'!C15</f>
        <v>13</v>
      </c>
      <c r="G601" s="40">
        <f>'GT Input'!D15</f>
        <v>18</v>
      </c>
      <c r="H601" s="40">
        <f>'GT Input'!E15</f>
        <v>13</v>
      </c>
      <c r="I601" s="40">
        <f>'GT Input'!F15</f>
        <v>18</v>
      </c>
      <c r="J601" s="41">
        <f>'Detailed Results'!G601</f>
        <v>11</v>
      </c>
      <c r="K601" s="41">
        <f>'Detailed Results'!H601</f>
        <v>11</v>
      </c>
      <c r="L601" s="42">
        <f t="shared" si="108"/>
        <v>1</v>
      </c>
      <c r="M601" s="42">
        <f t="shared" si="116"/>
        <v>0.84615384615384615</v>
      </c>
      <c r="N601" s="42">
        <f t="shared" si="109"/>
        <v>0.91666666666666663</v>
      </c>
      <c r="O601" s="43">
        <f>'Detailed Results'!I601</f>
        <v>15</v>
      </c>
      <c r="P601" s="43">
        <f>'Detailed Results'!J601</f>
        <v>15</v>
      </c>
      <c r="Q601" s="44">
        <f t="shared" si="110"/>
        <v>1</v>
      </c>
      <c r="R601" s="44">
        <f t="shared" si="117"/>
        <v>0.83333333333333337</v>
      </c>
      <c r="S601" s="44">
        <f t="shared" si="111"/>
        <v>0.90909090909090906</v>
      </c>
      <c r="T601" s="45">
        <f>'Detailed Results'!K601</f>
        <v>11</v>
      </c>
      <c r="U601" s="45">
        <f>'Detailed Results'!L601</f>
        <v>10</v>
      </c>
      <c r="V601" s="46">
        <f t="shared" si="112"/>
        <v>0.90909090909090906</v>
      </c>
      <c r="W601" s="46">
        <f t="shared" si="118"/>
        <v>0.76923076923076927</v>
      </c>
      <c r="X601" s="46">
        <f t="shared" si="113"/>
        <v>0.83333333333333326</v>
      </c>
      <c r="Y601" s="47">
        <f>'Detailed Results'!M601</f>
        <v>15</v>
      </c>
      <c r="Z601" s="47">
        <f>'Detailed Results'!N601</f>
        <v>15</v>
      </c>
      <c r="AA601" s="48">
        <f t="shared" si="114"/>
        <v>1</v>
      </c>
      <c r="AB601" s="48">
        <f t="shared" si="119"/>
        <v>0.83333333333333337</v>
      </c>
      <c r="AC601" s="48">
        <f t="shared" si="115"/>
        <v>0.90909090909090906</v>
      </c>
    </row>
    <row r="602" spans="1:29" ht="15" customHeight="1" thickBot="1" x14ac:dyDescent="0.4">
      <c r="A602" s="185"/>
      <c r="B602" s="10" t="s">
        <v>15</v>
      </c>
      <c r="C602" s="11" t="s">
        <v>16</v>
      </c>
      <c r="D602" s="11">
        <v>2</v>
      </c>
      <c r="E602" s="10" t="s">
        <v>17</v>
      </c>
      <c r="F602" s="40">
        <f>'GT Input'!C15</f>
        <v>13</v>
      </c>
      <c r="G602" s="40">
        <f>'GT Input'!D15</f>
        <v>18</v>
      </c>
      <c r="H602" s="40">
        <f>'GT Input'!E15</f>
        <v>13</v>
      </c>
      <c r="I602" s="40">
        <f>'GT Input'!F15</f>
        <v>18</v>
      </c>
      <c r="J602" s="41">
        <f>'Detailed Results'!G602</f>
        <v>9</v>
      </c>
      <c r="K602" s="41">
        <f>'Detailed Results'!H602</f>
        <v>9</v>
      </c>
      <c r="L602" s="42">
        <f t="shared" si="108"/>
        <v>1</v>
      </c>
      <c r="M602" s="42">
        <f t="shared" si="116"/>
        <v>0.69230769230769229</v>
      </c>
      <c r="N602" s="42">
        <f t="shared" si="109"/>
        <v>0.81818181818181812</v>
      </c>
      <c r="O602" s="43">
        <f>'Detailed Results'!I602</f>
        <v>12</v>
      </c>
      <c r="P602" s="43">
        <f>'Detailed Results'!J602</f>
        <v>12</v>
      </c>
      <c r="Q602" s="44">
        <f t="shared" si="110"/>
        <v>1</v>
      </c>
      <c r="R602" s="44">
        <f t="shared" si="117"/>
        <v>0.66666666666666663</v>
      </c>
      <c r="S602" s="44">
        <f t="shared" si="111"/>
        <v>0.8</v>
      </c>
      <c r="T602" s="45">
        <f>'Detailed Results'!K602</f>
        <v>9</v>
      </c>
      <c r="U602" s="45">
        <f>'Detailed Results'!L602</f>
        <v>9</v>
      </c>
      <c r="V602" s="46">
        <f t="shared" si="112"/>
        <v>1</v>
      </c>
      <c r="W602" s="46">
        <f t="shared" si="118"/>
        <v>0.69230769230769229</v>
      </c>
      <c r="X602" s="46">
        <f t="shared" si="113"/>
        <v>0.81818181818181812</v>
      </c>
      <c r="Y602" s="47">
        <f>'Detailed Results'!M602</f>
        <v>12</v>
      </c>
      <c r="Z602" s="47">
        <f>'Detailed Results'!N602</f>
        <v>12</v>
      </c>
      <c r="AA602" s="48">
        <f t="shared" si="114"/>
        <v>1</v>
      </c>
      <c r="AB602" s="48">
        <f t="shared" si="119"/>
        <v>0.66666666666666663</v>
      </c>
      <c r="AC602" s="48">
        <f t="shared" si="115"/>
        <v>0.8</v>
      </c>
    </row>
    <row r="603" spans="1:29" ht="15" customHeight="1" thickBot="1" x14ac:dyDescent="0.4">
      <c r="A603" s="185"/>
      <c r="B603" s="10" t="s">
        <v>15</v>
      </c>
      <c r="C603" s="11" t="s">
        <v>16</v>
      </c>
      <c r="D603" s="11">
        <v>2</v>
      </c>
      <c r="E603" s="10" t="s">
        <v>109</v>
      </c>
      <c r="F603" s="40">
        <f>'GT Input'!C15</f>
        <v>13</v>
      </c>
      <c r="G603" s="40">
        <f>'GT Input'!D15</f>
        <v>18</v>
      </c>
      <c r="H603" s="40">
        <f>'GT Input'!E15</f>
        <v>13</v>
      </c>
      <c r="I603" s="40">
        <f>'GT Input'!F15</f>
        <v>18</v>
      </c>
      <c r="J603" s="41">
        <f>'Detailed Results'!G603</f>
        <v>11</v>
      </c>
      <c r="K603" s="41">
        <f>'Detailed Results'!H603</f>
        <v>11</v>
      </c>
      <c r="L603" s="42">
        <f t="shared" si="108"/>
        <v>1</v>
      </c>
      <c r="M603" s="42">
        <f t="shared" si="116"/>
        <v>0.84615384615384615</v>
      </c>
      <c r="N603" s="42">
        <f t="shared" si="109"/>
        <v>0.91666666666666663</v>
      </c>
      <c r="O603" s="43">
        <f>'Detailed Results'!I603</f>
        <v>15</v>
      </c>
      <c r="P603" s="43">
        <f>'Detailed Results'!J603</f>
        <v>15</v>
      </c>
      <c r="Q603" s="44">
        <f t="shared" si="110"/>
        <v>1</v>
      </c>
      <c r="R603" s="44">
        <f t="shared" si="117"/>
        <v>0.83333333333333337</v>
      </c>
      <c r="S603" s="44">
        <f t="shared" si="111"/>
        <v>0.90909090909090906</v>
      </c>
      <c r="T603" s="45">
        <f>'Detailed Results'!K603</f>
        <v>11</v>
      </c>
      <c r="U603" s="45">
        <f>'Detailed Results'!L603</f>
        <v>10</v>
      </c>
      <c r="V603" s="46">
        <f t="shared" si="112"/>
        <v>0.90909090909090906</v>
      </c>
      <c r="W603" s="46">
        <f t="shared" si="118"/>
        <v>0.76923076923076927</v>
      </c>
      <c r="X603" s="46">
        <f t="shared" si="113"/>
        <v>0.83333333333333326</v>
      </c>
      <c r="Y603" s="47">
        <f>'Detailed Results'!M603</f>
        <v>15</v>
      </c>
      <c r="Z603" s="47">
        <f>'Detailed Results'!N603</f>
        <v>15</v>
      </c>
      <c r="AA603" s="48">
        <f t="shared" si="114"/>
        <v>1</v>
      </c>
      <c r="AB603" s="48">
        <f t="shared" si="119"/>
        <v>0.83333333333333337</v>
      </c>
      <c r="AC603" s="48">
        <f t="shared" si="115"/>
        <v>0.90909090909090906</v>
      </c>
    </row>
    <row r="604" spans="1:29" ht="15" customHeight="1" thickBot="1" x14ac:dyDescent="0.4">
      <c r="A604" s="185"/>
      <c r="B604" s="7" t="s">
        <v>15</v>
      </c>
      <c r="C604" s="8" t="s">
        <v>16</v>
      </c>
      <c r="D604" s="8">
        <v>3</v>
      </c>
      <c r="E604" s="7" t="s">
        <v>17</v>
      </c>
      <c r="F604" s="40">
        <f>'GT Input'!C15</f>
        <v>13</v>
      </c>
      <c r="G604" s="40">
        <f>'GT Input'!D15</f>
        <v>18</v>
      </c>
      <c r="H604" s="40">
        <f>'GT Input'!E15</f>
        <v>13</v>
      </c>
      <c r="I604" s="40">
        <f>'GT Input'!F15</f>
        <v>18</v>
      </c>
      <c r="J604" s="41">
        <f>'Detailed Results'!G604</f>
        <v>11</v>
      </c>
      <c r="K604" s="41">
        <f>'Detailed Results'!H604</f>
        <v>11</v>
      </c>
      <c r="L604" s="42">
        <f t="shared" si="108"/>
        <v>1</v>
      </c>
      <c r="M604" s="42">
        <f t="shared" si="116"/>
        <v>0.84615384615384615</v>
      </c>
      <c r="N604" s="42">
        <f t="shared" si="109"/>
        <v>0.91666666666666663</v>
      </c>
      <c r="O604" s="43">
        <f>'Detailed Results'!I604</f>
        <v>15</v>
      </c>
      <c r="P604" s="43">
        <f>'Detailed Results'!J604</f>
        <v>15</v>
      </c>
      <c r="Q604" s="44">
        <f t="shared" si="110"/>
        <v>1</v>
      </c>
      <c r="R604" s="44">
        <f t="shared" si="117"/>
        <v>0.83333333333333337</v>
      </c>
      <c r="S604" s="44">
        <f t="shared" si="111"/>
        <v>0.90909090909090906</v>
      </c>
      <c r="T604" s="45">
        <f>'Detailed Results'!K604</f>
        <v>11</v>
      </c>
      <c r="U604" s="45">
        <f>'Detailed Results'!L604</f>
        <v>10</v>
      </c>
      <c r="V604" s="46">
        <f t="shared" si="112"/>
        <v>0.90909090909090906</v>
      </c>
      <c r="W604" s="46">
        <f t="shared" si="118"/>
        <v>0.76923076923076927</v>
      </c>
      <c r="X604" s="46">
        <f t="shared" si="113"/>
        <v>0.83333333333333326</v>
      </c>
      <c r="Y604" s="47">
        <f>'Detailed Results'!M604</f>
        <v>15</v>
      </c>
      <c r="Z604" s="47">
        <f>'Detailed Results'!N604</f>
        <v>15</v>
      </c>
      <c r="AA604" s="48">
        <f t="shared" si="114"/>
        <v>1</v>
      </c>
      <c r="AB604" s="48">
        <f t="shared" si="119"/>
        <v>0.83333333333333337</v>
      </c>
      <c r="AC604" s="48">
        <f t="shared" si="115"/>
        <v>0.90909090909090906</v>
      </c>
    </row>
    <row r="605" spans="1:29" ht="15" customHeight="1" thickBot="1" x14ac:dyDescent="0.4">
      <c r="A605" s="185"/>
      <c r="B605" s="7" t="s">
        <v>15</v>
      </c>
      <c r="C605" s="8" t="s">
        <v>16</v>
      </c>
      <c r="D605" s="8">
        <v>3</v>
      </c>
      <c r="E605" s="7" t="s">
        <v>109</v>
      </c>
      <c r="F605" s="40">
        <f>'GT Input'!C15</f>
        <v>13</v>
      </c>
      <c r="G605" s="40">
        <f>'GT Input'!D15</f>
        <v>18</v>
      </c>
      <c r="H605" s="40">
        <f>'GT Input'!E15</f>
        <v>13</v>
      </c>
      <c r="I605" s="40">
        <f>'GT Input'!F15</f>
        <v>18</v>
      </c>
      <c r="J605" s="41">
        <f>'Detailed Results'!G605</f>
        <v>11</v>
      </c>
      <c r="K605" s="41">
        <f>'Detailed Results'!H605</f>
        <v>11</v>
      </c>
      <c r="L605" s="42">
        <f t="shared" si="108"/>
        <v>1</v>
      </c>
      <c r="M605" s="42">
        <f t="shared" si="116"/>
        <v>0.84615384615384615</v>
      </c>
      <c r="N605" s="42">
        <f t="shared" si="109"/>
        <v>0.91666666666666663</v>
      </c>
      <c r="O605" s="43">
        <f>'Detailed Results'!I605</f>
        <v>15</v>
      </c>
      <c r="P605" s="43">
        <f>'Detailed Results'!J605</f>
        <v>15</v>
      </c>
      <c r="Q605" s="44">
        <f t="shared" si="110"/>
        <v>1</v>
      </c>
      <c r="R605" s="44">
        <f t="shared" si="117"/>
        <v>0.83333333333333337</v>
      </c>
      <c r="S605" s="44">
        <f t="shared" si="111"/>
        <v>0.90909090909090906</v>
      </c>
      <c r="T605" s="45">
        <f>'Detailed Results'!K605</f>
        <v>11</v>
      </c>
      <c r="U605" s="45">
        <f>'Detailed Results'!L605</f>
        <v>10</v>
      </c>
      <c r="V605" s="46">
        <f t="shared" si="112"/>
        <v>0.90909090909090906</v>
      </c>
      <c r="W605" s="46">
        <f t="shared" si="118"/>
        <v>0.76923076923076927</v>
      </c>
      <c r="X605" s="46">
        <f t="shared" si="113"/>
        <v>0.83333333333333326</v>
      </c>
      <c r="Y605" s="47">
        <f>'Detailed Results'!M605</f>
        <v>15</v>
      </c>
      <c r="Z605" s="47">
        <f>'Detailed Results'!N605</f>
        <v>15</v>
      </c>
      <c r="AA605" s="48">
        <f t="shared" si="114"/>
        <v>1</v>
      </c>
      <c r="AB605" s="48">
        <f t="shared" si="119"/>
        <v>0.83333333333333337</v>
      </c>
      <c r="AC605" s="48">
        <f t="shared" si="115"/>
        <v>0.90909090909090906</v>
      </c>
    </row>
    <row r="606" spans="1:29" ht="15" customHeight="1" thickBot="1" x14ac:dyDescent="0.4">
      <c r="A606" s="185"/>
      <c r="B606" s="10" t="s">
        <v>15</v>
      </c>
      <c r="C606" s="11" t="s">
        <v>19</v>
      </c>
      <c r="D606" s="11">
        <v>1</v>
      </c>
      <c r="E606" s="10" t="s">
        <v>17</v>
      </c>
      <c r="F606" s="40">
        <f>'GT Input'!C15</f>
        <v>13</v>
      </c>
      <c r="G606" s="40">
        <f>'GT Input'!D15</f>
        <v>18</v>
      </c>
      <c r="H606" s="40">
        <f>'GT Input'!E15</f>
        <v>13</v>
      </c>
      <c r="I606" s="40">
        <f>'GT Input'!F15</f>
        <v>18</v>
      </c>
      <c r="J606" s="41">
        <f>'Detailed Results'!G606</f>
        <v>9</v>
      </c>
      <c r="K606" s="41">
        <f>'Detailed Results'!H606</f>
        <v>9</v>
      </c>
      <c r="L606" s="42">
        <f t="shared" si="108"/>
        <v>1</v>
      </c>
      <c r="M606" s="42">
        <f t="shared" si="116"/>
        <v>0.69230769230769229</v>
      </c>
      <c r="N606" s="42">
        <f t="shared" si="109"/>
        <v>0.81818181818181812</v>
      </c>
      <c r="O606" s="43">
        <f>'Detailed Results'!I606</f>
        <v>12</v>
      </c>
      <c r="P606" s="43">
        <f>'Detailed Results'!J606</f>
        <v>12</v>
      </c>
      <c r="Q606" s="44">
        <f t="shared" si="110"/>
        <v>1</v>
      </c>
      <c r="R606" s="44">
        <f t="shared" si="117"/>
        <v>0.66666666666666663</v>
      </c>
      <c r="S606" s="44">
        <f t="shared" si="111"/>
        <v>0.8</v>
      </c>
      <c r="T606" s="45">
        <f>'Detailed Results'!K606</f>
        <v>9</v>
      </c>
      <c r="U606" s="45">
        <f>'Detailed Results'!L606</f>
        <v>9</v>
      </c>
      <c r="V606" s="46">
        <f t="shared" si="112"/>
        <v>1</v>
      </c>
      <c r="W606" s="46">
        <f t="shared" si="118"/>
        <v>0.69230769230769229</v>
      </c>
      <c r="X606" s="46">
        <f t="shared" si="113"/>
        <v>0.81818181818181812</v>
      </c>
      <c r="Y606" s="47">
        <f>'Detailed Results'!M606</f>
        <v>12</v>
      </c>
      <c r="Z606" s="47">
        <f>'Detailed Results'!N606</f>
        <v>12</v>
      </c>
      <c r="AA606" s="48">
        <f t="shared" si="114"/>
        <v>1</v>
      </c>
      <c r="AB606" s="48">
        <f t="shared" si="119"/>
        <v>0.66666666666666663</v>
      </c>
      <c r="AC606" s="48">
        <f t="shared" si="115"/>
        <v>0.8</v>
      </c>
    </row>
    <row r="607" spans="1:29" ht="15" customHeight="1" thickBot="1" x14ac:dyDescent="0.4">
      <c r="A607" s="185"/>
      <c r="B607" s="10" t="s">
        <v>15</v>
      </c>
      <c r="C607" s="11" t="s">
        <v>19</v>
      </c>
      <c r="D607" s="11">
        <v>1</v>
      </c>
      <c r="E607" s="10" t="s">
        <v>109</v>
      </c>
      <c r="F607" s="40">
        <f>'GT Input'!C15</f>
        <v>13</v>
      </c>
      <c r="G607" s="40">
        <f>'GT Input'!D15</f>
        <v>18</v>
      </c>
      <c r="H607" s="40">
        <f>'GT Input'!E15</f>
        <v>13</v>
      </c>
      <c r="I607" s="40">
        <f>'GT Input'!F15</f>
        <v>18</v>
      </c>
      <c r="J607" s="41">
        <f>'Detailed Results'!G607</f>
        <v>9</v>
      </c>
      <c r="K607" s="41">
        <f>'Detailed Results'!H607</f>
        <v>9</v>
      </c>
      <c r="L607" s="42">
        <f t="shared" si="108"/>
        <v>1</v>
      </c>
      <c r="M607" s="42">
        <f t="shared" si="116"/>
        <v>0.69230769230769229</v>
      </c>
      <c r="N607" s="42">
        <f t="shared" si="109"/>
        <v>0.81818181818181812</v>
      </c>
      <c r="O607" s="43">
        <f>'Detailed Results'!I607</f>
        <v>12</v>
      </c>
      <c r="P607" s="43">
        <f>'Detailed Results'!J607</f>
        <v>12</v>
      </c>
      <c r="Q607" s="44">
        <f t="shared" si="110"/>
        <v>1</v>
      </c>
      <c r="R607" s="44">
        <f t="shared" si="117"/>
        <v>0.66666666666666663</v>
      </c>
      <c r="S607" s="44">
        <f t="shared" si="111"/>
        <v>0.8</v>
      </c>
      <c r="T607" s="45">
        <f>'Detailed Results'!K607</f>
        <v>9</v>
      </c>
      <c r="U607" s="45">
        <f>'Detailed Results'!L607</f>
        <v>9</v>
      </c>
      <c r="V607" s="46">
        <f t="shared" si="112"/>
        <v>1</v>
      </c>
      <c r="W607" s="46">
        <f t="shared" si="118"/>
        <v>0.69230769230769229</v>
      </c>
      <c r="X607" s="46">
        <f t="shared" si="113"/>
        <v>0.81818181818181812</v>
      </c>
      <c r="Y607" s="47">
        <f>'Detailed Results'!M607</f>
        <v>12</v>
      </c>
      <c r="Z607" s="47">
        <f>'Detailed Results'!N607</f>
        <v>12</v>
      </c>
      <c r="AA607" s="48">
        <f t="shared" si="114"/>
        <v>1</v>
      </c>
      <c r="AB607" s="48">
        <f t="shared" si="119"/>
        <v>0.66666666666666663</v>
      </c>
      <c r="AC607" s="48">
        <f t="shared" si="115"/>
        <v>0.8</v>
      </c>
    </row>
    <row r="608" spans="1:29" ht="15" customHeight="1" thickBot="1" x14ac:dyDescent="0.4">
      <c r="A608" s="185"/>
      <c r="B608" s="7" t="s">
        <v>15</v>
      </c>
      <c r="C608" s="8" t="s">
        <v>19</v>
      </c>
      <c r="D608" s="8">
        <v>2</v>
      </c>
      <c r="E608" s="7" t="s">
        <v>17</v>
      </c>
      <c r="F608" s="40">
        <f>'GT Input'!C15</f>
        <v>13</v>
      </c>
      <c r="G608" s="40">
        <f>'GT Input'!D15</f>
        <v>18</v>
      </c>
      <c r="H608" s="40">
        <f>'GT Input'!E15</f>
        <v>13</v>
      </c>
      <c r="I608" s="40">
        <f>'GT Input'!F15</f>
        <v>18</v>
      </c>
      <c r="J608" s="41">
        <f>'Detailed Results'!G608</f>
        <v>9</v>
      </c>
      <c r="K608" s="41">
        <f>'Detailed Results'!H608</f>
        <v>9</v>
      </c>
      <c r="L608" s="42">
        <f t="shared" si="108"/>
        <v>1</v>
      </c>
      <c r="M608" s="42">
        <f t="shared" si="116"/>
        <v>0.69230769230769229</v>
      </c>
      <c r="N608" s="42">
        <f t="shared" si="109"/>
        <v>0.81818181818181812</v>
      </c>
      <c r="O608" s="43">
        <f>'Detailed Results'!I608</f>
        <v>12</v>
      </c>
      <c r="P608" s="43">
        <f>'Detailed Results'!J608</f>
        <v>12</v>
      </c>
      <c r="Q608" s="44">
        <f t="shared" si="110"/>
        <v>1</v>
      </c>
      <c r="R608" s="44">
        <f t="shared" si="117"/>
        <v>0.66666666666666663</v>
      </c>
      <c r="S608" s="44">
        <f t="shared" si="111"/>
        <v>0.8</v>
      </c>
      <c r="T608" s="45">
        <f>'Detailed Results'!K608</f>
        <v>9</v>
      </c>
      <c r="U608" s="45">
        <f>'Detailed Results'!L608</f>
        <v>9</v>
      </c>
      <c r="V608" s="46">
        <f t="shared" si="112"/>
        <v>1</v>
      </c>
      <c r="W608" s="46">
        <f t="shared" si="118"/>
        <v>0.69230769230769229</v>
      </c>
      <c r="X608" s="46">
        <f t="shared" si="113"/>
        <v>0.81818181818181812</v>
      </c>
      <c r="Y608" s="47">
        <f>'Detailed Results'!M608</f>
        <v>12</v>
      </c>
      <c r="Z608" s="47">
        <f>'Detailed Results'!N608</f>
        <v>12</v>
      </c>
      <c r="AA608" s="48">
        <f t="shared" si="114"/>
        <v>1</v>
      </c>
      <c r="AB608" s="48">
        <f t="shared" si="119"/>
        <v>0.66666666666666663</v>
      </c>
      <c r="AC608" s="48">
        <f t="shared" si="115"/>
        <v>0.8</v>
      </c>
    </row>
    <row r="609" spans="1:29" ht="15" customHeight="1" thickBot="1" x14ac:dyDescent="0.4">
      <c r="A609" s="185"/>
      <c r="B609" s="7" t="s">
        <v>15</v>
      </c>
      <c r="C609" s="8" t="s">
        <v>19</v>
      </c>
      <c r="D609" s="8">
        <v>2</v>
      </c>
      <c r="E609" s="7" t="s">
        <v>109</v>
      </c>
      <c r="F609" s="40">
        <f>'GT Input'!C15</f>
        <v>13</v>
      </c>
      <c r="G609" s="40">
        <f>'GT Input'!D15</f>
        <v>18</v>
      </c>
      <c r="H609" s="40">
        <f>'GT Input'!E15</f>
        <v>13</v>
      </c>
      <c r="I609" s="40">
        <f>'GT Input'!F15</f>
        <v>18</v>
      </c>
      <c r="J609" s="41">
        <f>'Detailed Results'!G609</f>
        <v>11</v>
      </c>
      <c r="K609" s="41">
        <f>'Detailed Results'!H609</f>
        <v>11</v>
      </c>
      <c r="L609" s="42">
        <f t="shared" si="108"/>
        <v>1</v>
      </c>
      <c r="M609" s="42">
        <f t="shared" si="116"/>
        <v>0.84615384615384615</v>
      </c>
      <c r="N609" s="42">
        <f t="shared" si="109"/>
        <v>0.91666666666666663</v>
      </c>
      <c r="O609" s="43">
        <f>'Detailed Results'!I609</f>
        <v>15</v>
      </c>
      <c r="P609" s="43">
        <f>'Detailed Results'!J609</f>
        <v>15</v>
      </c>
      <c r="Q609" s="44">
        <f t="shared" si="110"/>
        <v>1</v>
      </c>
      <c r="R609" s="44">
        <f t="shared" si="117"/>
        <v>0.83333333333333337</v>
      </c>
      <c r="S609" s="44">
        <f t="shared" si="111"/>
        <v>0.90909090909090906</v>
      </c>
      <c r="T609" s="45">
        <f>'Detailed Results'!K609</f>
        <v>11</v>
      </c>
      <c r="U609" s="45">
        <f>'Detailed Results'!L609</f>
        <v>10</v>
      </c>
      <c r="V609" s="46">
        <f t="shared" si="112"/>
        <v>0.90909090909090906</v>
      </c>
      <c r="W609" s="46">
        <f t="shared" si="118"/>
        <v>0.76923076923076927</v>
      </c>
      <c r="X609" s="46">
        <f t="shared" si="113"/>
        <v>0.83333333333333326</v>
      </c>
      <c r="Y609" s="47">
        <f>'Detailed Results'!M609</f>
        <v>15</v>
      </c>
      <c r="Z609" s="47">
        <f>'Detailed Results'!N609</f>
        <v>15</v>
      </c>
      <c r="AA609" s="48">
        <f t="shared" si="114"/>
        <v>1</v>
      </c>
      <c r="AB609" s="48">
        <f t="shared" si="119"/>
        <v>0.83333333333333337</v>
      </c>
      <c r="AC609" s="48">
        <f t="shared" si="115"/>
        <v>0.90909090909090906</v>
      </c>
    </row>
    <row r="610" spans="1:29" ht="15" customHeight="1" thickBot="1" x14ac:dyDescent="0.4">
      <c r="A610" s="185"/>
      <c r="B610" s="10" t="s">
        <v>15</v>
      </c>
      <c r="C610" s="11" t="s">
        <v>19</v>
      </c>
      <c r="D610" s="11">
        <v>3</v>
      </c>
      <c r="E610" s="10" t="s">
        <v>17</v>
      </c>
      <c r="F610" s="40">
        <f>'GT Input'!C15</f>
        <v>13</v>
      </c>
      <c r="G610" s="40">
        <f>'GT Input'!D15</f>
        <v>18</v>
      </c>
      <c r="H610" s="40">
        <f>'GT Input'!E15</f>
        <v>13</v>
      </c>
      <c r="I610" s="40">
        <f>'GT Input'!F15</f>
        <v>18</v>
      </c>
      <c r="J610" s="41">
        <f>'Detailed Results'!G610</f>
        <v>11</v>
      </c>
      <c r="K610" s="41">
        <f>'Detailed Results'!H610</f>
        <v>11</v>
      </c>
      <c r="L610" s="42">
        <f t="shared" si="108"/>
        <v>1</v>
      </c>
      <c r="M610" s="42">
        <f t="shared" si="116"/>
        <v>0.84615384615384615</v>
      </c>
      <c r="N610" s="42">
        <f t="shared" si="109"/>
        <v>0.91666666666666663</v>
      </c>
      <c r="O610" s="43">
        <f>'Detailed Results'!I610</f>
        <v>15</v>
      </c>
      <c r="P610" s="43">
        <f>'Detailed Results'!J610</f>
        <v>15</v>
      </c>
      <c r="Q610" s="44">
        <f t="shared" si="110"/>
        <v>1</v>
      </c>
      <c r="R610" s="44">
        <f t="shared" si="117"/>
        <v>0.83333333333333337</v>
      </c>
      <c r="S610" s="44">
        <f t="shared" si="111"/>
        <v>0.90909090909090906</v>
      </c>
      <c r="T610" s="45">
        <f>'Detailed Results'!K610</f>
        <v>11</v>
      </c>
      <c r="U610" s="45">
        <f>'Detailed Results'!L610</f>
        <v>10</v>
      </c>
      <c r="V610" s="46">
        <f t="shared" si="112"/>
        <v>0.90909090909090906</v>
      </c>
      <c r="W610" s="46">
        <f t="shared" si="118"/>
        <v>0.76923076923076927</v>
      </c>
      <c r="X610" s="46">
        <f t="shared" si="113"/>
        <v>0.83333333333333326</v>
      </c>
      <c r="Y610" s="47">
        <f>'Detailed Results'!M610</f>
        <v>15</v>
      </c>
      <c r="Z610" s="47">
        <f>'Detailed Results'!N610</f>
        <v>15</v>
      </c>
      <c r="AA610" s="48">
        <f t="shared" si="114"/>
        <v>1</v>
      </c>
      <c r="AB610" s="48">
        <f t="shared" si="119"/>
        <v>0.83333333333333337</v>
      </c>
      <c r="AC610" s="48">
        <f t="shared" si="115"/>
        <v>0.90909090909090906</v>
      </c>
    </row>
    <row r="611" spans="1:29" ht="15" customHeight="1" thickBot="1" x14ac:dyDescent="0.4">
      <c r="A611" s="185"/>
      <c r="B611" s="10" t="s">
        <v>15</v>
      </c>
      <c r="C611" s="11" t="s">
        <v>19</v>
      </c>
      <c r="D611" s="11">
        <v>3</v>
      </c>
      <c r="E611" s="10" t="s">
        <v>109</v>
      </c>
      <c r="F611" s="40">
        <f>'GT Input'!C15</f>
        <v>13</v>
      </c>
      <c r="G611" s="40">
        <f>'GT Input'!D15</f>
        <v>18</v>
      </c>
      <c r="H611" s="40">
        <f>'GT Input'!E15</f>
        <v>13</v>
      </c>
      <c r="I611" s="40">
        <f>'GT Input'!F15</f>
        <v>18</v>
      </c>
      <c r="J611" s="41">
        <f>'Detailed Results'!G611</f>
        <v>9</v>
      </c>
      <c r="K611" s="41">
        <f>'Detailed Results'!H611</f>
        <v>9</v>
      </c>
      <c r="L611" s="42">
        <f t="shared" si="108"/>
        <v>1</v>
      </c>
      <c r="M611" s="42">
        <f t="shared" si="116"/>
        <v>0.69230769230769229</v>
      </c>
      <c r="N611" s="42">
        <f t="shared" si="109"/>
        <v>0.81818181818181812</v>
      </c>
      <c r="O611" s="43">
        <f>'Detailed Results'!I611</f>
        <v>12</v>
      </c>
      <c r="P611" s="43">
        <f>'Detailed Results'!J611</f>
        <v>12</v>
      </c>
      <c r="Q611" s="44">
        <f t="shared" si="110"/>
        <v>1</v>
      </c>
      <c r="R611" s="44">
        <f t="shared" si="117"/>
        <v>0.66666666666666663</v>
      </c>
      <c r="S611" s="44">
        <f t="shared" si="111"/>
        <v>0.8</v>
      </c>
      <c r="T611" s="45">
        <f>'Detailed Results'!K611</f>
        <v>9</v>
      </c>
      <c r="U611" s="45">
        <f>'Detailed Results'!L611</f>
        <v>9</v>
      </c>
      <c r="V611" s="46">
        <f t="shared" si="112"/>
        <v>1</v>
      </c>
      <c r="W611" s="46">
        <f t="shared" si="118"/>
        <v>0.69230769230769229</v>
      </c>
      <c r="X611" s="46">
        <f t="shared" si="113"/>
        <v>0.81818181818181812</v>
      </c>
      <c r="Y611" s="47">
        <f>'Detailed Results'!M611</f>
        <v>12</v>
      </c>
      <c r="Z611" s="47">
        <f>'Detailed Results'!N611</f>
        <v>12</v>
      </c>
      <c r="AA611" s="48">
        <f t="shared" si="114"/>
        <v>1</v>
      </c>
      <c r="AB611" s="48">
        <f t="shared" si="119"/>
        <v>0.66666666666666663</v>
      </c>
      <c r="AC611" s="48">
        <f t="shared" si="115"/>
        <v>0.8</v>
      </c>
    </row>
    <row r="612" spans="1:29" ht="15" customHeight="1" thickBot="1" x14ac:dyDescent="0.4">
      <c r="A612" s="185"/>
      <c r="B612" s="7" t="s">
        <v>15</v>
      </c>
      <c r="C612" s="8" t="s">
        <v>20</v>
      </c>
      <c r="D612" s="8">
        <v>1</v>
      </c>
      <c r="E612" s="7" t="s">
        <v>17</v>
      </c>
      <c r="F612" s="40">
        <f>'GT Input'!C15</f>
        <v>13</v>
      </c>
      <c r="G612" s="40">
        <f>'GT Input'!D15</f>
        <v>18</v>
      </c>
      <c r="H612" s="40">
        <f>'GT Input'!E15</f>
        <v>13</v>
      </c>
      <c r="I612" s="40">
        <f>'GT Input'!F15</f>
        <v>18</v>
      </c>
      <c r="J612" s="41">
        <f>'Detailed Results'!G612</f>
        <v>9</v>
      </c>
      <c r="K612" s="41">
        <f>'Detailed Results'!H612</f>
        <v>9</v>
      </c>
      <c r="L612" s="42">
        <f t="shared" si="108"/>
        <v>1</v>
      </c>
      <c r="M612" s="42">
        <f t="shared" si="116"/>
        <v>0.69230769230769229</v>
      </c>
      <c r="N612" s="42">
        <f t="shared" si="109"/>
        <v>0.81818181818181812</v>
      </c>
      <c r="O612" s="43">
        <f>'Detailed Results'!I612</f>
        <v>12</v>
      </c>
      <c r="P612" s="43">
        <f>'Detailed Results'!J612</f>
        <v>12</v>
      </c>
      <c r="Q612" s="44">
        <f t="shared" si="110"/>
        <v>1</v>
      </c>
      <c r="R612" s="44">
        <f t="shared" si="117"/>
        <v>0.66666666666666663</v>
      </c>
      <c r="S612" s="44">
        <f t="shared" si="111"/>
        <v>0.8</v>
      </c>
      <c r="T612" s="45">
        <f>'Detailed Results'!K612</f>
        <v>9</v>
      </c>
      <c r="U612" s="45">
        <f>'Detailed Results'!L612</f>
        <v>9</v>
      </c>
      <c r="V612" s="46">
        <f t="shared" si="112"/>
        <v>1</v>
      </c>
      <c r="W612" s="46">
        <f t="shared" si="118"/>
        <v>0.69230769230769229</v>
      </c>
      <c r="X612" s="46">
        <f t="shared" si="113"/>
        <v>0.81818181818181812</v>
      </c>
      <c r="Y612" s="47">
        <f>'Detailed Results'!M612</f>
        <v>12</v>
      </c>
      <c r="Z612" s="47">
        <f>'Detailed Results'!N612</f>
        <v>12</v>
      </c>
      <c r="AA612" s="48">
        <f t="shared" si="114"/>
        <v>1</v>
      </c>
      <c r="AB612" s="48">
        <f t="shared" si="119"/>
        <v>0.66666666666666663</v>
      </c>
      <c r="AC612" s="48">
        <f t="shared" si="115"/>
        <v>0.8</v>
      </c>
    </row>
    <row r="613" spans="1:29" ht="15" customHeight="1" thickBot="1" x14ac:dyDescent="0.4">
      <c r="A613" s="185"/>
      <c r="B613" s="7" t="s">
        <v>15</v>
      </c>
      <c r="C613" s="8" t="s">
        <v>20</v>
      </c>
      <c r="D613" s="8">
        <v>1</v>
      </c>
      <c r="E613" s="7" t="s">
        <v>109</v>
      </c>
      <c r="F613" s="40">
        <f>'GT Input'!C15</f>
        <v>13</v>
      </c>
      <c r="G613" s="40">
        <f>'GT Input'!D15</f>
        <v>18</v>
      </c>
      <c r="H613" s="40">
        <f>'GT Input'!E15</f>
        <v>13</v>
      </c>
      <c r="I613" s="40">
        <f>'GT Input'!F15</f>
        <v>18</v>
      </c>
      <c r="J613" s="41">
        <f>'Detailed Results'!G613</f>
        <v>11</v>
      </c>
      <c r="K613" s="41">
        <f>'Detailed Results'!H613</f>
        <v>11</v>
      </c>
      <c r="L613" s="42">
        <f t="shared" si="108"/>
        <v>1</v>
      </c>
      <c r="M613" s="42">
        <f t="shared" si="116"/>
        <v>0.84615384615384615</v>
      </c>
      <c r="N613" s="42">
        <f t="shared" si="109"/>
        <v>0.91666666666666663</v>
      </c>
      <c r="O613" s="43">
        <f>'Detailed Results'!I613</f>
        <v>15</v>
      </c>
      <c r="P613" s="43">
        <f>'Detailed Results'!J613</f>
        <v>15</v>
      </c>
      <c r="Q613" s="44">
        <f t="shared" si="110"/>
        <v>1</v>
      </c>
      <c r="R613" s="44">
        <f t="shared" si="117"/>
        <v>0.83333333333333337</v>
      </c>
      <c r="S613" s="44">
        <f t="shared" si="111"/>
        <v>0.90909090909090906</v>
      </c>
      <c r="T613" s="45">
        <f>'Detailed Results'!K613</f>
        <v>11</v>
      </c>
      <c r="U613" s="45">
        <f>'Detailed Results'!L613</f>
        <v>10</v>
      </c>
      <c r="V613" s="46">
        <f t="shared" si="112"/>
        <v>0.90909090909090906</v>
      </c>
      <c r="W613" s="46">
        <f t="shared" si="118"/>
        <v>0.76923076923076927</v>
      </c>
      <c r="X613" s="46">
        <f t="shared" si="113"/>
        <v>0.83333333333333326</v>
      </c>
      <c r="Y613" s="47">
        <f>'Detailed Results'!M613</f>
        <v>15</v>
      </c>
      <c r="Z613" s="47">
        <f>'Detailed Results'!N613</f>
        <v>15</v>
      </c>
      <c r="AA613" s="48">
        <f t="shared" si="114"/>
        <v>1</v>
      </c>
      <c r="AB613" s="48">
        <f t="shared" si="119"/>
        <v>0.83333333333333337</v>
      </c>
      <c r="AC613" s="48">
        <f t="shared" si="115"/>
        <v>0.90909090909090906</v>
      </c>
    </row>
    <row r="614" spans="1:29" ht="15" customHeight="1" thickBot="1" x14ac:dyDescent="0.4">
      <c r="A614" s="185"/>
      <c r="B614" s="10" t="s">
        <v>15</v>
      </c>
      <c r="C614" s="11" t="s">
        <v>20</v>
      </c>
      <c r="D614" s="11">
        <v>2</v>
      </c>
      <c r="E614" s="10" t="s">
        <v>17</v>
      </c>
      <c r="F614" s="40">
        <f>'GT Input'!C15</f>
        <v>13</v>
      </c>
      <c r="G614" s="40">
        <f>'GT Input'!D15</f>
        <v>18</v>
      </c>
      <c r="H614" s="40">
        <f>'GT Input'!E15</f>
        <v>13</v>
      </c>
      <c r="I614" s="40">
        <f>'GT Input'!F15</f>
        <v>18</v>
      </c>
      <c r="J614" s="41">
        <f>'Detailed Results'!G614</f>
        <v>9</v>
      </c>
      <c r="K614" s="41">
        <f>'Detailed Results'!H614</f>
        <v>9</v>
      </c>
      <c r="L614" s="42">
        <f t="shared" si="108"/>
        <v>1</v>
      </c>
      <c r="M614" s="42">
        <f t="shared" si="116"/>
        <v>0.69230769230769229</v>
      </c>
      <c r="N614" s="42">
        <f t="shared" si="109"/>
        <v>0.81818181818181812</v>
      </c>
      <c r="O614" s="43">
        <f>'Detailed Results'!I614</f>
        <v>12</v>
      </c>
      <c r="P614" s="43">
        <f>'Detailed Results'!J614</f>
        <v>12</v>
      </c>
      <c r="Q614" s="44">
        <f t="shared" si="110"/>
        <v>1</v>
      </c>
      <c r="R614" s="44">
        <f t="shared" si="117"/>
        <v>0.66666666666666663</v>
      </c>
      <c r="S614" s="44">
        <f t="shared" si="111"/>
        <v>0.8</v>
      </c>
      <c r="T614" s="45">
        <f>'Detailed Results'!K614</f>
        <v>9</v>
      </c>
      <c r="U614" s="45">
        <f>'Detailed Results'!L614</f>
        <v>9</v>
      </c>
      <c r="V614" s="46">
        <f t="shared" si="112"/>
        <v>1</v>
      </c>
      <c r="W614" s="46">
        <f t="shared" si="118"/>
        <v>0.69230769230769229</v>
      </c>
      <c r="X614" s="46">
        <f t="shared" si="113"/>
        <v>0.81818181818181812</v>
      </c>
      <c r="Y614" s="47">
        <f>'Detailed Results'!M614</f>
        <v>12</v>
      </c>
      <c r="Z614" s="47">
        <f>'Detailed Results'!N614</f>
        <v>12</v>
      </c>
      <c r="AA614" s="48">
        <f t="shared" si="114"/>
        <v>1</v>
      </c>
      <c r="AB614" s="48">
        <f t="shared" si="119"/>
        <v>0.66666666666666663</v>
      </c>
      <c r="AC614" s="48">
        <f t="shared" si="115"/>
        <v>0.8</v>
      </c>
    </row>
    <row r="615" spans="1:29" ht="15" customHeight="1" thickBot="1" x14ac:dyDescent="0.4">
      <c r="A615" s="185"/>
      <c r="B615" s="10" t="s">
        <v>15</v>
      </c>
      <c r="C615" s="11" t="s">
        <v>20</v>
      </c>
      <c r="D615" s="11">
        <v>2</v>
      </c>
      <c r="E615" s="10" t="s">
        <v>109</v>
      </c>
      <c r="F615" s="40">
        <f>'GT Input'!C15</f>
        <v>13</v>
      </c>
      <c r="G615" s="40">
        <f>'GT Input'!D15</f>
        <v>18</v>
      </c>
      <c r="H615" s="40">
        <f>'GT Input'!E15</f>
        <v>13</v>
      </c>
      <c r="I615" s="40">
        <f>'GT Input'!F15</f>
        <v>18</v>
      </c>
      <c r="J615" s="41">
        <f>'Detailed Results'!G615</f>
        <v>11</v>
      </c>
      <c r="K615" s="41">
        <f>'Detailed Results'!H615</f>
        <v>11</v>
      </c>
      <c r="L615" s="42">
        <f t="shared" si="108"/>
        <v>1</v>
      </c>
      <c r="M615" s="42">
        <f t="shared" si="116"/>
        <v>0.84615384615384615</v>
      </c>
      <c r="N615" s="42">
        <f t="shared" si="109"/>
        <v>0.91666666666666663</v>
      </c>
      <c r="O615" s="43">
        <f>'Detailed Results'!I615</f>
        <v>15</v>
      </c>
      <c r="P615" s="43">
        <f>'Detailed Results'!J615</f>
        <v>15</v>
      </c>
      <c r="Q615" s="44">
        <f t="shared" si="110"/>
        <v>1</v>
      </c>
      <c r="R615" s="44">
        <f t="shared" si="117"/>
        <v>0.83333333333333337</v>
      </c>
      <c r="S615" s="44">
        <f t="shared" si="111"/>
        <v>0.90909090909090906</v>
      </c>
      <c r="T615" s="45">
        <f>'Detailed Results'!K615</f>
        <v>11</v>
      </c>
      <c r="U615" s="45">
        <f>'Detailed Results'!L615</f>
        <v>10</v>
      </c>
      <c r="V615" s="46">
        <f t="shared" si="112"/>
        <v>0.90909090909090906</v>
      </c>
      <c r="W615" s="46">
        <f t="shared" si="118"/>
        <v>0.76923076923076927</v>
      </c>
      <c r="X615" s="46">
        <f t="shared" si="113"/>
        <v>0.83333333333333326</v>
      </c>
      <c r="Y615" s="47">
        <f>'Detailed Results'!M615</f>
        <v>15</v>
      </c>
      <c r="Z615" s="47">
        <f>'Detailed Results'!N615</f>
        <v>15</v>
      </c>
      <c r="AA615" s="48">
        <f t="shared" si="114"/>
        <v>1</v>
      </c>
      <c r="AB615" s="48">
        <f t="shared" si="119"/>
        <v>0.83333333333333337</v>
      </c>
      <c r="AC615" s="48">
        <f t="shared" si="115"/>
        <v>0.90909090909090906</v>
      </c>
    </row>
    <row r="616" spans="1:29" ht="15" customHeight="1" thickBot="1" x14ac:dyDescent="0.4">
      <c r="A616" s="185"/>
      <c r="B616" s="7" t="s">
        <v>15</v>
      </c>
      <c r="C616" s="8" t="s">
        <v>20</v>
      </c>
      <c r="D616" s="8">
        <v>3</v>
      </c>
      <c r="E616" s="7" t="s">
        <v>17</v>
      </c>
      <c r="F616" s="40">
        <f>'GT Input'!C15</f>
        <v>13</v>
      </c>
      <c r="G616" s="40">
        <f>'GT Input'!D15</f>
        <v>18</v>
      </c>
      <c r="H616" s="40">
        <f>'GT Input'!E15</f>
        <v>13</v>
      </c>
      <c r="I616" s="40">
        <f>'GT Input'!F15</f>
        <v>18</v>
      </c>
      <c r="J616" s="41">
        <f>'Detailed Results'!G616</f>
        <v>9</v>
      </c>
      <c r="K616" s="41">
        <f>'Detailed Results'!H616</f>
        <v>9</v>
      </c>
      <c r="L616" s="42">
        <f t="shared" si="108"/>
        <v>1</v>
      </c>
      <c r="M616" s="42">
        <f t="shared" si="116"/>
        <v>0.69230769230769229</v>
      </c>
      <c r="N616" s="42">
        <f t="shared" si="109"/>
        <v>0.81818181818181812</v>
      </c>
      <c r="O616" s="43">
        <f>'Detailed Results'!I616</f>
        <v>12</v>
      </c>
      <c r="P616" s="43">
        <f>'Detailed Results'!J616</f>
        <v>12</v>
      </c>
      <c r="Q616" s="44">
        <f t="shared" si="110"/>
        <v>1</v>
      </c>
      <c r="R616" s="44">
        <f t="shared" si="117"/>
        <v>0.66666666666666663</v>
      </c>
      <c r="S616" s="44">
        <f t="shared" si="111"/>
        <v>0.8</v>
      </c>
      <c r="T616" s="45">
        <f>'Detailed Results'!K616</f>
        <v>9</v>
      </c>
      <c r="U616" s="45">
        <f>'Detailed Results'!L616</f>
        <v>9</v>
      </c>
      <c r="V616" s="46">
        <f t="shared" si="112"/>
        <v>1</v>
      </c>
      <c r="W616" s="46">
        <f t="shared" si="118"/>
        <v>0.69230769230769229</v>
      </c>
      <c r="X616" s="46">
        <f t="shared" si="113"/>
        <v>0.81818181818181812</v>
      </c>
      <c r="Y616" s="47">
        <f>'Detailed Results'!M616</f>
        <v>12</v>
      </c>
      <c r="Z616" s="47">
        <f>'Detailed Results'!N616</f>
        <v>12</v>
      </c>
      <c r="AA616" s="48">
        <f t="shared" si="114"/>
        <v>1</v>
      </c>
      <c r="AB616" s="48">
        <f t="shared" si="119"/>
        <v>0.66666666666666663</v>
      </c>
      <c r="AC616" s="48">
        <f t="shared" si="115"/>
        <v>0.8</v>
      </c>
    </row>
    <row r="617" spans="1:29" ht="15" customHeight="1" thickBot="1" x14ac:dyDescent="0.4">
      <c r="A617" s="185"/>
      <c r="B617" s="7" t="s">
        <v>15</v>
      </c>
      <c r="C617" s="8" t="s">
        <v>20</v>
      </c>
      <c r="D617" s="8">
        <v>3</v>
      </c>
      <c r="E617" s="7" t="s">
        <v>109</v>
      </c>
      <c r="F617" s="40">
        <f>'GT Input'!C15</f>
        <v>13</v>
      </c>
      <c r="G617" s="40">
        <f>'GT Input'!D15</f>
        <v>18</v>
      </c>
      <c r="H617" s="40">
        <f>'GT Input'!E15</f>
        <v>13</v>
      </c>
      <c r="I617" s="40">
        <f>'GT Input'!F15</f>
        <v>18</v>
      </c>
      <c r="J617" s="41">
        <f>'Detailed Results'!G617</f>
        <v>11</v>
      </c>
      <c r="K617" s="41">
        <f>'Detailed Results'!H617</f>
        <v>11</v>
      </c>
      <c r="L617" s="42">
        <f t="shared" si="108"/>
        <v>1</v>
      </c>
      <c r="M617" s="42">
        <f t="shared" si="116"/>
        <v>0.84615384615384615</v>
      </c>
      <c r="N617" s="42">
        <f t="shared" si="109"/>
        <v>0.91666666666666663</v>
      </c>
      <c r="O617" s="43">
        <f>'Detailed Results'!I617</f>
        <v>15</v>
      </c>
      <c r="P617" s="43">
        <f>'Detailed Results'!J617</f>
        <v>15</v>
      </c>
      <c r="Q617" s="44">
        <f t="shared" si="110"/>
        <v>1</v>
      </c>
      <c r="R617" s="44">
        <f t="shared" si="117"/>
        <v>0.83333333333333337</v>
      </c>
      <c r="S617" s="44">
        <f t="shared" si="111"/>
        <v>0.90909090909090906</v>
      </c>
      <c r="T617" s="45">
        <f>'Detailed Results'!K617</f>
        <v>11</v>
      </c>
      <c r="U617" s="45">
        <f>'Detailed Results'!L617</f>
        <v>10</v>
      </c>
      <c r="V617" s="46">
        <f t="shared" si="112"/>
        <v>0.90909090909090906</v>
      </c>
      <c r="W617" s="46">
        <f t="shared" si="118"/>
        <v>0.76923076923076927</v>
      </c>
      <c r="X617" s="46">
        <f t="shared" si="113"/>
        <v>0.83333333333333326</v>
      </c>
      <c r="Y617" s="47">
        <f>'Detailed Results'!M617</f>
        <v>15</v>
      </c>
      <c r="Z617" s="47">
        <f>'Detailed Results'!N617</f>
        <v>15</v>
      </c>
      <c r="AA617" s="48">
        <f t="shared" si="114"/>
        <v>1</v>
      </c>
      <c r="AB617" s="48">
        <f t="shared" si="119"/>
        <v>0.83333333333333337</v>
      </c>
      <c r="AC617" s="48">
        <f t="shared" si="115"/>
        <v>0.90909090909090906</v>
      </c>
    </row>
    <row r="618" spans="1:29" ht="15" customHeight="1" thickBot="1" x14ac:dyDescent="0.4">
      <c r="A618" s="185"/>
      <c r="B618" s="12" t="s">
        <v>21</v>
      </c>
      <c r="C618" s="13" t="s">
        <v>16</v>
      </c>
      <c r="D618" s="13">
        <v>1</v>
      </c>
      <c r="E618" s="12" t="s">
        <v>17</v>
      </c>
      <c r="F618" s="40">
        <f>'GT Input'!C15</f>
        <v>13</v>
      </c>
      <c r="G618" s="40">
        <f>'GT Input'!D15</f>
        <v>18</v>
      </c>
      <c r="H618" s="40">
        <f>'GT Input'!E15</f>
        <v>13</v>
      </c>
      <c r="I618" s="40">
        <f>'GT Input'!F15</f>
        <v>18</v>
      </c>
      <c r="J618" s="41">
        <f>'Detailed Results'!G618</f>
        <v>11</v>
      </c>
      <c r="K618" s="41">
        <f>'Detailed Results'!H618</f>
        <v>11</v>
      </c>
      <c r="L618" s="42">
        <f t="shared" si="108"/>
        <v>1</v>
      </c>
      <c r="M618" s="42">
        <f t="shared" si="116"/>
        <v>0.84615384615384615</v>
      </c>
      <c r="N618" s="42">
        <f t="shared" si="109"/>
        <v>0.91666666666666663</v>
      </c>
      <c r="O618" s="43">
        <f>'Detailed Results'!I618</f>
        <v>11</v>
      </c>
      <c r="P618" s="43">
        <f>'Detailed Results'!J618</f>
        <v>11</v>
      </c>
      <c r="Q618" s="44">
        <f t="shared" si="110"/>
        <v>1</v>
      </c>
      <c r="R618" s="44">
        <f t="shared" si="117"/>
        <v>0.61111111111111116</v>
      </c>
      <c r="S618" s="44">
        <f t="shared" si="111"/>
        <v>0.75862068965517249</v>
      </c>
      <c r="T618" s="45">
        <f>'Detailed Results'!K618</f>
        <v>11</v>
      </c>
      <c r="U618" s="45">
        <f>'Detailed Results'!L618</f>
        <v>10</v>
      </c>
      <c r="V618" s="46">
        <f t="shared" si="112"/>
        <v>0.90909090909090906</v>
      </c>
      <c r="W618" s="46">
        <f t="shared" si="118"/>
        <v>0.76923076923076927</v>
      </c>
      <c r="X618" s="46">
        <f t="shared" si="113"/>
        <v>0.83333333333333326</v>
      </c>
      <c r="Y618" s="47">
        <f>'Detailed Results'!M618</f>
        <v>11</v>
      </c>
      <c r="Z618" s="47">
        <f>'Detailed Results'!N618</f>
        <v>8</v>
      </c>
      <c r="AA618" s="48">
        <f t="shared" si="114"/>
        <v>0.72727272727272729</v>
      </c>
      <c r="AB618" s="48">
        <f t="shared" si="119"/>
        <v>0.44444444444444442</v>
      </c>
      <c r="AC618" s="48">
        <f t="shared" si="115"/>
        <v>0.55172413793103448</v>
      </c>
    </row>
    <row r="619" spans="1:29" ht="15" customHeight="1" thickBot="1" x14ac:dyDescent="0.4">
      <c r="A619" s="185"/>
      <c r="B619" s="12" t="s">
        <v>21</v>
      </c>
      <c r="C619" s="13" t="s">
        <v>16</v>
      </c>
      <c r="D619" s="13">
        <v>1</v>
      </c>
      <c r="E619" s="12" t="s">
        <v>109</v>
      </c>
      <c r="F619" s="40">
        <f>'GT Input'!C15</f>
        <v>13</v>
      </c>
      <c r="G619" s="40">
        <f>'GT Input'!D15</f>
        <v>18</v>
      </c>
      <c r="H619" s="40">
        <f>'GT Input'!E15</f>
        <v>13</v>
      </c>
      <c r="I619" s="40">
        <f>'GT Input'!F15</f>
        <v>18</v>
      </c>
      <c r="J619" s="41">
        <f>'Detailed Results'!G619</f>
        <v>11</v>
      </c>
      <c r="K619" s="41">
        <f>'Detailed Results'!H619</f>
        <v>9</v>
      </c>
      <c r="L619" s="42">
        <f t="shared" si="108"/>
        <v>0.81818181818181823</v>
      </c>
      <c r="M619" s="42">
        <f t="shared" si="116"/>
        <v>0.69230769230769229</v>
      </c>
      <c r="N619" s="42">
        <f t="shared" si="109"/>
        <v>0.75000000000000011</v>
      </c>
      <c r="O619" s="43">
        <f>'Detailed Results'!I619</f>
        <v>11</v>
      </c>
      <c r="P619" s="43">
        <f>'Detailed Results'!J619</f>
        <v>10</v>
      </c>
      <c r="Q619" s="44">
        <f t="shared" si="110"/>
        <v>0.90909090909090906</v>
      </c>
      <c r="R619" s="44">
        <f t="shared" si="117"/>
        <v>0.55555555555555558</v>
      </c>
      <c r="S619" s="44">
        <f t="shared" si="111"/>
        <v>0.68965517241379315</v>
      </c>
      <c r="T619" s="45">
        <f>'Detailed Results'!K619</f>
        <v>11</v>
      </c>
      <c r="U619" s="45">
        <f>'Detailed Results'!L619</f>
        <v>9</v>
      </c>
      <c r="V619" s="46">
        <f t="shared" si="112"/>
        <v>0.81818181818181823</v>
      </c>
      <c r="W619" s="46">
        <f t="shared" si="118"/>
        <v>0.69230769230769229</v>
      </c>
      <c r="X619" s="46">
        <f t="shared" si="113"/>
        <v>0.75000000000000011</v>
      </c>
      <c r="Y619" s="47">
        <f>'Detailed Results'!M619</f>
        <v>11</v>
      </c>
      <c r="Z619" s="47">
        <f>'Detailed Results'!N619</f>
        <v>7</v>
      </c>
      <c r="AA619" s="48">
        <f t="shared" si="114"/>
        <v>0.63636363636363635</v>
      </c>
      <c r="AB619" s="48">
        <f t="shared" si="119"/>
        <v>0.3888888888888889</v>
      </c>
      <c r="AC619" s="48">
        <f t="shared" si="115"/>
        <v>0.48275862068965519</v>
      </c>
    </row>
    <row r="620" spans="1:29" ht="15" customHeight="1" thickBot="1" x14ac:dyDescent="0.4">
      <c r="A620" s="185"/>
      <c r="B620" s="14" t="s">
        <v>21</v>
      </c>
      <c r="C620" s="15" t="s">
        <v>16</v>
      </c>
      <c r="D620" s="15">
        <v>2</v>
      </c>
      <c r="E620" s="14" t="s">
        <v>17</v>
      </c>
      <c r="F620" s="40">
        <f>'GT Input'!C15</f>
        <v>13</v>
      </c>
      <c r="G620" s="40">
        <f>'GT Input'!D15</f>
        <v>18</v>
      </c>
      <c r="H620" s="40">
        <f>'GT Input'!E15</f>
        <v>13</v>
      </c>
      <c r="I620" s="40">
        <f>'GT Input'!F15</f>
        <v>18</v>
      </c>
      <c r="J620" s="41">
        <f>'Detailed Results'!G620</f>
        <v>11</v>
      </c>
      <c r="K620" s="41">
        <f>'Detailed Results'!H620</f>
        <v>11</v>
      </c>
      <c r="L620" s="42">
        <f t="shared" si="108"/>
        <v>1</v>
      </c>
      <c r="M620" s="42">
        <f t="shared" si="116"/>
        <v>0.84615384615384615</v>
      </c>
      <c r="N620" s="42">
        <f t="shared" si="109"/>
        <v>0.91666666666666663</v>
      </c>
      <c r="O620" s="43">
        <f>'Detailed Results'!I620</f>
        <v>3</v>
      </c>
      <c r="P620" s="43">
        <f>'Detailed Results'!J620</f>
        <v>3</v>
      </c>
      <c r="Q620" s="44">
        <f t="shared" si="110"/>
        <v>1</v>
      </c>
      <c r="R620" s="44">
        <f t="shared" si="117"/>
        <v>0.16666666666666666</v>
      </c>
      <c r="S620" s="44">
        <f t="shared" si="111"/>
        <v>0.2857142857142857</v>
      </c>
      <c r="T620" s="45">
        <f>'Detailed Results'!K620</f>
        <v>11</v>
      </c>
      <c r="U620" s="45">
        <f>'Detailed Results'!L620</f>
        <v>10</v>
      </c>
      <c r="V620" s="46">
        <f t="shared" si="112"/>
        <v>0.90909090909090906</v>
      </c>
      <c r="W620" s="46">
        <f t="shared" si="118"/>
        <v>0.76923076923076927</v>
      </c>
      <c r="X620" s="46">
        <f t="shared" si="113"/>
        <v>0.83333333333333326</v>
      </c>
      <c r="Y620" s="47">
        <f>'Detailed Results'!M620</f>
        <v>3</v>
      </c>
      <c r="Z620" s="47">
        <f>'Detailed Results'!N620</f>
        <v>3</v>
      </c>
      <c r="AA620" s="48">
        <f t="shared" si="114"/>
        <v>1</v>
      </c>
      <c r="AB620" s="48">
        <f t="shared" si="119"/>
        <v>0.16666666666666666</v>
      </c>
      <c r="AC620" s="48">
        <f t="shared" si="115"/>
        <v>0.2857142857142857</v>
      </c>
    </row>
    <row r="621" spans="1:29" ht="15" customHeight="1" thickBot="1" x14ac:dyDescent="0.4">
      <c r="A621" s="185"/>
      <c r="B621" s="14" t="s">
        <v>21</v>
      </c>
      <c r="C621" s="15" t="s">
        <v>16</v>
      </c>
      <c r="D621" s="15">
        <v>2</v>
      </c>
      <c r="E621" s="14" t="s">
        <v>109</v>
      </c>
      <c r="F621" s="40">
        <f>'GT Input'!C15</f>
        <v>13</v>
      </c>
      <c r="G621" s="40">
        <f>'GT Input'!D15</f>
        <v>18</v>
      </c>
      <c r="H621" s="40">
        <f>'GT Input'!E15</f>
        <v>13</v>
      </c>
      <c r="I621" s="40">
        <f>'GT Input'!F15</f>
        <v>18</v>
      </c>
      <c r="J621" s="41">
        <f>'Detailed Results'!G621</f>
        <v>11</v>
      </c>
      <c r="K621" s="41">
        <f>'Detailed Results'!H621</f>
        <v>9</v>
      </c>
      <c r="L621" s="42">
        <f t="shared" si="108"/>
        <v>0.81818181818181823</v>
      </c>
      <c r="M621" s="42">
        <f t="shared" si="116"/>
        <v>0.69230769230769229</v>
      </c>
      <c r="N621" s="42">
        <f t="shared" si="109"/>
        <v>0.75000000000000011</v>
      </c>
      <c r="O621" s="43">
        <f>'Detailed Results'!I621</f>
        <v>11</v>
      </c>
      <c r="P621" s="43">
        <f>'Detailed Results'!J621</f>
        <v>10</v>
      </c>
      <c r="Q621" s="44">
        <f t="shared" si="110"/>
        <v>0.90909090909090906</v>
      </c>
      <c r="R621" s="44">
        <f t="shared" si="117"/>
        <v>0.55555555555555558</v>
      </c>
      <c r="S621" s="44">
        <f t="shared" si="111"/>
        <v>0.68965517241379315</v>
      </c>
      <c r="T621" s="45">
        <f>'Detailed Results'!K621</f>
        <v>11</v>
      </c>
      <c r="U621" s="45">
        <f>'Detailed Results'!L621</f>
        <v>9</v>
      </c>
      <c r="V621" s="46">
        <f t="shared" si="112"/>
        <v>0.81818181818181823</v>
      </c>
      <c r="W621" s="46">
        <f t="shared" si="118"/>
        <v>0.69230769230769229</v>
      </c>
      <c r="X621" s="46">
        <f t="shared" si="113"/>
        <v>0.75000000000000011</v>
      </c>
      <c r="Y621" s="47">
        <f>'Detailed Results'!M621</f>
        <v>11</v>
      </c>
      <c r="Z621" s="47">
        <f>'Detailed Results'!N621</f>
        <v>7</v>
      </c>
      <c r="AA621" s="48">
        <f t="shared" si="114"/>
        <v>0.63636363636363635</v>
      </c>
      <c r="AB621" s="48">
        <f t="shared" si="119"/>
        <v>0.3888888888888889</v>
      </c>
      <c r="AC621" s="48">
        <f t="shared" si="115"/>
        <v>0.48275862068965519</v>
      </c>
    </row>
    <row r="622" spans="1:29" ht="15" customHeight="1" thickBot="1" x14ac:dyDescent="0.4">
      <c r="A622" s="185"/>
      <c r="B622" s="12" t="s">
        <v>21</v>
      </c>
      <c r="C622" s="13" t="s">
        <v>16</v>
      </c>
      <c r="D622" s="13">
        <v>3</v>
      </c>
      <c r="E622" s="12" t="s">
        <v>17</v>
      </c>
      <c r="F622" s="40">
        <f>'GT Input'!C15</f>
        <v>13</v>
      </c>
      <c r="G622" s="40">
        <f>'GT Input'!D15</f>
        <v>18</v>
      </c>
      <c r="H622" s="40">
        <f>'GT Input'!E15</f>
        <v>13</v>
      </c>
      <c r="I622" s="40">
        <f>'GT Input'!F15</f>
        <v>18</v>
      </c>
      <c r="J622" s="41">
        <f>'Detailed Results'!G622</f>
        <v>11</v>
      </c>
      <c r="K622" s="41">
        <f>'Detailed Results'!H622</f>
        <v>11</v>
      </c>
      <c r="L622" s="42">
        <f t="shared" si="108"/>
        <v>1</v>
      </c>
      <c r="M622" s="42">
        <f t="shared" si="116"/>
        <v>0.84615384615384615</v>
      </c>
      <c r="N622" s="42">
        <f t="shared" si="109"/>
        <v>0.91666666666666663</v>
      </c>
      <c r="O622" s="43">
        <f>'Detailed Results'!I622</f>
        <v>11</v>
      </c>
      <c r="P622" s="43">
        <f>'Detailed Results'!J622</f>
        <v>11</v>
      </c>
      <c r="Q622" s="44">
        <f t="shared" si="110"/>
        <v>1</v>
      </c>
      <c r="R622" s="44">
        <f t="shared" si="117"/>
        <v>0.61111111111111116</v>
      </c>
      <c r="S622" s="44">
        <f t="shared" si="111"/>
        <v>0.75862068965517249</v>
      </c>
      <c r="T622" s="45">
        <f>'Detailed Results'!K622</f>
        <v>11</v>
      </c>
      <c r="U622" s="45">
        <f>'Detailed Results'!L622</f>
        <v>10</v>
      </c>
      <c r="V622" s="46">
        <f t="shared" si="112"/>
        <v>0.90909090909090906</v>
      </c>
      <c r="W622" s="46">
        <f t="shared" si="118"/>
        <v>0.76923076923076927</v>
      </c>
      <c r="X622" s="46">
        <f t="shared" si="113"/>
        <v>0.83333333333333326</v>
      </c>
      <c r="Y622" s="47">
        <f>'Detailed Results'!M622</f>
        <v>11</v>
      </c>
      <c r="Z622" s="47">
        <f>'Detailed Results'!N622</f>
        <v>8</v>
      </c>
      <c r="AA622" s="48">
        <f t="shared" si="114"/>
        <v>0.72727272727272729</v>
      </c>
      <c r="AB622" s="48">
        <f t="shared" si="119"/>
        <v>0.44444444444444442</v>
      </c>
      <c r="AC622" s="48">
        <f t="shared" si="115"/>
        <v>0.55172413793103448</v>
      </c>
    </row>
    <row r="623" spans="1:29" ht="15" customHeight="1" thickBot="1" x14ac:dyDescent="0.4">
      <c r="A623" s="185"/>
      <c r="B623" s="12" t="s">
        <v>21</v>
      </c>
      <c r="C623" s="13" t="s">
        <v>16</v>
      </c>
      <c r="D623" s="13">
        <v>3</v>
      </c>
      <c r="E623" s="12" t="s">
        <v>109</v>
      </c>
      <c r="F623" s="40">
        <f>'GT Input'!C15</f>
        <v>13</v>
      </c>
      <c r="G623" s="40">
        <f>'GT Input'!D15</f>
        <v>18</v>
      </c>
      <c r="H623" s="40">
        <f>'GT Input'!E15</f>
        <v>13</v>
      </c>
      <c r="I623" s="40">
        <f>'GT Input'!F15</f>
        <v>18</v>
      </c>
      <c r="J623" s="41">
        <f>'Detailed Results'!G623</f>
        <v>11</v>
      </c>
      <c r="K623" s="41">
        <f>'Detailed Results'!H623</f>
        <v>9</v>
      </c>
      <c r="L623" s="42">
        <f t="shared" si="108"/>
        <v>0.81818181818181823</v>
      </c>
      <c r="M623" s="42">
        <f t="shared" si="116"/>
        <v>0.69230769230769229</v>
      </c>
      <c r="N623" s="42">
        <f t="shared" si="109"/>
        <v>0.75000000000000011</v>
      </c>
      <c r="O623" s="43">
        <f>'Detailed Results'!I623</f>
        <v>11</v>
      </c>
      <c r="P623" s="43">
        <f>'Detailed Results'!J623</f>
        <v>10</v>
      </c>
      <c r="Q623" s="44">
        <f t="shared" si="110"/>
        <v>0.90909090909090906</v>
      </c>
      <c r="R623" s="44">
        <f t="shared" si="117"/>
        <v>0.55555555555555558</v>
      </c>
      <c r="S623" s="44">
        <f t="shared" si="111"/>
        <v>0.68965517241379315</v>
      </c>
      <c r="T623" s="45">
        <f>'Detailed Results'!K623</f>
        <v>11</v>
      </c>
      <c r="U623" s="45">
        <f>'Detailed Results'!L623</f>
        <v>9</v>
      </c>
      <c r="V623" s="46">
        <f t="shared" si="112"/>
        <v>0.81818181818181823</v>
      </c>
      <c r="W623" s="46">
        <f t="shared" si="118"/>
        <v>0.69230769230769229</v>
      </c>
      <c r="X623" s="46">
        <f t="shared" si="113"/>
        <v>0.75000000000000011</v>
      </c>
      <c r="Y623" s="47">
        <f>'Detailed Results'!M623</f>
        <v>11</v>
      </c>
      <c r="Z623" s="47">
        <f>'Detailed Results'!N623</f>
        <v>7</v>
      </c>
      <c r="AA623" s="48">
        <f t="shared" si="114"/>
        <v>0.63636363636363635</v>
      </c>
      <c r="AB623" s="48">
        <f t="shared" si="119"/>
        <v>0.3888888888888889</v>
      </c>
      <c r="AC623" s="48">
        <f t="shared" si="115"/>
        <v>0.48275862068965519</v>
      </c>
    </row>
    <row r="624" spans="1:29" ht="15" customHeight="1" thickBot="1" x14ac:dyDescent="0.4">
      <c r="A624" s="185"/>
      <c r="B624" s="14" t="s">
        <v>21</v>
      </c>
      <c r="C624" s="15" t="s">
        <v>19</v>
      </c>
      <c r="D624" s="15">
        <v>1</v>
      </c>
      <c r="E624" s="14" t="s">
        <v>17</v>
      </c>
      <c r="F624" s="40">
        <f>'GT Input'!C15</f>
        <v>13</v>
      </c>
      <c r="G624" s="40">
        <f>'GT Input'!D15</f>
        <v>18</v>
      </c>
      <c r="H624" s="40">
        <f>'GT Input'!E15</f>
        <v>13</v>
      </c>
      <c r="I624" s="40">
        <f>'GT Input'!F15</f>
        <v>18</v>
      </c>
      <c r="J624" s="41">
        <f>'Detailed Results'!G624</f>
        <v>11</v>
      </c>
      <c r="K624" s="41">
        <f>'Detailed Results'!H624</f>
        <v>11</v>
      </c>
      <c r="L624" s="42">
        <f t="shared" si="108"/>
        <v>1</v>
      </c>
      <c r="M624" s="42">
        <f t="shared" si="116"/>
        <v>0.84615384615384615</v>
      </c>
      <c r="N624" s="42">
        <f t="shared" si="109"/>
        <v>0.91666666666666663</v>
      </c>
      <c r="O624" s="43">
        <f>'Detailed Results'!I624</f>
        <v>11</v>
      </c>
      <c r="P624" s="43">
        <f>'Detailed Results'!J624</f>
        <v>11</v>
      </c>
      <c r="Q624" s="44">
        <f t="shared" si="110"/>
        <v>1</v>
      </c>
      <c r="R624" s="44">
        <f t="shared" si="117"/>
        <v>0.61111111111111116</v>
      </c>
      <c r="S624" s="44">
        <f t="shared" si="111"/>
        <v>0.75862068965517249</v>
      </c>
      <c r="T624" s="45">
        <f>'Detailed Results'!K624</f>
        <v>11</v>
      </c>
      <c r="U624" s="45">
        <f>'Detailed Results'!L624</f>
        <v>10</v>
      </c>
      <c r="V624" s="46">
        <f t="shared" si="112"/>
        <v>0.90909090909090906</v>
      </c>
      <c r="W624" s="46">
        <f t="shared" si="118"/>
        <v>0.76923076923076927</v>
      </c>
      <c r="X624" s="46">
        <f t="shared" si="113"/>
        <v>0.83333333333333326</v>
      </c>
      <c r="Y624" s="47">
        <f>'Detailed Results'!M624</f>
        <v>11</v>
      </c>
      <c r="Z624" s="47">
        <f>'Detailed Results'!N624</f>
        <v>8</v>
      </c>
      <c r="AA624" s="48">
        <f t="shared" si="114"/>
        <v>0.72727272727272729</v>
      </c>
      <c r="AB624" s="48">
        <f t="shared" si="119"/>
        <v>0.44444444444444442</v>
      </c>
      <c r="AC624" s="48">
        <f t="shared" si="115"/>
        <v>0.55172413793103448</v>
      </c>
    </row>
    <row r="625" spans="1:29" ht="15" customHeight="1" thickBot="1" x14ac:dyDescent="0.4">
      <c r="A625" s="185"/>
      <c r="B625" s="14" t="s">
        <v>21</v>
      </c>
      <c r="C625" s="15" t="s">
        <v>19</v>
      </c>
      <c r="D625" s="15">
        <v>1</v>
      </c>
      <c r="E625" s="14" t="s">
        <v>109</v>
      </c>
      <c r="F625" s="40">
        <f>'GT Input'!C15</f>
        <v>13</v>
      </c>
      <c r="G625" s="40">
        <f>'GT Input'!D15</f>
        <v>18</v>
      </c>
      <c r="H625" s="40">
        <f>'GT Input'!E15</f>
        <v>13</v>
      </c>
      <c r="I625" s="40">
        <f>'GT Input'!F15</f>
        <v>18</v>
      </c>
      <c r="J625" s="41">
        <f>'Detailed Results'!G625</f>
        <v>11</v>
      </c>
      <c r="K625" s="41">
        <f>'Detailed Results'!H625</f>
        <v>9</v>
      </c>
      <c r="L625" s="42">
        <f t="shared" si="108"/>
        <v>0.81818181818181823</v>
      </c>
      <c r="M625" s="42">
        <f t="shared" si="116"/>
        <v>0.69230769230769229</v>
      </c>
      <c r="N625" s="42">
        <f t="shared" si="109"/>
        <v>0.75000000000000011</v>
      </c>
      <c r="O625" s="43">
        <f>'Detailed Results'!I625</f>
        <v>11</v>
      </c>
      <c r="P625" s="43">
        <f>'Detailed Results'!J625</f>
        <v>10</v>
      </c>
      <c r="Q625" s="44">
        <f t="shared" si="110"/>
        <v>0.90909090909090906</v>
      </c>
      <c r="R625" s="44">
        <f t="shared" si="117"/>
        <v>0.55555555555555558</v>
      </c>
      <c r="S625" s="44">
        <f t="shared" si="111"/>
        <v>0.68965517241379315</v>
      </c>
      <c r="T625" s="45">
        <f>'Detailed Results'!K625</f>
        <v>11</v>
      </c>
      <c r="U625" s="45">
        <f>'Detailed Results'!L625</f>
        <v>9</v>
      </c>
      <c r="V625" s="46">
        <f t="shared" si="112"/>
        <v>0.81818181818181823</v>
      </c>
      <c r="W625" s="46">
        <f t="shared" si="118"/>
        <v>0.69230769230769229</v>
      </c>
      <c r="X625" s="46">
        <f t="shared" si="113"/>
        <v>0.75000000000000011</v>
      </c>
      <c r="Y625" s="47">
        <f>'Detailed Results'!M625</f>
        <v>11</v>
      </c>
      <c r="Z625" s="47">
        <f>'Detailed Results'!N625</f>
        <v>8</v>
      </c>
      <c r="AA625" s="48">
        <f t="shared" si="114"/>
        <v>0.72727272727272729</v>
      </c>
      <c r="AB625" s="48">
        <f t="shared" si="119"/>
        <v>0.44444444444444442</v>
      </c>
      <c r="AC625" s="48">
        <f t="shared" si="115"/>
        <v>0.55172413793103448</v>
      </c>
    </row>
    <row r="626" spans="1:29" ht="15" customHeight="1" thickBot="1" x14ac:dyDescent="0.4">
      <c r="A626" s="185"/>
      <c r="B626" s="12" t="s">
        <v>21</v>
      </c>
      <c r="C626" s="13" t="s">
        <v>19</v>
      </c>
      <c r="D626" s="13">
        <v>2</v>
      </c>
      <c r="E626" s="12" t="s">
        <v>17</v>
      </c>
      <c r="F626" s="40">
        <f>'GT Input'!C15</f>
        <v>13</v>
      </c>
      <c r="G626" s="40">
        <f>'GT Input'!D15</f>
        <v>18</v>
      </c>
      <c r="H626" s="40">
        <f>'GT Input'!E15</f>
        <v>13</v>
      </c>
      <c r="I626" s="40">
        <f>'GT Input'!F15</f>
        <v>18</v>
      </c>
      <c r="J626" s="41">
        <f>'Detailed Results'!G626</f>
        <v>11</v>
      </c>
      <c r="K626" s="41">
        <f>'Detailed Results'!H626</f>
        <v>11</v>
      </c>
      <c r="L626" s="42">
        <f t="shared" si="108"/>
        <v>1</v>
      </c>
      <c r="M626" s="42">
        <f t="shared" si="116"/>
        <v>0.84615384615384615</v>
      </c>
      <c r="N626" s="42">
        <f t="shared" si="109"/>
        <v>0.91666666666666663</v>
      </c>
      <c r="O626" s="43">
        <f>'Detailed Results'!I626</f>
        <v>11</v>
      </c>
      <c r="P626" s="43">
        <f>'Detailed Results'!J626</f>
        <v>11</v>
      </c>
      <c r="Q626" s="44">
        <f t="shared" si="110"/>
        <v>1</v>
      </c>
      <c r="R626" s="44">
        <f t="shared" si="117"/>
        <v>0.61111111111111116</v>
      </c>
      <c r="S626" s="44">
        <f t="shared" si="111"/>
        <v>0.75862068965517249</v>
      </c>
      <c r="T626" s="45">
        <f>'Detailed Results'!K626</f>
        <v>11</v>
      </c>
      <c r="U626" s="45">
        <f>'Detailed Results'!L626</f>
        <v>10</v>
      </c>
      <c r="V626" s="46">
        <f t="shared" si="112"/>
        <v>0.90909090909090906</v>
      </c>
      <c r="W626" s="46">
        <f t="shared" si="118"/>
        <v>0.76923076923076927</v>
      </c>
      <c r="X626" s="46">
        <f t="shared" si="113"/>
        <v>0.83333333333333326</v>
      </c>
      <c r="Y626" s="47">
        <f>'Detailed Results'!M626</f>
        <v>11</v>
      </c>
      <c r="Z626" s="47">
        <f>'Detailed Results'!N626</f>
        <v>8</v>
      </c>
      <c r="AA626" s="48">
        <f t="shared" si="114"/>
        <v>0.72727272727272729</v>
      </c>
      <c r="AB626" s="48">
        <f t="shared" si="119"/>
        <v>0.44444444444444442</v>
      </c>
      <c r="AC626" s="48">
        <f t="shared" si="115"/>
        <v>0.55172413793103448</v>
      </c>
    </row>
    <row r="627" spans="1:29" ht="15" customHeight="1" thickBot="1" x14ac:dyDescent="0.4">
      <c r="A627" s="185"/>
      <c r="B627" s="12" t="s">
        <v>21</v>
      </c>
      <c r="C627" s="13" t="s">
        <v>19</v>
      </c>
      <c r="D627" s="13">
        <v>2</v>
      </c>
      <c r="E627" s="12" t="s">
        <v>109</v>
      </c>
      <c r="F627" s="40">
        <f>'GT Input'!C15</f>
        <v>13</v>
      </c>
      <c r="G627" s="40">
        <f>'GT Input'!D15</f>
        <v>18</v>
      </c>
      <c r="H627" s="40">
        <f>'GT Input'!E15</f>
        <v>13</v>
      </c>
      <c r="I627" s="40">
        <f>'GT Input'!F15</f>
        <v>18</v>
      </c>
      <c r="J627" s="41">
        <f>'Detailed Results'!G627</f>
        <v>11</v>
      </c>
      <c r="K627" s="41">
        <f>'Detailed Results'!H627</f>
        <v>9</v>
      </c>
      <c r="L627" s="42">
        <f t="shared" si="108"/>
        <v>0.81818181818181823</v>
      </c>
      <c r="M627" s="42">
        <f t="shared" si="116"/>
        <v>0.69230769230769229</v>
      </c>
      <c r="N627" s="42">
        <f t="shared" si="109"/>
        <v>0.75000000000000011</v>
      </c>
      <c r="O627" s="43">
        <f>'Detailed Results'!I627</f>
        <v>11</v>
      </c>
      <c r="P627" s="43">
        <f>'Detailed Results'!J627</f>
        <v>10</v>
      </c>
      <c r="Q627" s="44">
        <f t="shared" si="110"/>
        <v>0.90909090909090906</v>
      </c>
      <c r="R627" s="44">
        <f t="shared" si="117"/>
        <v>0.55555555555555558</v>
      </c>
      <c r="S627" s="44">
        <f t="shared" si="111"/>
        <v>0.68965517241379315</v>
      </c>
      <c r="T627" s="45">
        <f>'Detailed Results'!K627</f>
        <v>11</v>
      </c>
      <c r="U627" s="45">
        <f>'Detailed Results'!L627</f>
        <v>9</v>
      </c>
      <c r="V627" s="46">
        <f t="shared" si="112"/>
        <v>0.81818181818181823</v>
      </c>
      <c r="W627" s="46">
        <f t="shared" si="118"/>
        <v>0.69230769230769229</v>
      </c>
      <c r="X627" s="46">
        <f t="shared" si="113"/>
        <v>0.75000000000000011</v>
      </c>
      <c r="Y627" s="47">
        <f>'Detailed Results'!M627</f>
        <v>11</v>
      </c>
      <c r="Z627" s="47">
        <f>'Detailed Results'!N627</f>
        <v>7</v>
      </c>
      <c r="AA627" s="48">
        <f t="shared" si="114"/>
        <v>0.63636363636363635</v>
      </c>
      <c r="AB627" s="48">
        <f t="shared" si="119"/>
        <v>0.3888888888888889</v>
      </c>
      <c r="AC627" s="48">
        <f t="shared" si="115"/>
        <v>0.48275862068965519</v>
      </c>
    </row>
    <row r="628" spans="1:29" ht="15" customHeight="1" thickBot="1" x14ac:dyDescent="0.4">
      <c r="A628" s="185"/>
      <c r="B628" s="14" t="s">
        <v>21</v>
      </c>
      <c r="C628" s="15" t="s">
        <v>19</v>
      </c>
      <c r="D628" s="15">
        <v>3</v>
      </c>
      <c r="E628" s="14" t="s">
        <v>17</v>
      </c>
      <c r="F628" s="40">
        <f>'GT Input'!C15</f>
        <v>13</v>
      </c>
      <c r="G628" s="40">
        <f>'GT Input'!D15</f>
        <v>18</v>
      </c>
      <c r="H628" s="40">
        <f>'GT Input'!E15</f>
        <v>13</v>
      </c>
      <c r="I628" s="40">
        <f>'GT Input'!F15</f>
        <v>18</v>
      </c>
      <c r="J628" s="41">
        <f>'Detailed Results'!G628</f>
        <v>11</v>
      </c>
      <c r="K628" s="41">
        <f>'Detailed Results'!H628</f>
        <v>11</v>
      </c>
      <c r="L628" s="42">
        <f t="shared" si="108"/>
        <v>1</v>
      </c>
      <c r="M628" s="42">
        <f t="shared" si="116"/>
        <v>0.84615384615384615</v>
      </c>
      <c r="N628" s="42">
        <f t="shared" si="109"/>
        <v>0.91666666666666663</v>
      </c>
      <c r="O628" s="43">
        <f>'Detailed Results'!I628</f>
        <v>11</v>
      </c>
      <c r="P628" s="43">
        <f>'Detailed Results'!J628</f>
        <v>11</v>
      </c>
      <c r="Q628" s="44">
        <f t="shared" si="110"/>
        <v>1</v>
      </c>
      <c r="R628" s="44">
        <f t="shared" si="117"/>
        <v>0.61111111111111116</v>
      </c>
      <c r="S628" s="44">
        <f t="shared" si="111"/>
        <v>0.75862068965517249</v>
      </c>
      <c r="T628" s="45">
        <f>'Detailed Results'!K628</f>
        <v>11</v>
      </c>
      <c r="U628" s="45">
        <f>'Detailed Results'!L628</f>
        <v>10</v>
      </c>
      <c r="V628" s="46">
        <f t="shared" si="112"/>
        <v>0.90909090909090906</v>
      </c>
      <c r="W628" s="46">
        <f t="shared" si="118"/>
        <v>0.76923076923076927</v>
      </c>
      <c r="X628" s="46">
        <f t="shared" si="113"/>
        <v>0.83333333333333326</v>
      </c>
      <c r="Y628" s="47">
        <f>'Detailed Results'!M628</f>
        <v>11</v>
      </c>
      <c r="Z628" s="47">
        <f>'Detailed Results'!N628</f>
        <v>8</v>
      </c>
      <c r="AA628" s="48">
        <f t="shared" si="114"/>
        <v>0.72727272727272729</v>
      </c>
      <c r="AB628" s="48">
        <f t="shared" si="119"/>
        <v>0.44444444444444442</v>
      </c>
      <c r="AC628" s="48">
        <f t="shared" si="115"/>
        <v>0.55172413793103448</v>
      </c>
    </row>
    <row r="629" spans="1:29" ht="15" customHeight="1" thickBot="1" x14ac:dyDescent="0.4">
      <c r="A629" s="185"/>
      <c r="B629" s="14" t="s">
        <v>21</v>
      </c>
      <c r="C629" s="15" t="s">
        <v>19</v>
      </c>
      <c r="D629" s="15">
        <v>3</v>
      </c>
      <c r="E629" s="14" t="s">
        <v>109</v>
      </c>
      <c r="F629" s="40">
        <f>'GT Input'!C15</f>
        <v>13</v>
      </c>
      <c r="G629" s="40">
        <f>'GT Input'!D15</f>
        <v>18</v>
      </c>
      <c r="H629" s="40">
        <f>'GT Input'!E15</f>
        <v>13</v>
      </c>
      <c r="I629" s="40">
        <f>'GT Input'!F15</f>
        <v>18</v>
      </c>
      <c r="J629" s="41">
        <f>'Detailed Results'!G629</f>
        <v>11</v>
      </c>
      <c r="K629" s="41">
        <f>'Detailed Results'!H629</f>
        <v>9</v>
      </c>
      <c r="L629" s="42">
        <f t="shared" si="108"/>
        <v>0.81818181818181823</v>
      </c>
      <c r="M629" s="42">
        <f t="shared" si="116"/>
        <v>0.69230769230769229</v>
      </c>
      <c r="N629" s="42">
        <f t="shared" si="109"/>
        <v>0.75000000000000011</v>
      </c>
      <c r="O629" s="43">
        <f>'Detailed Results'!I629</f>
        <v>11</v>
      </c>
      <c r="P629" s="43">
        <f>'Detailed Results'!J629</f>
        <v>10</v>
      </c>
      <c r="Q629" s="44">
        <f t="shared" si="110"/>
        <v>0.90909090909090906</v>
      </c>
      <c r="R629" s="44">
        <f t="shared" si="117"/>
        <v>0.55555555555555558</v>
      </c>
      <c r="S629" s="44">
        <f t="shared" si="111"/>
        <v>0.68965517241379315</v>
      </c>
      <c r="T629" s="45">
        <f>'Detailed Results'!K629</f>
        <v>11</v>
      </c>
      <c r="U629" s="45">
        <f>'Detailed Results'!L629</f>
        <v>9</v>
      </c>
      <c r="V629" s="46">
        <f t="shared" si="112"/>
        <v>0.81818181818181823</v>
      </c>
      <c r="W629" s="46">
        <f t="shared" si="118"/>
        <v>0.69230769230769229</v>
      </c>
      <c r="X629" s="46">
        <f t="shared" si="113"/>
        <v>0.75000000000000011</v>
      </c>
      <c r="Y629" s="47">
        <f>'Detailed Results'!M629</f>
        <v>11</v>
      </c>
      <c r="Z629" s="47">
        <f>'Detailed Results'!N629</f>
        <v>8</v>
      </c>
      <c r="AA629" s="48">
        <f t="shared" si="114"/>
        <v>0.72727272727272729</v>
      </c>
      <c r="AB629" s="48">
        <f t="shared" si="119"/>
        <v>0.44444444444444442</v>
      </c>
      <c r="AC629" s="48">
        <f t="shared" si="115"/>
        <v>0.55172413793103448</v>
      </c>
    </row>
    <row r="630" spans="1:29" ht="15" customHeight="1" thickBot="1" x14ac:dyDescent="0.4">
      <c r="A630" s="185"/>
      <c r="B630" s="12" t="s">
        <v>21</v>
      </c>
      <c r="C630" s="13" t="s">
        <v>20</v>
      </c>
      <c r="D630" s="13">
        <v>1</v>
      </c>
      <c r="E630" s="12" t="s">
        <v>17</v>
      </c>
      <c r="F630" s="40">
        <f>'GT Input'!C15</f>
        <v>13</v>
      </c>
      <c r="G630" s="40">
        <f>'GT Input'!D15</f>
        <v>18</v>
      </c>
      <c r="H630" s="40">
        <f>'GT Input'!E15</f>
        <v>13</v>
      </c>
      <c r="I630" s="40">
        <f>'GT Input'!F15</f>
        <v>18</v>
      </c>
      <c r="J630" s="41">
        <f>'Detailed Results'!G630</f>
        <v>11</v>
      </c>
      <c r="K630" s="41">
        <f>'Detailed Results'!H630</f>
        <v>11</v>
      </c>
      <c r="L630" s="42">
        <f t="shared" si="108"/>
        <v>1</v>
      </c>
      <c r="M630" s="42">
        <f t="shared" si="116"/>
        <v>0.84615384615384615</v>
      </c>
      <c r="N630" s="42">
        <f t="shared" si="109"/>
        <v>0.91666666666666663</v>
      </c>
      <c r="O630" s="43">
        <f>'Detailed Results'!I630</f>
        <v>11</v>
      </c>
      <c r="P630" s="43">
        <f>'Detailed Results'!J630</f>
        <v>11</v>
      </c>
      <c r="Q630" s="44">
        <f t="shared" si="110"/>
        <v>1</v>
      </c>
      <c r="R630" s="44">
        <f t="shared" si="117"/>
        <v>0.61111111111111116</v>
      </c>
      <c r="S630" s="44">
        <f t="shared" si="111"/>
        <v>0.75862068965517249</v>
      </c>
      <c r="T630" s="45">
        <f>'Detailed Results'!K630</f>
        <v>11</v>
      </c>
      <c r="U630" s="45">
        <f>'Detailed Results'!L630</f>
        <v>10</v>
      </c>
      <c r="V630" s="46">
        <f t="shared" si="112"/>
        <v>0.90909090909090906</v>
      </c>
      <c r="W630" s="46">
        <f t="shared" si="118"/>
        <v>0.76923076923076927</v>
      </c>
      <c r="X630" s="46">
        <f t="shared" si="113"/>
        <v>0.83333333333333326</v>
      </c>
      <c r="Y630" s="47">
        <f>'Detailed Results'!M630</f>
        <v>11</v>
      </c>
      <c r="Z630" s="47">
        <f>'Detailed Results'!N630</f>
        <v>8</v>
      </c>
      <c r="AA630" s="48">
        <f t="shared" si="114"/>
        <v>0.72727272727272729</v>
      </c>
      <c r="AB630" s="48">
        <f t="shared" si="119"/>
        <v>0.44444444444444442</v>
      </c>
      <c r="AC630" s="48">
        <f t="shared" si="115"/>
        <v>0.55172413793103448</v>
      </c>
    </row>
    <row r="631" spans="1:29" ht="15" customHeight="1" thickBot="1" x14ac:dyDescent="0.4">
      <c r="A631" s="185"/>
      <c r="B631" s="12" t="s">
        <v>21</v>
      </c>
      <c r="C631" s="13" t="s">
        <v>20</v>
      </c>
      <c r="D631" s="13">
        <v>1</v>
      </c>
      <c r="E631" s="12" t="s">
        <v>109</v>
      </c>
      <c r="F631" s="40">
        <f>'GT Input'!C15</f>
        <v>13</v>
      </c>
      <c r="G631" s="40">
        <f>'GT Input'!D15</f>
        <v>18</v>
      </c>
      <c r="H631" s="40">
        <f>'GT Input'!E15</f>
        <v>13</v>
      </c>
      <c r="I631" s="40">
        <f>'GT Input'!F15</f>
        <v>18</v>
      </c>
      <c r="J631" s="41">
        <f>'Detailed Results'!G631</f>
        <v>11</v>
      </c>
      <c r="K631" s="41">
        <f>'Detailed Results'!H631</f>
        <v>9</v>
      </c>
      <c r="L631" s="42">
        <f t="shared" si="108"/>
        <v>0.81818181818181823</v>
      </c>
      <c r="M631" s="42">
        <f t="shared" si="116"/>
        <v>0.69230769230769229</v>
      </c>
      <c r="N631" s="42">
        <f t="shared" si="109"/>
        <v>0.75000000000000011</v>
      </c>
      <c r="O631" s="43">
        <f>'Detailed Results'!I631</f>
        <v>11</v>
      </c>
      <c r="P631" s="43">
        <f>'Detailed Results'!J631</f>
        <v>10</v>
      </c>
      <c r="Q631" s="44">
        <f t="shared" si="110"/>
        <v>0.90909090909090906</v>
      </c>
      <c r="R631" s="44">
        <f t="shared" si="117"/>
        <v>0.55555555555555558</v>
      </c>
      <c r="S631" s="44">
        <f t="shared" si="111"/>
        <v>0.68965517241379315</v>
      </c>
      <c r="T631" s="45">
        <f>'Detailed Results'!K631</f>
        <v>11</v>
      </c>
      <c r="U631" s="45">
        <f>'Detailed Results'!L631</f>
        <v>9</v>
      </c>
      <c r="V631" s="46">
        <f t="shared" si="112"/>
        <v>0.81818181818181823</v>
      </c>
      <c r="W631" s="46">
        <f t="shared" si="118"/>
        <v>0.69230769230769229</v>
      </c>
      <c r="X631" s="46">
        <f t="shared" si="113"/>
        <v>0.75000000000000011</v>
      </c>
      <c r="Y631" s="47">
        <f>'Detailed Results'!M631</f>
        <v>11</v>
      </c>
      <c r="Z631" s="47">
        <f>'Detailed Results'!N631</f>
        <v>7</v>
      </c>
      <c r="AA631" s="48">
        <f t="shared" si="114"/>
        <v>0.63636363636363635</v>
      </c>
      <c r="AB631" s="48">
        <f t="shared" si="119"/>
        <v>0.3888888888888889</v>
      </c>
      <c r="AC631" s="48">
        <f t="shared" si="115"/>
        <v>0.48275862068965519</v>
      </c>
    </row>
    <row r="632" spans="1:29" ht="15" customHeight="1" thickBot="1" x14ac:dyDescent="0.4">
      <c r="A632" s="185"/>
      <c r="B632" s="14" t="s">
        <v>21</v>
      </c>
      <c r="C632" s="15" t="s">
        <v>20</v>
      </c>
      <c r="D632" s="15">
        <v>2</v>
      </c>
      <c r="E632" s="14" t="s">
        <v>17</v>
      </c>
      <c r="F632" s="40">
        <f>'GT Input'!C15</f>
        <v>13</v>
      </c>
      <c r="G632" s="40">
        <f>'GT Input'!D15</f>
        <v>18</v>
      </c>
      <c r="H632" s="40">
        <f>'GT Input'!E15</f>
        <v>13</v>
      </c>
      <c r="I632" s="40">
        <f>'GT Input'!F15</f>
        <v>18</v>
      </c>
      <c r="J632" s="41">
        <f>'Detailed Results'!G632</f>
        <v>11</v>
      </c>
      <c r="K632" s="41">
        <f>'Detailed Results'!H632</f>
        <v>11</v>
      </c>
      <c r="L632" s="42">
        <f t="shared" si="108"/>
        <v>1</v>
      </c>
      <c r="M632" s="42">
        <f t="shared" si="116"/>
        <v>0.84615384615384615</v>
      </c>
      <c r="N632" s="42">
        <f t="shared" si="109"/>
        <v>0.91666666666666663</v>
      </c>
      <c r="O632" s="43">
        <f>'Detailed Results'!I632</f>
        <v>11</v>
      </c>
      <c r="P632" s="43">
        <f>'Detailed Results'!J632</f>
        <v>11</v>
      </c>
      <c r="Q632" s="44">
        <f t="shared" si="110"/>
        <v>1</v>
      </c>
      <c r="R632" s="44">
        <f t="shared" si="117"/>
        <v>0.61111111111111116</v>
      </c>
      <c r="S632" s="44">
        <f t="shared" si="111"/>
        <v>0.75862068965517249</v>
      </c>
      <c r="T632" s="45">
        <f>'Detailed Results'!K632</f>
        <v>11</v>
      </c>
      <c r="U632" s="45">
        <f>'Detailed Results'!L632</f>
        <v>10</v>
      </c>
      <c r="V632" s="46">
        <f t="shared" si="112"/>
        <v>0.90909090909090906</v>
      </c>
      <c r="W632" s="46">
        <f t="shared" si="118"/>
        <v>0.76923076923076927</v>
      </c>
      <c r="X632" s="46">
        <f t="shared" si="113"/>
        <v>0.83333333333333326</v>
      </c>
      <c r="Y632" s="47">
        <f>'Detailed Results'!M632</f>
        <v>11</v>
      </c>
      <c r="Z632" s="47">
        <f>'Detailed Results'!N632</f>
        <v>8</v>
      </c>
      <c r="AA632" s="48">
        <f t="shared" si="114"/>
        <v>0.72727272727272729</v>
      </c>
      <c r="AB632" s="48">
        <f t="shared" si="119"/>
        <v>0.44444444444444442</v>
      </c>
      <c r="AC632" s="48">
        <f t="shared" si="115"/>
        <v>0.55172413793103448</v>
      </c>
    </row>
    <row r="633" spans="1:29" ht="15" customHeight="1" thickBot="1" x14ac:dyDescent="0.4">
      <c r="A633" s="185"/>
      <c r="B633" s="14" t="s">
        <v>21</v>
      </c>
      <c r="C633" s="15" t="s">
        <v>20</v>
      </c>
      <c r="D633" s="15">
        <v>2</v>
      </c>
      <c r="E633" s="14" t="s">
        <v>109</v>
      </c>
      <c r="F633" s="40">
        <f>'GT Input'!C15</f>
        <v>13</v>
      </c>
      <c r="G633" s="40">
        <f>'GT Input'!D15</f>
        <v>18</v>
      </c>
      <c r="H633" s="40">
        <f>'GT Input'!E15</f>
        <v>13</v>
      </c>
      <c r="I633" s="40">
        <f>'GT Input'!F15</f>
        <v>18</v>
      </c>
      <c r="J633" s="41">
        <f>'Detailed Results'!G633</f>
        <v>11</v>
      </c>
      <c r="K633" s="41">
        <f>'Detailed Results'!H633</f>
        <v>9</v>
      </c>
      <c r="L633" s="42">
        <f t="shared" si="108"/>
        <v>0.81818181818181823</v>
      </c>
      <c r="M633" s="42">
        <f t="shared" si="116"/>
        <v>0.69230769230769229</v>
      </c>
      <c r="N633" s="42">
        <f t="shared" si="109"/>
        <v>0.75000000000000011</v>
      </c>
      <c r="O633" s="43">
        <f>'Detailed Results'!I633</f>
        <v>11</v>
      </c>
      <c r="P633" s="43">
        <f>'Detailed Results'!J633</f>
        <v>10</v>
      </c>
      <c r="Q633" s="44">
        <f t="shared" si="110"/>
        <v>0.90909090909090906</v>
      </c>
      <c r="R633" s="44">
        <f t="shared" si="117"/>
        <v>0.55555555555555558</v>
      </c>
      <c r="S633" s="44">
        <f t="shared" si="111"/>
        <v>0.68965517241379315</v>
      </c>
      <c r="T633" s="45">
        <f>'Detailed Results'!K633</f>
        <v>11</v>
      </c>
      <c r="U633" s="45">
        <f>'Detailed Results'!L633</f>
        <v>9</v>
      </c>
      <c r="V633" s="46">
        <f t="shared" si="112"/>
        <v>0.81818181818181823</v>
      </c>
      <c r="W633" s="46">
        <f t="shared" si="118"/>
        <v>0.69230769230769229</v>
      </c>
      <c r="X633" s="46">
        <f t="shared" si="113"/>
        <v>0.75000000000000011</v>
      </c>
      <c r="Y633" s="47">
        <f>'Detailed Results'!M633</f>
        <v>11</v>
      </c>
      <c r="Z633" s="47">
        <f>'Detailed Results'!N633</f>
        <v>8</v>
      </c>
      <c r="AA633" s="48">
        <f t="shared" si="114"/>
        <v>0.72727272727272729</v>
      </c>
      <c r="AB633" s="48">
        <f t="shared" si="119"/>
        <v>0.44444444444444442</v>
      </c>
      <c r="AC633" s="48">
        <f t="shared" si="115"/>
        <v>0.55172413793103448</v>
      </c>
    </row>
    <row r="634" spans="1:29" ht="15" customHeight="1" thickBot="1" x14ac:dyDescent="0.4">
      <c r="A634" s="185"/>
      <c r="B634" s="12" t="s">
        <v>21</v>
      </c>
      <c r="C634" s="13" t="s">
        <v>20</v>
      </c>
      <c r="D634" s="13">
        <v>3</v>
      </c>
      <c r="E634" s="12" t="s">
        <v>17</v>
      </c>
      <c r="F634" s="40">
        <f>'GT Input'!C15</f>
        <v>13</v>
      </c>
      <c r="G634" s="40">
        <f>'GT Input'!D15</f>
        <v>18</v>
      </c>
      <c r="H634" s="40">
        <f>'GT Input'!E15</f>
        <v>13</v>
      </c>
      <c r="I634" s="40">
        <f>'GT Input'!F15</f>
        <v>18</v>
      </c>
      <c r="J634" s="41">
        <f>'Detailed Results'!G634</f>
        <v>11</v>
      </c>
      <c r="K634" s="41">
        <f>'Detailed Results'!H634</f>
        <v>11</v>
      </c>
      <c r="L634" s="42">
        <f t="shared" si="108"/>
        <v>1</v>
      </c>
      <c r="M634" s="42">
        <f t="shared" si="116"/>
        <v>0.84615384615384615</v>
      </c>
      <c r="N634" s="42">
        <f t="shared" si="109"/>
        <v>0.91666666666666663</v>
      </c>
      <c r="O634" s="43">
        <f>'Detailed Results'!I634</f>
        <v>11</v>
      </c>
      <c r="P634" s="43">
        <f>'Detailed Results'!J634</f>
        <v>11</v>
      </c>
      <c r="Q634" s="44">
        <f t="shared" si="110"/>
        <v>1</v>
      </c>
      <c r="R634" s="44">
        <f t="shared" si="117"/>
        <v>0.61111111111111116</v>
      </c>
      <c r="S634" s="44">
        <f t="shared" si="111"/>
        <v>0.75862068965517249</v>
      </c>
      <c r="T634" s="45">
        <f>'Detailed Results'!K634</f>
        <v>11</v>
      </c>
      <c r="U634" s="45">
        <f>'Detailed Results'!L634</f>
        <v>10</v>
      </c>
      <c r="V634" s="46">
        <f t="shared" si="112"/>
        <v>0.90909090909090906</v>
      </c>
      <c r="W634" s="46">
        <f t="shared" si="118"/>
        <v>0.76923076923076927</v>
      </c>
      <c r="X634" s="46">
        <f t="shared" si="113"/>
        <v>0.83333333333333326</v>
      </c>
      <c r="Y634" s="47">
        <f>'Detailed Results'!M634</f>
        <v>11</v>
      </c>
      <c r="Z634" s="47">
        <f>'Detailed Results'!N634</f>
        <v>8</v>
      </c>
      <c r="AA634" s="48">
        <f t="shared" si="114"/>
        <v>0.72727272727272729</v>
      </c>
      <c r="AB634" s="48">
        <f t="shared" si="119"/>
        <v>0.44444444444444442</v>
      </c>
      <c r="AC634" s="48">
        <f t="shared" si="115"/>
        <v>0.55172413793103448</v>
      </c>
    </row>
    <row r="635" spans="1:29" ht="15" customHeight="1" thickBot="1" x14ac:dyDescent="0.4">
      <c r="A635" s="185"/>
      <c r="B635" s="12" t="s">
        <v>21</v>
      </c>
      <c r="C635" s="13" t="s">
        <v>20</v>
      </c>
      <c r="D635" s="13">
        <v>3</v>
      </c>
      <c r="E635" s="12" t="s">
        <v>109</v>
      </c>
      <c r="F635" s="40">
        <f>'GT Input'!C15</f>
        <v>13</v>
      </c>
      <c r="G635" s="40">
        <f>'GT Input'!D15</f>
        <v>18</v>
      </c>
      <c r="H635" s="40">
        <f>'GT Input'!E15</f>
        <v>13</v>
      </c>
      <c r="I635" s="40">
        <f>'GT Input'!F15</f>
        <v>18</v>
      </c>
      <c r="J635" s="41">
        <f>'Detailed Results'!G635</f>
        <v>11</v>
      </c>
      <c r="K635" s="41">
        <f>'Detailed Results'!H635</f>
        <v>9</v>
      </c>
      <c r="L635" s="42">
        <f t="shared" si="108"/>
        <v>0.81818181818181823</v>
      </c>
      <c r="M635" s="42">
        <f t="shared" si="116"/>
        <v>0.69230769230769229</v>
      </c>
      <c r="N635" s="42">
        <f t="shared" si="109"/>
        <v>0.75000000000000011</v>
      </c>
      <c r="O635" s="43">
        <f>'Detailed Results'!I635</f>
        <v>11</v>
      </c>
      <c r="P635" s="43">
        <f>'Detailed Results'!J635</f>
        <v>10</v>
      </c>
      <c r="Q635" s="44">
        <f t="shared" si="110"/>
        <v>0.90909090909090906</v>
      </c>
      <c r="R635" s="44">
        <f t="shared" si="117"/>
        <v>0.55555555555555558</v>
      </c>
      <c r="S635" s="44">
        <f t="shared" si="111"/>
        <v>0.68965517241379315</v>
      </c>
      <c r="T635" s="45">
        <f>'Detailed Results'!K635</f>
        <v>11</v>
      </c>
      <c r="U635" s="45">
        <f>'Detailed Results'!L635</f>
        <v>9</v>
      </c>
      <c r="V635" s="46">
        <f t="shared" si="112"/>
        <v>0.81818181818181823</v>
      </c>
      <c r="W635" s="46">
        <f t="shared" si="118"/>
        <v>0.69230769230769229</v>
      </c>
      <c r="X635" s="46">
        <f t="shared" si="113"/>
        <v>0.75000000000000011</v>
      </c>
      <c r="Y635" s="47">
        <f>'Detailed Results'!M635</f>
        <v>11</v>
      </c>
      <c r="Z635" s="47">
        <f>'Detailed Results'!N635</f>
        <v>7</v>
      </c>
      <c r="AA635" s="48">
        <f t="shared" si="114"/>
        <v>0.63636363636363635</v>
      </c>
      <c r="AB635" s="48">
        <f t="shared" si="119"/>
        <v>0.3888888888888889</v>
      </c>
      <c r="AC635" s="48">
        <f t="shared" si="115"/>
        <v>0.48275862068965519</v>
      </c>
    </row>
    <row r="636" spans="1:29" ht="15" customHeight="1" thickBot="1" x14ac:dyDescent="0.4">
      <c r="A636" s="185"/>
      <c r="B636" s="16" t="s">
        <v>22</v>
      </c>
      <c r="C636" s="17" t="s">
        <v>16</v>
      </c>
      <c r="D636" s="17">
        <v>1</v>
      </c>
      <c r="E636" s="16" t="s">
        <v>17</v>
      </c>
      <c r="F636" s="40">
        <f>'GT Input'!C15</f>
        <v>13</v>
      </c>
      <c r="G636" s="40">
        <f>'GT Input'!D15</f>
        <v>18</v>
      </c>
      <c r="H636" s="40">
        <f>'GT Input'!E15</f>
        <v>13</v>
      </c>
      <c r="I636" s="40">
        <f>'GT Input'!F15</f>
        <v>18</v>
      </c>
      <c r="J636" s="41">
        <f>'Detailed Results'!G636</f>
        <v>11</v>
      </c>
      <c r="K636" s="41">
        <f>'Detailed Results'!H636</f>
        <v>11</v>
      </c>
      <c r="L636" s="42">
        <f t="shared" si="108"/>
        <v>1</v>
      </c>
      <c r="M636" s="42">
        <f t="shared" si="116"/>
        <v>0.84615384615384615</v>
      </c>
      <c r="N636" s="42">
        <f t="shared" si="109"/>
        <v>0.91666666666666663</v>
      </c>
      <c r="O636" s="43">
        <f>'Detailed Results'!I636</f>
        <v>11</v>
      </c>
      <c r="P636" s="43">
        <f>'Detailed Results'!J636</f>
        <v>11</v>
      </c>
      <c r="Q636" s="44">
        <f t="shared" si="110"/>
        <v>1</v>
      </c>
      <c r="R636" s="44">
        <f t="shared" si="117"/>
        <v>0.61111111111111116</v>
      </c>
      <c r="S636" s="44">
        <f t="shared" si="111"/>
        <v>0.75862068965517249</v>
      </c>
      <c r="T636" s="45">
        <f>'Detailed Results'!K636</f>
        <v>11</v>
      </c>
      <c r="U636" s="45">
        <f>'Detailed Results'!L636</f>
        <v>7</v>
      </c>
      <c r="V636" s="46">
        <f t="shared" si="112"/>
        <v>0.63636363636363635</v>
      </c>
      <c r="W636" s="46">
        <f t="shared" si="118"/>
        <v>0.53846153846153844</v>
      </c>
      <c r="X636" s="46">
        <f t="shared" si="113"/>
        <v>0.58333333333333337</v>
      </c>
      <c r="Y636" s="47">
        <f>'Detailed Results'!M636</f>
        <v>11</v>
      </c>
      <c r="Z636" s="47">
        <f>'Detailed Results'!N636</f>
        <v>10</v>
      </c>
      <c r="AA636" s="48">
        <f t="shared" si="114"/>
        <v>0.90909090909090906</v>
      </c>
      <c r="AB636" s="48">
        <f t="shared" si="119"/>
        <v>0.55555555555555558</v>
      </c>
      <c r="AC636" s="48">
        <f t="shared" si="115"/>
        <v>0.68965517241379315</v>
      </c>
    </row>
    <row r="637" spans="1:29" ht="15" customHeight="1" thickBot="1" x14ac:dyDescent="0.4">
      <c r="A637" s="185"/>
      <c r="B637" s="16" t="s">
        <v>22</v>
      </c>
      <c r="C637" s="17" t="s">
        <v>16</v>
      </c>
      <c r="D637" s="17">
        <v>1</v>
      </c>
      <c r="E637" s="16" t="s">
        <v>109</v>
      </c>
      <c r="F637" s="40">
        <f>'GT Input'!C15</f>
        <v>13</v>
      </c>
      <c r="G637" s="40">
        <f>'GT Input'!D15</f>
        <v>18</v>
      </c>
      <c r="H637" s="40">
        <f>'GT Input'!E15</f>
        <v>13</v>
      </c>
      <c r="I637" s="40">
        <f>'GT Input'!F15</f>
        <v>18</v>
      </c>
      <c r="J637" s="41">
        <f>'Detailed Results'!G637</f>
        <v>9</v>
      </c>
      <c r="K637" s="41">
        <f>'Detailed Results'!H637</f>
        <v>9</v>
      </c>
      <c r="L637" s="42">
        <f t="shared" si="108"/>
        <v>1</v>
      </c>
      <c r="M637" s="42">
        <f t="shared" si="116"/>
        <v>0.69230769230769229</v>
      </c>
      <c r="N637" s="42">
        <f t="shared" si="109"/>
        <v>0.81818181818181812</v>
      </c>
      <c r="O637" s="43">
        <f>'Detailed Results'!I637</f>
        <v>12</v>
      </c>
      <c r="P637" s="43">
        <f>'Detailed Results'!J637</f>
        <v>12</v>
      </c>
      <c r="Q637" s="44">
        <f t="shared" si="110"/>
        <v>1</v>
      </c>
      <c r="R637" s="44">
        <f t="shared" si="117"/>
        <v>0.66666666666666663</v>
      </c>
      <c r="S637" s="44">
        <f t="shared" si="111"/>
        <v>0.8</v>
      </c>
      <c r="T637" s="45">
        <f>'Detailed Results'!K637</f>
        <v>9</v>
      </c>
      <c r="U637" s="45">
        <f>'Detailed Results'!L637</f>
        <v>9</v>
      </c>
      <c r="V637" s="46">
        <f t="shared" si="112"/>
        <v>1</v>
      </c>
      <c r="W637" s="46">
        <f t="shared" si="118"/>
        <v>0.69230769230769229</v>
      </c>
      <c r="X637" s="46">
        <f t="shared" si="113"/>
        <v>0.81818181818181812</v>
      </c>
      <c r="Y637" s="47">
        <f>'Detailed Results'!M637</f>
        <v>12</v>
      </c>
      <c r="Z637" s="47">
        <f>'Detailed Results'!N637</f>
        <v>12</v>
      </c>
      <c r="AA637" s="48">
        <f t="shared" si="114"/>
        <v>1</v>
      </c>
      <c r="AB637" s="48">
        <f t="shared" si="119"/>
        <v>0.66666666666666663</v>
      </c>
      <c r="AC637" s="48">
        <f t="shared" si="115"/>
        <v>0.8</v>
      </c>
    </row>
    <row r="638" spans="1:29" ht="15" customHeight="1" thickBot="1" x14ac:dyDescent="0.4">
      <c r="A638" s="185"/>
      <c r="B638" s="18" t="s">
        <v>22</v>
      </c>
      <c r="C638" s="19" t="s">
        <v>16</v>
      </c>
      <c r="D638" s="19">
        <v>2</v>
      </c>
      <c r="E638" s="18" t="s">
        <v>17</v>
      </c>
      <c r="F638" s="40">
        <f>'GT Input'!C15</f>
        <v>13</v>
      </c>
      <c r="G638" s="40">
        <f>'GT Input'!D15</f>
        <v>18</v>
      </c>
      <c r="H638" s="40">
        <f>'GT Input'!E15</f>
        <v>13</v>
      </c>
      <c r="I638" s="40">
        <f>'GT Input'!F15</f>
        <v>18</v>
      </c>
      <c r="J638" s="41">
        <f>'Detailed Results'!G638</f>
        <v>11</v>
      </c>
      <c r="K638" s="41">
        <f>'Detailed Results'!H638</f>
        <v>11</v>
      </c>
      <c r="L638" s="42">
        <f t="shared" si="108"/>
        <v>1</v>
      </c>
      <c r="M638" s="42">
        <f t="shared" si="116"/>
        <v>0.84615384615384615</v>
      </c>
      <c r="N638" s="42">
        <f t="shared" si="109"/>
        <v>0.91666666666666663</v>
      </c>
      <c r="O638" s="43">
        <f>'Detailed Results'!I638</f>
        <v>11</v>
      </c>
      <c r="P638" s="43">
        <f>'Detailed Results'!J638</f>
        <v>11</v>
      </c>
      <c r="Q638" s="44">
        <f t="shared" si="110"/>
        <v>1</v>
      </c>
      <c r="R638" s="44">
        <f t="shared" si="117"/>
        <v>0.61111111111111116</v>
      </c>
      <c r="S638" s="44">
        <f t="shared" si="111"/>
        <v>0.75862068965517249</v>
      </c>
      <c r="T638" s="45">
        <f>'Detailed Results'!K638</f>
        <v>11</v>
      </c>
      <c r="U638" s="45">
        <f>'Detailed Results'!L638</f>
        <v>7</v>
      </c>
      <c r="V638" s="46">
        <f t="shared" si="112"/>
        <v>0.63636363636363635</v>
      </c>
      <c r="W638" s="46">
        <f t="shared" si="118"/>
        <v>0.53846153846153844</v>
      </c>
      <c r="X638" s="46">
        <f t="shared" si="113"/>
        <v>0.58333333333333337</v>
      </c>
      <c r="Y638" s="47">
        <f>'Detailed Results'!M638</f>
        <v>11</v>
      </c>
      <c r="Z638" s="47">
        <f>'Detailed Results'!N638</f>
        <v>10</v>
      </c>
      <c r="AA638" s="48">
        <f t="shared" si="114"/>
        <v>0.90909090909090906</v>
      </c>
      <c r="AB638" s="48">
        <f t="shared" si="119"/>
        <v>0.55555555555555558</v>
      </c>
      <c r="AC638" s="48">
        <f t="shared" si="115"/>
        <v>0.68965517241379315</v>
      </c>
    </row>
    <row r="639" spans="1:29" ht="15" customHeight="1" thickBot="1" x14ac:dyDescent="0.4">
      <c r="A639" s="185"/>
      <c r="B639" s="18" t="s">
        <v>22</v>
      </c>
      <c r="C639" s="19" t="s">
        <v>16</v>
      </c>
      <c r="D639" s="19">
        <v>2</v>
      </c>
      <c r="E639" s="18" t="s">
        <v>109</v>
      </c>
      <c r="F639" s="40">
        <f>'GT Input'!C15</f>
        <v>13</v>
      </c>
      <c r="G639" s="40">
        <f>'GT Input'!D15</f>
        <v>18</v>
      </c>
      <c r="H639" s="40">
        <f>'GT Input'!E15</f>
        <v>13</v>
      </c>
      <c r="I639" s="40">
        <f>'GT Input'!F15</f>
        <v>18</v>
      </c>
      <c r="J639" s="41">
        <f>'Detailed Results'!G639</f>
        <v>11</v>
      </c>
      <c r="K639" s="41">
        <f>'Detailed Results'!H639</f>
        <v>11</v>
      </c>
      <c r="L639" s="42">
        <f t="shared" si="108"/>
        <v>1</v>
      </c>
      <c r="M639" s="42">
        <f t="shared" si="116"/>
        <v>0.84615384615384615</v>
      </c>
      <c r="N639" s="42">
        <f t="shared" si="109"/>
        <v>0.91666666666666663</v>
      </c>
      <c r="O639" s="43">
        <f>'Detailed Results'!I639</f>
        <v>14</v>
      </c>
      <c r="P639" s="43">
        <f>'Detailed Results'!J639</f>
        <v>12</v>
      </c>
      <c r="Q639" s="44">
        <f t="shared" si="110"/>
        <v>0.8571428571428571</v>
      </c>
      <c r="R639" s="44">
        <f t="shared" si="117"/>
        <v>0.66666666666666663</v>
      </c>
      <c r="S639" s="44">
        <f t="shared" si="111"/>
        <v>0.75</v>
      </c>
      <c r="T639" s="45">
        <f>'Detailed Results'!K639</f>
        <v>11</v>
      </c>
      <c r="U639" s="45">
        <f>'Detailed Results'!L639</f>
        <v>7</v>
      </c>
      <c r="V639" s="46">
        <f t="shared" si="112"/>
        <v>0.63636363636363635</v>
      </c>
      <c r="W639" s="46">
        <f t="shared" si="118"/>
        <v>0.53846153846153844</v>
      </c>
      <c r="X639" s="46">
        <f t="shared" si="113"/>
        <v>0.58333333333333337</v>
      </c>
      <c r="Y639" s="47">
        <f>'Detailed Results'!M639</f>
        <v>14</v>
      </c>
      <c r="Z639" s="47">
        <f>'Detailed Results'!N639</f>
        <v>7</v>
      </c>
      <c r="AA639" s="48">
        <f t="shared" si="114"/>
        <v>0.5</v>
      </c>
      <c r="AB639" s="48">
        <f t="shared" si="119"/>
        <v>0.3888888888888889</v>
      </c>
      <c r="AC639" s="48">
        <f t="shared" si="115"/>
        <v>0.43750000000000006</v>
      </c>
    </row>
    <row r="640" spans="1:29" ht="15" customHeight="1" thickBot="1" x14ac:dyDescent="0.4">
      <c r="A640" s="185"/>
      <c r="B640" s="16" t="s">
        <v>22</v>
      </c>
      <c r="C640" s="17" t="s">
        <v>16</v>
      </c>
      <c r="D640" s="17">
        <v>3</v>
      </c>
      <c r="E640" s="16" t="s">
        <v>17</v>
      </c>
      <c r="F640" s="40">
        <f>'GT Input'!C15</f>
        <v>13</v>
      </c>
      <c r="G640" s="40">
        <f>'GT Input'!D15</f>
        <v>18</v>
      </c>
      <c r="H640" s="40">
        <f>'GT Input'!E15</f>
        <v>13</v>
      </c>
      <c r="I640" s="40">
        <f>'GT Input'!F15</f>
        <v>18</v>
      </c>
      <c r="J640" s="41">
        <f>'Detailed Results'!G640</f>
        <v>11</v>
      </c>
      <c r="K640" s="41">
        <f>'Detailed Results'!H640</f>
        <v>11</v>
      </c>
      <c r="L640" s="42">
        <f t="shared" si="108"/>
        <v>1</v>
      </c>
      <c r="M640" s="42">
        <f t="shared" si="116"/>
        <v>0.84615384615384615</v>
      </c>
      <c r="N640" s="42">
        <f t="shared" si="109"/>
        <v>0.91666666666666663</v>
      </c>
      <c r="O640" s="43">
        <f>'Detailed Results'!I640</f>
        <v>11</v>
      </c>
      <c r="P640" s="43">
        <f>'Detailed Results'!J640</f>
        <v>11</v>
      </c>
      <c r="Q640" s="44">
        <f t="shared" si="110"/>
        <v>1</v>
      </c>
      <c r="R640" s="44">
        <f t="shared" si="117"/>
        <v>0.61111111111111116</v>
      </c>
      <c r="S640" s="44">
        <f t="shared" si="111"/>
        <v>0.75862068965517249</v>
      </c>
      <c r="T640" s="45">
        <f>'Detailed Results'!K640</f>
        <v>11</v>
      </c>
      <c r="U640" s="45">
        <f>'Detailed Results'!L640</f>
        <v>7</v>
      </c>
      <c r="V640" s="46">
        <f t="shared" si="112"/>
        <v>0.63636363636363635</v>
      </c>
      <c r="W640" s="46">
        <f t="shared" si="118"/>
        <v>0.53846153846153844</v>
      </c>
      <c r="X640" s="46">
        <f t="shared" si="113"/>
        <v>0.58333333333333337</v>
      </c>
      <c r="Y640" s="47">
        <f>'Detailed Results'!M640</f>
        <v>11</v>
      </c>
      <c r="Z640" s="47">
        <f>'Detailed Results'!N640</f>
        <v>10</v>
      </c>
      <c r="AA640" s="48">
        <f t="shared" si="114"/>
        <v>0.90909090909090906</v>
      </c>
      <c r="AB640" s="48">
        <f t="shared" si="119"/>
        <v>0.55555555555555558</v>
      </c>
      <c r="AC640" s="48">
        <f t="shared" si="115"/>
        <v>0.68965517241379315</v>
      </c>
    </row>
    <row r="641" spans="1:29" ht="15" customHeight="1" thickBot="1" x14ac:dyDescent="0.4">
      <c r="A641" s="185"/>
      <c r="B641" s="16" t="s">
        <v>22</v>
      </c>
      <c r="C641" s="17" t="s">
        <v>16</v>
      </c>
      <c r="D641" s="17">
        <v>3</v>
      </c>
      <c r="E641" s="16" t="s">
        <v>109</v>
      </c>
      <c r="F641" s="40">
        <f>'GT Input'!C15</f>
        <v>13</v>
      </c>
      <c r="G641" s="40">
        <f>'GT Input'!D15</f>
        <v>18</v>
      </c>
      <c r="H641" s="40">
        <f>'GT Input'!E15</f>
        <v>13</v>
      </c>
      <c r="I641" s="40">
        <f>'GT Input'!F15</f>
        <v>18</v>
      </c>
      <c r="J641" s="41">
        <f>'Detailed Results'!G641</f>
        <v>9</v>
      </c>
      <c r="K641" s="41">
        <f>'Detailed Results'!H641</f>
        <v>8</v>
      </c>
      <c r="L641" s="42">
        <f t="shared" si="108"/>
        <v>0.88888888888888884</v>
      </c>
      <c r="M641" s="42">
        <f t="shared" si="116"/>
        <v>0.61538461538461542</v>
      </c>
      <c r="N641" s="42">
        <f t="shared" si="109"/>
        <v>0.7272727272727274</v>
      </c>
      <c r="O641" s="43">
        <f>'Detailed Results'!I641</f>
        <v>12</v>
      </c>
      <c r="P641" s="43">
        <f>'Detailed Results'!J641</f>
        <v>12</v>
      </c>
      <c r="Q641" s="44">
        <f t="shared" si="110"/>
        <v>1</v>
      </c>
      <c r="R641" s="44">
        <f t="shared" si="117"/>
        <v>0.66666666666666663</v>
      </c>
      <c r="S641" s="44">
        <f t="shared" si="111"/>
        <v>0.8</v>
      </c>
      <c r="T641" s="45">
        <f>'Detailed Results'!K641</f>
        <v>9</v>
      </c>
      <c r="U641" s="45">
        <f>'Detailed Results'!L641</f>
        <v>5</v>
      </c>
      <c r="V641" s="46">
        <f t="shared" si="112"/>
        <v>0.55555555555555558</v>
      </c>
      <c r="W641" s="46">
        <f t="shared" si="118"/>
        <v>0.38461538461538464</v>
      </c>
      <c r="X641" s="46">
        <f t="shared" si="113"/>
        <v>0.45454545454545459</v>
      </c>
      <c r="Y641" s="47">
        <f>'Detailed Results'!M641</f>
        <v>12</v>
      </c>
      <c r="Z641" s="47">
        <f>'Detailed Results'!N641</f>
        <v>12</v>
      </c>
      <c r="AA641" s="48">
        <f t="shared" si="114"/>
        <v>1</v>
      </c>
      <c r="AB641" s="48">
        <f t="shared" si="119"/>
        <v>0.66666666666666663</v>
      </c>
      <c r="AC641" s="48">
        <f t="shared" si="115"/>
        <v>0.8</v>
      </c>
    </row>
    <row r="642" spans="1:29" ht="15" customHeight="1" thickBot="1" x14ac:dyDescent="0.4">
      <c r="A642" s="185"/>
      <c r="B642" s="18" t="s">
        <v>22</v>
      </c>
      <c r="C642" s="19" t="s">
        <v>19</v>
      </c>
      <c r="D642" s="19">
        <v>1</v>
      </c>
      <c r="E642" s="18" t="s">
        <v>17</v>
      </c>
      <c r="F642" s="40">
        <f>'GT Input'!C15</f>
        <v>13</v>
      </c>
      <c r="G642" s="40">
        <f>'GT Input'!D15</f>
        <v>18</v>
      </c>
      <c r="H642" s="40">
        <f>'GT Input'!E15</f>
        <v>13</v>
      </c>
      <c r="I642" s="40">
        <f>'GT Input'!F15</f>
        <v>18</v>
      </c>
      <c r="J642" s="41">
        <f>'Detailed Results'!G642</f>
        <v>11</v>
      </c>
      <c r="K642" s="41">
        <f>'Detailed Results'!H642</f>
        <v>11</v>
      </c>
      <c r="L642" s="42">
        <f t="shared" si="108"/>
        <v>1</v>
      </c>
      <c r="M642" s="42">
        <f t="shared" si="116"/>
        <v>0.84615384615384615</v>
      </c>
      <c r="N642" s="42">
        <f t="shared" si="109"/>
        <v>0.91666666666666663</v>
      </c>
      <c r="O642" s="43">
        <f>'Detailed Results'!I642</f>
        <v>11</v>
      </c>
      <c r="P642" s="43">
        <f>'Detailed Results'!J642</f>
        <v>11</v>
      </c>
      <c r="Q642" s="44">
        <f t="shared" si="110"/>
        <v>1</v>
      </c>
      <c r="R642" s="44">
        <f t="shared" si="117"/>
        <v>0.61111111111111116</v>
      </c>
      <c r="S642" s="44">
        <f t="shared" si="111"/>
        <v>0.75862068965517249</v>
      </c>
      <c r="T642" s="45">
        <f>'Detailed Results'!K642</f>
        <v>11</v>
      </c>
      <c r="U642" s="45">
        <f>'Detailed Results'!L642</f>
        <v>7</v>
      </c>
      <c r="V642" s="46">
        <f t="shared" si="112"/>
        <v>0.63636363636363635</v>
      </c>
      <c r="W642" s="46">
        <f t="shared" si="118"/>
        <v>0.53846153846153844</v>
      </c>
      <c r="X642" s="46">
        <f t="shared" si="113"/>
        <v>0.58333333333333337</v>
      </c>
      <c r="Y642" s="47">
        <f>'Detailed Results'!M642</f>
        <v>11</v>
      </c>
      <c r="Z642" s="47">
        <f>'Detailed Results'!N642</f>
        <v>10</v>
      </c>
      <c r="AA642" s="48">
        <f t="shared" si="114"/>
        <v>0.90909090909090906</v>
      </c>
      <c r="AB642" s="48">
        <f t="shared" si="119"/>
        <v>0.55555555555555558</v>
      </c>
      <c r="AC642" s="48">
        <f t="shared" si="115"/>
        <v>0.68965517241379315</v>
      </c>
    </row>
    <row r="643" spans="1:29" ht="15" customHeight="1" thickBot="1" x14ac:dyDescent="0.4">
      <c r="A643" s="185"/>
      <c r="B643" s="18" t="s">
        <v>22</v>
      </c>
      <c r="C643" s="19" t="s">
        <v>19</v>
      </c>
      <c r="D643" s="19">
        <v>1</v>
      </c>
      <c r="E643" s="18" t="s">
        <v>109</v>
      </c>
      <c r="F643" s="40">
        <f>'GT Input'!C15</f>
        <v>13</v>
      </c>
      <c r="G643" s="40">
        <f>'GT Input'!D15</f>
        <v>18</v>
      </c>
      <c r="H643" s="40">
        <f>'GT Input'!E15</f>
        <v>13</v>
      </c>
      <c r="I643" s="40">
        <f>'GT Input'!F15</f>
        <v>18</v>
      </c>
      <c r="J643" s="41">
        <f>'Detailed Results'!G643</f>
        <v>11</v>
      </c>
      <c r="K643" s="41">
        <f>'Detailed Results'!H643</f>
        <v>11</v>
      </c>
      <c r="L643" s="42">
        <f t="shared" si="108"/>
        <v>1</v>
      </c>
      <c r="M643" s="42">
        <f t="shared" si="116"/>
        <v>0.84615384615384615</v>
      </c>
      <c r="N643" s="42">
        <f t="shared" si="109"/>
        <v>0.91666666666666663</v>
      </c>
      <c r="O643" s="43">
        <f>'Detailed Results'!I643</f>
        <v>11</v>
      </c>
      <c r="P643" s="43">
        <f>'Detailed Results'!J643</f>
        <v>11</v>
      </c>
      <c r="Q643" s="44">
        <f t="shared" si="110"/>
        <v>1</v>
      </c>
      <c r="R643" s="44">
        <f t="shared" si="117"/>
        <v>0.61111111111111116</v>
      </c>
      <c r="S643" s="44">
        <f t="shared" si="111"/>
        <v>0.75862068965517249</v>
      </c>
      <c r="T643" s="45">
        <f>'Detailed Results'!K643</f>
        <v>11</v>
      </c>
      <c r="U643" s="45">
        <f>'Detailed Results'!L643</f>
        <v>7</v>
      </c>
      <c r="V643" s="46">
        <f t="shared" si="112"/>
        <v>0.63636363636363635</v>
      </c>
      <c r="W643" s="46">
        <f t="shared" si="118"/>
        <v>0.53846153846153844</v>
      </c>
      <c r="X643" s="46">
        <f t="shared" si="113"/>
        <v>0.58333333333333337</v>
      </c>
      <c r="Y643" s="47">
        <f>'Detailed Results'!M643</f>
        <v>11</v>
      </c>
      <c r="Z643" s="47">
        <f>'Detailed Results'!N643</f>
        <v>7</v>
      </c>
      <c r="AA643" s="48">
        <f t="shared" si="114"/>
        <v>0.63636363636363635</v>
      </c>
      <c r="AB643" s="48">
        <f t="shared" si="119"/>
        <v>0.3888888888888889</v>
      </c>
      <c r="AC643" s="48">
        <f t="shared" si="115"/>
        <v>0.48275862068965519</v>
      </c>
    </row>
    <row r="644" spans="1:29" ht="15" customHeight="1" thickBot="1" x14ac:dyDescent="0.4">
      <c r="A644" s="185"/>
      <c r="B644" s="16" t="s">
        <v>22</v>
      </c>
      <c r="C644" s="17" t="s">
        <v>19</v>
      </c>
      <c r="D644" s="17">
        <v>2</v>
      </c>
      <c r="E644" s="16" t="s">
        <v>17</v>
      </c>
      <c r="F644" s="40">
        <f>'GT Input'!C15</f>
        <v>13</v>
      </c>
      <c r="G644" s="40">
        <f>'GT Input'!D15</f>
        <v>18</v>
      </c>
      <c r="H644" s="40">
        <f>'GT Input'!E15</f>
        <v>13</v>
      </c>
      <c r="I644" s="40">
        <f>'GT Input'!F15</f>
        <v>18</v>
      </c>
      <c r="J644" s="41">
        <f>'Detailed Results'!G644</f>
        <v>11</v>
      </c>
      <c r="K644" s="41">
        <f>'Detailed Results'!H644</f>
        <v>11</v>
      </c>
      <c r="L644" s="42">
        <f t="shared" si="108"/>
        <v>1</v>
      </c>
      <c r="M644" s="42">
        <f t="shared" si="116"/>
        <v>0.84615384615384615</v>
      </c>
      <c r="N644" s="42">
        <f t="shared" si="109"/>
        <v>0.91666666666666663</v>
      </c>
      <c r="O644" s="43">
        <f>'Detailed Results'!I644</f>
        <v>11</v>
      </c>
      <c r="P644" s="43">
        <f>'Detailed Results'!J644</f>
        <v>11</v>
      </c>
      <c r="Q644" s="44">
        <f t="shared" si="110"/>
        <v>1</v>
      </c>
      <c r="R644" s="44">
        <f t="shared" si="117"/>
        <v>0.61111111111111116</v>
      </c>
      <c r="S644" s="44">
        <f t="shared" si="111"/>
        <v>0.75862068965517249</v>
      </c>
      <c r="T644" s="45">
        <f>'Detailed Results'!K644</f>
        <v>11</v>
      </c>
      <c r="U644" s="45">
        <f>'Detailed Results'!L644</f>
        <v>7</v>
      </c>
      <c r="V644" s="46">
        <f t="shared" si="112"/>
        <v>0.63636363636363635</v>
      </c>
      <c r="W644" s="46">
        <f t="shared" si="118"/>
        <v>0.53846153846153844</v>
      </c>
      <c r="X644" s="46">
        <f t="shared" si="113"/>
        <v>0.58333333333333337</v>
      </c>
      <c r="Y644" s="47">
        <f>'Detailed Results'!M644</f>
        <v>11</v>
      </c>
      <c r="Z644" s="47">
        <f>'Detailed Results'!N644</f>
        <v>10</v>
      </c>
      <c r="AA644" s="48">
        <f t="shared" si="114"/>
        <v>0.90909090909090906</v>
      </c>
      <c r="AB644" s="48">
        <f t="shared" si="119"/>
        <v>0.55555555555555558</v>
      </c>
      <c r="AC644" s="48">
        <f t="shared" si="115"/>
        <v>0.68965517241379315</v>
      </c>
    </row>
    <row r="645" spans="1:29" ht="15" customHeight="1" thickBot="1" x14ac:dyDescent="0.4">
      <c r="A645" s="185"/>
      <c r="B645" s="16" t="s">
        <v>22</v>
      </c>
      <c r="C645" s="17" t="s">
        <v>19</v>
      </c>
      <c r="D645" s="17">
        <v>2</v>
      </c>
      <c r="E645" s="16" t="s">
        <v>109</v>
      </c>
      <c r="F645" s="40">
        <f>'GT Input'!C15</f>
        <v>13</v>
      </c>
      <c r="G645" s="40">
        <f>'GT Input'!D15</f>
        <v>18</v>
      </c>
      <c r="H645" s="40">
        <f>'GT Input'!E15</f>
        <v>13</v>
      </c>
      <c r="I645" s="40">
        <f>'GT Input'!F15</f>
        <v>18</v>
      </c>
      <c r="J645" s="41">
        <f>'Detailed Results'!G645</f>
        <v>9</v>
      </c>
      <c r="K645" s="41">
        <f>'Detailed Results'!H645</f>
        <v>8</v>
      </c>
      <c r="L645" s="42">
        <f t="shared" si="108"/>
        <v>0.88888888888888884</v>
      </c>
      <c r="M645" s="42">
        <f t="shared" si="116"/>
        <v>0.61538461538461542</v>
      </c>
      <c r="N645" s="42">
        <f t="shared" si="109"/>
        <v>0.7272727272727274</v>
      </c>
      <c r="O645" s="43">
        <f>'Detailed Results'!I645</f>
        <v>12</v>
      </c>
      <c r="P645" s="43">
        <f>'Detailed Results'!J645</f>
        <v>12</v>
      </c>
      <c r="Q645" s="44">
        <f t="shared" si="110"/>
        <v>1</v>
      </c>
      <c r="R645" s="44">
        <f t="shared" si="117"/>
        <v>0.66666666666666663</v>
      </c>
      <c r="S645" s="44">
        <f t="shared" si="111"/>
        <v>0.8</v>
      </c>
      <c r="T645" s="45">
        <f>'Detailed Results'!K645</f>
        <v>9</v>
      </c>
      <c r="U645" s="45">
        <f>'Detailed Results'!L645</f>
        <v>5</v>
      </c>
      <c r="V645" s="46">
        <f t="shared" si="112"/>
        <v>0.55555555555555558</v>
      </c>
      <c r="W645" s="46">
        <f t="shared" si="118"/>
        <v>0.38461538461538464</v>
      </c>
      <c r="X645" s="46">
        <f t="shared" si="113"/>
        <v>0.45454545454545459</v>
      </c>
      <c r="Y645" s="47">
        <f>'Detailed Results'!M645</f>
        <v>12</v>
      </c>
      <c r="Z645" s="47">
        <f>'Detailed Results'!N645</f>
        <v>10</v>
      </c>
      <c r="AA645" s="48">
        <f t="shared" si="114"/>
        <v>0.83333333333333337</v>
      </c>
      <c r="AB645" s="48">
        <f t="shared" si="119"/>
        <v>0.55555555555555558</v>
      </c>
      <c r="AC645" s="48">
        <f t="shared" si="115"/>
        <v>0.66666666666666674</v>
      </c>
    </row>
    <row r="646" spans="1:29" ht="15" customHeight="1" thickBot="1" x14ac:dyDescent="0.4">
      <c r="A646" s="185"/>
      <c r="B646" s="18" t="s">
        <v>22</v>
      </c>
      <c r="C646" s="19" t="s">
        <v>19</v>
      </c>
      <c r="D646" s="19">
        <v>3</v>
      </c>
      <c r="E646" s="18" t="s">
        <v>17</v>
      </c>
      <c r="F646" s="40">
        <f>'GT Input'!C15</f>
        <v>13</v>
      </c>
      <c r="G646" s="40">
        <f>'GT Input'!D15</f>
        <v>18</v>
      </c>
      <c r="H646" s="40">
        <f>'GT Input'!E15</f>
        <v>13</v>
      </c>
      <c r="I646" s="40">
        <f>'GT Input'!F15</f>
        <v>18</v>
      </c>
      <c r="J646" s="41">
        <f>'Detailed Results'!G646</f>
        <v>11</v>
      </c>
      <c r="K646" s="41">
        <f>'Detailed Results'!H646</f>
        <v>11</v>
      </c>
      <c r="L646" s="42">
        <f t="shared" ref="L646:L709" si="120">IFERROR(K646/J646,"")</f>
        <v>1</v>
      </c>
      <c r="M646" s="42">
        <f t="shared" si="116"/>
        <v>0.84615384615384615</v>
      </c>
      <c r="N646" s="42">
        <f t="shared" ref="N646:N709" si="121">IFERROR(2*L646*M646/(L646+M646),"")</f>
        <v>0.91666666666666663</v>
      </c>
      <c r="O646" s="43">
        <f>'Detailed Results'!I646</f>
        <v>11</v>
      </c>
      <c r="P646" s="43">
        <f>'Detailed Results'!J646</f>
        <v>11</v>
      </c>
      <c r="Q646" s="44">
        <f t="shared" ref="Q646:Q709" si="122">IFERROR(P646/O646,"")</f>
        <v>1</v>
      </c>
      <c r="R646" s="44">
        <f t="shared" si="117"/>
        <v>0.61111111111111116</v>
      </c>
      <c r="S646" s="44">
        <f t="shared" ref="S646:S709" si="123">IFERROR(2*Q646*R646/(Q646+R646),"")</f>
        <v>0.75862068965517249</v>
      </c>
      <c r="T646" s="45">
        <f>'Detailed Results'!K646</f>
        <v>11</v>
      </c>
      <c r="U646" s="45">
        <f>'Detailed Results'!L646</f>
        <v>7</v>
      </c>
      <c r="V646" s="46">
        <f t="shared" ref="V646:V709" si="124">IFERROR(U646/T646,"")</f>
        <v>0.63636363636363635</v>
      </c>
      <c r="W646" s="46">
        <f t="shared" si="118"/>
        <v>0.53846153846153844</v>
      </c>
      <c r="X646" s="46">
        <f t="shared" ref="X646:X709" si="125">IFERROR(2*V646*W646/(V646+W646),"")</f>
        <v>0.58333333333333337</v>
      </c>
      <c r="Y646" s="47">
        <f>'Detailed Results'!M646</f>
        <v>11</v>
      </c>
      <c r="Z646" s="47">
        <f>'Detailed Results'!N646</f>
        <v>10</v>
      </c>
      <c r="AA646" s="48">
        <f t="shared" ref="AA646:AA709" si="126">IFERROR(Z646/Y646,"")</f>
        <v>0.90909090909090906</v>
      </c>
      <c r="AB646" s="48">
        <f t="shared" si="119"/>
        <v>0.55555555555555558</v>
      </c>
      <c r="AC646" s="48">
        <f t="shared" ref="AC646:AC709" si="127">IFERROR(2*AA646*AB646/(AA646+AB646),"")</f>
        <v>0.68965517241379315</v>
      </c>
    </row>
    <row r="647" spans="1:29" ht="15" customHeight="1" thickBot="1" x14ac:dyDescent="0.4">
      <c r="A647" s="185"/>
      <c r="B647" s="18" t="s">
        <v>22</v>
      </c>
      <c r="C647" s="19" t="s">
        <v>19</v>
      </c>
      <c r="D647" s="19">
        <v>3</v>
      </c>
      <c r="E647" s="18" t="s">
        <v>109</v>
      </c>
      <c r="F647" s="40">
        <f>'GT Input'!C15</f>
        <v>13</v>
      </c>
      <c r="G647" s="40">
        <f>'GT Input'!D15</f>
        <v>18</v>
      </c>
      <c r="H647" s="40">
        <f>'GT Input'!E15</f>
        <v>13</v>
      </c>
      <c r="I647" s="40">
        <f>'GT Input'!F15</f>
        <v>18</v>
      </c>
      <c r="J647" s="41">
        <f>'Detailed Results'!G647</f>
        <v>11</v>
      </c>
      <c r="K647" s="41">
        <f>'Detailed Results'!H647</f>
        <v>11</v>
      </c>
      <c r="L647" s="42">
        <f t="shared" si="120"/>
        <v>1</v>
      </c>
      <c r="M647" s="42">
        <f t="shared" ref="M647:M710" si="128">IFERROR(K647/F647,"")</f>
        <v>0.84615384615384615</v>
      </c>
      <c r="N647" s="42">
        <f t="shared" si="121"/>
        <v>0.91666666666666663</v>
      </c>
      <c r="O647" s="43">
        <f>'Detailed Results'!I647</f>
        <v>14</v>
      </c>
      <c r="P647" s="43">
        <f>'Detailed Results'!J647</f>
        <v>12</v>
      </c>
      <c r="Q647" s="44">
        <f t="shared" si="122"/>
        <v>0.8571428571428571</v>
      </c>
      <c r="R647" s="44">
        <f t="shared" ref="R647:R710" si="129">IFERROR(P647/G647,"")</f>
        <v>0.66666666666666663</v>
      </c>
      <c r="S647" s="44">
        <f t="shared" si="123"/>
        <v>0.75</v>
      </c>
      <c r="T647" s="45">
        <f>'Detailed Results'!K647</f>
        <v>11</v>
      </c>
      <c r="U647" s="45">
        <f>'Detailed Results'!L647</f>
        <v>7</v>
      </c>
      <c r="V647" s="46">
        <f t="shared" si="124"/>
        <v>0.63636363636363635</v>
      </c>
      <c r="W647" s="46">
        <f t="shared" ref="W647:W710" si="130">IFERROR(U647/H647,"")</f>
        <v>0.53846153846153844</v>
      </c>
      <c r="X647" s="46">
        <f t="shared" si="125"/>
        <v>0.58333333333333337</v>
      </c>
      <c r="Y647" s="47">
        <f>'Detailed Results'!M647</f>
        <v>14</v>
      </c>
      <c r="Z647" s="47">
        <f>'Detailed Results'!N647</f>
        <v>6</v>
      </c>
      <c r="AA647" s="48">
        <f t="shared" si="126"/>
        <v>0.42857142857142855</v>
      </c>
      <c r="AB647" s="48">
        <f t="shared" ref="AB647:AB710" si="131">IFERROR(Z647/I647,"")</f>
        <v>0.33333333333333331</v>
      </c>
      <c r="AC647" s="48">
        <f t="shared" si="127"/>
        <v>0.375</v>
      </c>
    </row>
    <row r="648" spans="1:29" ht="15" customHeight="1" thickBot="1" x14ac:dyDescent="0.4">
      <c r="A648" s="185"/>
      <c r="B648" s="16" t="s">
        <v>22</v>
      </c>
      <c r="C648" s="17" t="s">
        <v>20</v>
      </c>
      <c r="D648" s="17">
        <v>1</v>
      </c>
      <c r="E648" s="16" t="s">
        <v>17</v>
      </c>
      <c r="F648" s="40">
        <f>'GT Input'!C15</f>
        <v>13</v>
      </c>
      <c r="G648" s="40">
        <f>'GT Input'!D15</f>
        <v>18</v>
      </c>
      <c r="H648" s="40">
        <f>'GT Input'!E15</f>
        <v>13</v>
      </c>
      <c r="I648" s="40">
        <f>'GT Input'!F15</f>
        <v>18</v>
      </c>
      <c r="J648" s="41">
        <f>'Detailed Results'!G648</f>
        <v>11</v>
      </c>
      <c r="K648" s="41">
        <f>'Detailed Results'!H648</f>
        <v>11</v>
      </c>
      <c r="L648" s="42">
        <f t="shared" si="120"/>
        <v>1</v>
      </c>
      <c r="M648" s="42">
        <f t="shared" si="128"/>
        <v>0.84615384615384615</v>
      </c>
      <c r="N648" s="42">
        <f t="shared" si="121"/>
        <v>0.91666666666666663</v>
      </c>
      <c r="O648" s="43">
        <f>'Detailed Results'!I648</f>
        <v>11</v>
      </c>
      <c r="P648" s="43">
        <f>'Detailed Results'!J648</f>
        <v>11</v>
      </c>
      <c r="Q648" s="44">
        <f t="shared" si="122"/>
        <v>1</v>
      </c>
      <c r="R648" s="44">
        <f t="shared" si="129"/>
        <v>0.61111111111111116</v>
      </c>
      <c r="S648" s="44">
        <f t="shared" si="123"/>
        <v>0.75862068965517249</v>
      </c>
      <c r="T648" s="45">
        <f>'Detailed Results'!K648</f>
        <v>11</v>
      </c>
      <c r="U648" s="45">
        <f>'Detailed Results'!L648</f>
        <v>7</v>
      </c>
      <c r="V648" s="46">
        <f t="shared" si="124"/>
        <v>0.63636363636363635</v>
      </c>
      <c r="W648" s="46">
        <f t="shared" si="130"/>
        <v>0.53846153846153844</v>
      </c>
      <c r="X648" s="46">
        <f t="shared" si="125"/>
        <v>0.58333333333333337</v>
      </c>
      <c r="Y648" s="47">
        <f>'Detailed Results'!M648</f>
        <v>11</v>
      </c>
      <c r="Z648" s="47">
        <f>'Detailed Results'!N648</f>
        <v>10</v>
      </c>
      <c r="AA648" s="48">
        <f t="shared" si="126"/>
        <v>0.90909090909090906</v>
      </c>
      <c r="AB648" s="48">
        <f t="shared" si="131"/>
        <v>0.55555555555555558</v>
      </c>
      <c r="AC648" s="48">
        <f t="shared" si="127"/>
        <v>0.68965517241379315</v>
      </c>
    </row>
    <row r="649" spans="1:29" ht="15" customHeight="1" thickBot="1" x14ac:dyDescent="0.4">
      <c r="A649" s="185"/>
      <c r="B649" s="16" t="s">
        <v>22</v>
      </c>
      <c r="C649" s="17" t="s">
        <v>20</v>
      </c>
      <c r="D649" s="17">
        <v>1</v>
      </c>
      <c r="E649" s="16" t="s">
        <v>109</v>
      </c>
      <c r="F649" s="40">
        <f>'GT Input'!C15</f>
        <v>13</v>
      </c>
      <c r="G649" s="40">
        <f>'GT Input'!D15</f>
        <v>18</v>
      </c>
      <c r="H649" s="40">
        <f>'GT Input'!E15</f>
        <v>13</v>
      </c>
      <c r="I649" s="40">
        <f>'GT Input'!F15</f>
        <v>18</v>
      </c>
      <c r="J649" s="41">
        <f>'Detailed Results'!G649</f>
        <v>9</v>
      </c>
      <c r="K649" s="41">
        <f>'Detailed Results'!H649</f>
        <v>9</v>
      </c>
      <c r="L649" s="42">
        <f t="shared" si="120"/>
        <v>1</v>
      </c>
      <c r="M649" s="42">
        <f t="shared" si="128"/>
        <v>0.69230769230769229</v>
      </c>
      <c r="N649" s="42">
        <f t="shared" si="121"/>
        <v>0.81818181818181812</v>
      </c>
      <c r="O649" s="43">
        <f>'Detailed Results'!I649</f>
        <v>12</v>
      </c>
      <c r="P649" s="43">
        <f>'Detailed Results'!J649</f>
        <v>12</v>
      </c>
      <c r="Q649" s="44">
        <f t="shared" si="122"/>
        <v>1</v>
      </c>
      <c r="R649" s="44">
        <f t="shared" si="129"/>
        <v>0.66666666666666663</v>
      </c>
      <c r="S649" s="44">
        <f t="shared" si="123"/>
        <v>0.8</v>
      </c>
      <c r="T649" s="45">
        <f>'Detailed Results'!K649</f>
        <v>9</v>
      </c>
      <c r="U649" s="45">
        <f>'Detailed Results'!L649</f>
        <v>5</v>
      </c>
      <c r="V649" s="46">
        <f t="shared" si="124"/>
        <v>0.55555555555555558</v>
      </c>
      <c r="W649" s="46">
        <f t="shared" si="130"/>
        <v>0.38461538461538464</v>
      </c>
      <c r="X649" s="46">
        <f t="shared" si="125"/>
        <v>0.45454545454545459</v>
      </c>
      <c r="Y649" s="47">
        <f>'Detailed Results'!M649</f>
        <v>12</v>
      </c>
      <c r="Z649" s="47">
        <f>'Detailed Results'!N649</f>
        <v>7</v>
      </c>
      <c r="AA649" s="48">
        <f t="shared" si="126"/>
        <v>0.58333333333333337</v>
      </c>
      <c r="AB649" s="48">
        <f t="shared" si="131"/>
        <v>0.3888888888888889</v>
      </c>
      <c r="AC649" s="48">
        <f t="shared" si="127"/>
        <v>0.46666666666666662</v>
      </c>
    </row>
    <row r="650" spans="1:29" ht="15" customHeight="1" thickBot="1" x14ac:dyDescent="0.4">
      <c r="A650" s="185"/>
      <c r="B650" s="18" t="s">
        <v>22</v>
      </c>
      <c r="C650" s="19" t="s">
        <v>20</v>
      </c>
      <c r="D650" s="19">
        <v>2</v>
      </c>
      <c r="E650" s="18" t="s">
        <v>17</v>
      </c>
      <c r="F650" s="40">
        <f>'GT Input'!C15</f>
        <v>13</v>
      </c>
      <c r="G650" s="40">
        <f>'GT Input'!D15</f>
        <v>18</v>
      </c>
      <c r="H650" s="40">
        <f>'GT Input'!E15</f>
        <v>13</v>
      </c>
      <c r="I650" s="40">
        <f>'GT Input'!F15</f>
        <v>18</v>
      </c>
      <c r="J650" s="41">
        <f>'Detailed Results'!G650</f>
        <v>11</v>
      </c>
      <c r="K650" s="41">
        <f>'Detailed Results'!H650</f>
        <v>11</v>
      </c>
      <c r="L650" s="42">
        <f t="shared" si="120"/>
        <v>1</v>
      </c>
      <c r="M650" s="42">
        <f t="shared" si="128"/>
        <v>0.84615384615384615</v>
      </c>
      <c r="N650" s="42">
        <f t="shared" si="121"/>
        <v>0.91666666666666663</v>
      </c>
      <c r="O650" s="43">
        <f>'Detailed Results'!I650</f>
        <v>11</v>
      </c>
      <c r="P650" s="43">
        <f>'Detailed Results'!J650</f>
        <v>11</v>
      </c>
      <c r="Q650" s="44">
        <f t="shared" si="122"/>
        <v>1</v>
      </c>
      <c r="R650" s="44">
        <f t="shared" si="129"/>
        <v>0.61111111111111116</v>
      </c>
      <c r="S650" s="44">
        <f t="shared" si="123"/>
        <v>0.75862068965517249</v>
      </c>
      <c r="T650" s="45">
        <f>'Detailed Results'!K650</f>
        <v>11</v>
      </c>
      <c r="U650" s="45">
        <f>'Detailed Results'!L650</f>
        <v>7</v>
      </c>
      <c r="V650" s="46">
        <f t="shared" si="124"/>
        <v>0.63636363636363635</v>
      </c>
      <c r="W650" s="46">
        <f t="shared" si="130"/>
        <v>0.53846153846153844</v>
      </c>
      <c r="X650" s="46">
        <f t="shared" si="125"/>
        <v>0.58333333333333337</v>
      </c>
      <c r="Y650" s="47">
        <f>'Detailed Results'!M650</f>
        <v>11</v>
      </c>
      <c r="Z650" s="47">
        <f>'Detailed Results'!N650</f>
        <v>10</v>
      </c>
      <c r="AA650" s="48">
        <f t="shared" si="126"/>
        <v>0.90909090909090906</v>
      </c>
      <c r="AB650" s="48">
        <f t="shared" si="131"/>
        <v>0.55555555555555558</v>
      </c>
      <c r="AC650" s="48">
        <f t="shared" si="127"/>
        <v>0.68965517241379315</v>
      </c>
    </row>
    <row r="651" spans="1:29" ht="15" customHeight="1" thickBot="1" x14ac:dyDescent="0.4">
      <c r="A651" s="185"/>
      <c r="B651" s="18" t="s">
        <v>22</v>
      </c>
      <c r="C651" s="19" t="s">
        <v>20</v>
      </c>
      <c r="D651" s="19">
        <v>2</v>
      </c>
      <c r="E651" s="18" t="s">
        <v>109</v>
      </c>
      <c r="F651" s="40">
        <f>'GT Input'!C15</f>
        <v>13</v>
      </c>
      <c r="G651" s="40">
        <f>'GT Input'!D15</f>
        <v>18</v>
      </c>
      <c r="H651" s="40">
        <f>'GT Input'!E15</f>
        <v>13</v>
      </c>
      <c r="I651" s="40">
        <f>'GT Input'!F15</f>
        <v>18</v>
      </c>
      <c r="J651" s="41">
        <f>'Detailed Results'!G651</f>
        <v>11</v>
      </c>
      <c r="K651" s="41">
        <f>'Detailed Results'!H651</f>
        <v>9</v>
      </c>
      <c r="L651" s="42">
        <f t="shared" si="120"/>
        <v>0.81818181818181823</v>
      </c>
      <c r="M651" s="42">
        <f t="shared" si="128"/>
        <v>0.69230769230769229</v>
      </c>
      <c r="N651" s="42">
        <f t="shared" si="121"/>
        <v>0.75000000000000011</v>
      </c>
      <c r="O651" s="43">
        <f>'Detailed Results'!I651</f>
        <v>14</v>
      </c>
      <c r="P651" s="43">
        <f>'Detailed Results'!J651</f>
        <v>12</v>
      </c>
      <c r="Q651" s="44">
        <f t="shared" si="122"/>
        <v>0.8571428571428571</v>
      </c>
      <c r="R651" s="44">
        <f t="shared" si="129"/>
        <v>0.66666666666666663</v>
      </c>
      <c r="S651" s="44">
        <f t="shared" si="123"/>
        <v>0.75</v>
      </c>
      <c r="T651" s="45">
        <f>'Detailed Results'!K651</f>
        <v>11</v>
      </c>
      <c r="U651" s="45">
        <f>'Detailed Results'!L651</f>
        <v>4</v>
      </c>
      <c r="V651" s="46">
        <f t="shared" si="124"/>
        <v>0.36363636363636365</v>
      </c>
      <c r="W651" s="46">
        <f t="shared" si="130"/>
        <v>0.30769230769230771</v>
      </c>
      <c r="X651" s="46">
        <f t="shared" si="125"/>
        <v>0.33333333333333337</v>
      </c>
      <c r="Y651" s="47">
        <f>'Detailed Results'!M651</f>
        <v>14</v>
      </c>
      <c r="Z651" s="47">
        <f>'Detailed Results'!N651</f>
        <v>5</v>
      </c>
      <c r="AA651" s="48">
        <f t="shared" si="126"/>
        <v>0.35714285714285715</v>
      </c>
      <c r="AB651" s="48">
        <f t="shared" si="131"/>
        <v>0.27777777777777779</v>
      </c>
      <c r="AC651" s="48">
        <f t="shared" si="127"/>
        <v>0.31250000000000006</v>
      </c>
    </row>
    <row r="652" spans="1:29" ht="15" customHeight="1" thickBot="1" x14ac:dyDescent="0.4">
      <c r="A652" s="185"/>
      <c r="B652" s="16" t="s">
        <v>22</v>
      </c>
      <c r="C652" s="17" t="s">
        <v>20</v>
      </c>
      <c r="D652" s="17">
        <v>3</v>
      </c>
      <c r="E652" s="16" t="s">
        <v>17</v>
      </c>
      <c r="F652" s="40">
        <f>'GT Input'!C15</f>
        <v>13</v>
      </c>
      <c r="G652" s="40">
        <f>'GT Input'!D15</f>
        <v>18</v>
      </c>
      <c r="H652" s="40">
        <f>'GT Input'!E15</f>
        <v>13</v>
      </c>
      <c r="I652" s="40">
        <f>'GT Input'!F15</f>
        <v>18</v>
      </c>
      <c r="J652" s="41">
        <f>'Detailed Results'!G652</f>
        <v>11</v>
      </c>
      <c r="K652" s="41">
        <f>'Detailed Results'!H652</f>
        <v>11</v>
      </c>
      <c r="L652" s="42">
        <f t="shared" si="120"/>
        <v>1</v>
      </c>
      <c r="M652" s="42">
        <f t="shared" si="128"/>
        <v>0.84615384615384615</v>
      </c>
      <c r="N652" s="42">
        <f t="shared" si="121"/>
        <v>0.91666666666666663</v>
      </c>
      <c r="O652" s="43">
        <f>'Detailed Results'!I652</f>
        <v>11</v>
      </c>
      <c r="P652" s="43">
        <f>'Detailed Results'!J652</f>
        <v>11</v>
      </c>
      <c r="Q652" s="44">
        <f t="shared" si="122"/>
        <v>1</v>
      </c>
      <c r="R652" s="44">
        <f t="shared" si="129"/>
        <v>0.61111111111111116</v>
      </c>
      <c r="S652" s="44">
        <f t="shared" si="123"/>
        <v>0.75862068965517249</v>
      </c>
      <c r="T652" s="45">
        <f>'Detailed Results'!K652</f>
        <v>11</v>
      </c>
      <c r="U652" s="45">
        <f>'Detailed Results'!L652</f>
        <v>7</v>
      </c>
      <c r="V652" s="46">
        <f t="shared" si="124"/>
        <v>0.63636363636363635</v>
      </c>
      <c r="W652" s="46">
        <f t="shared" si="130"/>
        <v>0.53846153846153844</v>
      </c>
      <c r="X652" s="46">
        <f t="shared" si="125"/>
        <v>0.58333333333333337</v>
      </c>
      <c r="Y652" s="47">
        <f>'Detailed Results'!M652</f>
        <v>11</v>
      </c>
      <c r="Z652" s="47">
        <f>'Detailed Results'!N652</f>
        <v>10</v>
      </c>
      <c r="AA652" s="48">
        <f t="shared" si="126"/>
        <v>0.90909090909090906</v>
      </c>
      <c r="AB652" s="48">
        <f t="shared" si="131"/>
        <v>0.55555555555555558</v>
      </c>
      <c r="AC652" s="48">
        <f t="shared" si="127"/>
        <v>0.68965517241379315</v>
      </c>
    </row>
    <row r="653" spans="1:29" s="64" customFormat="1" ht="15" customHeight="1" thickBot="1" x14ac:dyDescent="0.4">
      <c r="A653" s="185"/>
      <c r="B653" s="53" t="s">
        <v>22</v>
      </c>
      <c r="C653" s="54" t="s">
        <v>20</v>
      </c>
      <c r="D653" s="54">
        <v>3</v>
      </c>
      <c r="E653" s="53" t="s">
        <v>109</v>
      </c>
      <c r="F653" s="55">
        <f>'GT Input'!C15</f>
        <v>13</v>
      </c>
      <c r="G653" s="55">
        <f>'GT Input'!D15</f>
        <v>18</v>
      </c>
      <c r="H653" s="55">
        <f>'GT Input'!E15</f>
        <v>13</v>
      </c>
      <c r="I653" s="55">
        <f>'GT Input'!F15</f>
        <v>18</v>
      </c>
      <c r="J653" s="56">
        <f>'Detailed Results'!G653</f>
        <v>11</v>
      </c>
      <c r="K653" s="56">
        <f>'Detailed Results'!H653</f>
        <v>11</v>
      </c>
      <c r="L653" s="57">
        <f t="shared" si="120"/>
        <v>1</v>
      </c>
      <c r="M653" s="57">
        <f t="shared" si="128"/>
        <v>0.84615384615384615</v>
      </c>
      <c r="N653" s="57">
        <f t="shared" si="121"/>
        <v>0.91666666666666663</v>
      </c>
      <c r="O653" s="58">
        <f>'Detailed Results'!I653</f>
        <v>12</v>
      </c>
      <c r="P653" s="58">
        <f>'Detailed Results'!J653</f>
        <v>12</v>
      </c>
      <c r="Q653" s="59">
        <f t="shared" si="122"/>
        <v>1</v>
      </c>
      <c r="R653" s="59">
        <f t="shared" si="129"/>
        <v>0.66666666666666663</v>
      </c>
      <c r="S653" s="59">
        <f t="shared" si="123"/>
        <v>0.8</v>
      </c>
      <c r="T653" s="60">
        <f>'Detailed Results'!K653</f>
        <v>11</v>
      </c>
      <c r="U653" s="60">
        <f>'Detailed Results'!L653</f>
        <v>7</v>
      </c>
      <c r="V653" s="61">
        <f t="shared" si="124"/>
        <v>0.63636363636363635</v>
      </c>
      <c r="W653" s="61">
        <f t="shared" si="130"/>
        <v>0.53846153846153844</v>
      </c>
      <c r="X653" s="61">
        <f t="shared" si="125"/>
        <v>0.58333333333333337</v>
      </c>
      <c r="Y653" s="62">
        <f>'Detailed Results'!M653</f>
        <v>12</v>
      </c>
      <c r="Z653" s="62">
        <f>'Detailed Results'!N653</f>
        <v>7</v>
      </c>
      <c r="AA653" s="63">
        <f t="shared" si="126"/>
        <v>0.58333333333333337</v>
      </c>
      <c r="AB653" s="63">
        <f t="shared" si="131"/>
        <v>0.3888888888888889</v>
      </c>
      <c r="AC653" s="63">
        <f t="shared" si="127"/>
        <v>0.46666666666666662</v>
      </c>
    </row>
    <row r="654" spans="1:29" ht="15" customHeight="1" thickBot="1" x14ac:dyDescent="0.4">
      <c r="A654" s="185" t="s">
        <v>34</v>
      </c>
      <c r="B654" s="65" t="s">
        <v>15</v>
      </c>
      <c r="C654" s="66" t="s">
        <v>16</v>
      </c>
      <c r="D654" s="66">
        <v>1</v>
      </c>
      <c r="E654" s="65" t="s">
        <v>17</v>
      </c>
      <c r="F654" s="67">
        <f>'GT Input'!C16</f>
        <v>7</v>
      </c>
      <c r="G654" s="67">
        <f>'GT Input'!D16</f>
        <v>16</v>
      </c>
      <c r="H654" s="67">
        <f>'GT Input'!E16</f>
        <v>7</v>
      </c>
      <c r="I654" s="67">
        <f>'GT Input'!F16</f>
        <v>16</v>
      </c>
      <c r="J654" s="68">
        <f>'Detailed Results'!G654</f>
        <v>5</v>
      </c>
      <c r="K654" s="68">
        <f>'Detailed Results'!H654</f>
        <v>5</v>
      </c>
      <c r="L654" s="69">
        <f t="shared" si="120"/>
        <v>1</v>
      </c>
      <c r="M654" s="69">
        <f t="shared" si="128"/>
        <v>0.7142857142857143</v>
      </c>
      <c r="N654" s="69">
        <f t="shared" si="121"/>
        <v>0.83333333333333326</v>
      </c>
      <c r="O654" s="70">
        <f>'Detailed Results'!I654</f>
        <v>9</v>
      </c>
      <c r="P654" s="70">
        <f>'Detailed Results'!J654</f>
        <v>9</v>
      </c>
      <c r="Q654" s="71">
        <f t="shared" si="122"/>
        <v>1</v>
      </c>
      <c r="R654" s="71">
        <f t="shared" si="129"/>
        <v>0.5625</v>
      </c>
      <c r="S654" s="71">
        <f t="shared" si="123"/>
        <v>0.72</v>
      </c>
      <c r="T654" s="72">
        <f>'Detailed Results'!K654</f>
        <v>5</v>
      </c>
      <c r="U654" s="72">
        <f>'Detailed Results'!L654</f>
        <v>5</v>
      </c>
      <c r="V654" s="73">
        <f t="shared" si="124"/>
        <v>1</v>
      </c>
      <c r="W654" s="73">
        <f t="shared" si="130"/>
        <v>0.7142857142857143</v>
      </c>
      <c r="X654" s="73">
        <f t="shared" si="125"/>
        <v>0.83333333333333326</v>
      </c>
      <c r="Y654" s="74">
        <f>'Detailed Results'!M654</f>
        <v>9</v>
      </c>
      <c r="Z654" s="74">
        <f>'Detailed Results'!N654</f>
        <v>8</v>
      </c>
      <c r="AA654" s="75">
        <f t="shared" si="126"/>
        <v>0.88888888888888884</v>
      </c>
      <c r="AB654" s="75">
        <f t="shared" si="131"/>
        <v>0.5</v>
      </c>
      <c r="AC654" s="75">
        <f t="shared" si="127"/>
        <v>0.64</v>
      </c>
    </row>
    <row r="655" spans="1:29" ht="15" customHeight="1" thickBot="1" x14ac:dyDescent="0.4">
      <c r="A655" s="185"/>
      <c r="B655" s="7" t="s">
        <v>15</v>
      </c>
      <c r="C655" s="8" t="s">
        <v>16</v>
      </c>
      <c r="D655" s="8">
        <v>1</v>
      </c>
      <c r="E655" s="7" t="s">
        <v>109</v>
      </c>
      <c r="F655" s="40">
        <f>'GT Input'!C16</f>
        <v>7</v>
      </c>
      <c r="G655" s="40">
        <f>'GT Input'!D16</f>
        <v>16</v>
      </c>
      <c r="H655" s="40">
        <f>'GT Input'!E16</f>
        <v>7</v>
      </c>
      <c r="I655" s="40">
        <f>'GT Input'!F16</f>
        <v>16</v>
      </c>
      <c r="J655" s="41">
        <f>'Detailed Results'!G655</f>
        <v>5</v>
      </c>
      <c r="K655" s="41">
        <f>'Detailed Results'!H655</f>
        <v>5</v>
      </c>
      <c r="L655" s="42">
        <f t="shared" si="120"/>
        <v>1</v>
      </c>
      <c r="M655" s="42">
        <f t="shared" si="128"/>
        <v>0.7142857142857143</v>
      </c>
      <c r="N655" s="42">
        <f t="shared" si="121"/>
        <v>0.83333333333333326</v>
      </c>
      <c r="O655" s="43">
        <f>'Detailed Results'!I655</f>
        <v>11</v>
      </c>
      <c r="P655" s="43">
        <f>'Detailed Results'!J655</f>
        <v>11</v>
      </c>
      <c r="Q655" s="44">
        <f t="shared" si="122"/>
        <v>1</v>
      </c>
      <c r="R655" s="44">
        <f t="shared" si="129"/>
        <v>0.6875</v>
      </c>
      <c r="S655" s="44">
        <f t="shared" si="123"/>
        <v>0.81481481481481477</v>
      </c>
      <c r="T655" s="45">
        <f>'Detailed Results'!K655</f>
        <v>5</v>
      </c>
      <c r="U655" s="45">
        <f>'Detailed Results'!L655</f>
        <v>1</v>
      </c>
      <c r="V655" s="46">
        <f t="shared" si="124"/>
        <v>0.2</v>
      </c>
      <c r="W655" s="46">
        <f t="shared" si="130"/>
        <v>0.14285714285714285</v>
      </c>
      <c r="X655" s="46">
        <f t="shared" si="125"/>
        <v>0.16666666666666666</v>
      </c>
      <c r="Y655" s="47">
        <f>'Detailed Results'!M655</f>
        <v>11</v>
      </c>
      <c r="Z655" s="47">
        <f>'Detailed Results'!N655</f>
        <v>10</v>
      </c>
      <c r="AA655" s="48">
        <f t="shared" si="126"/>
        <v>0.90909090909090906</v>
      </c>
      <c r="AB655" s="48">
        <f t="shared" si="131"/>
        <v>0.625</v>
      </c>
      <c r="AC655" s="48">
        <f t="shared" si="127"/>
        <v>0.74074074074074059</v>
      </c>
    </row>
    <row r="656" spans="1:29" ht="15" customHeight="1" thickBot="1" x14ac:dyDescent="0.4">
      <c r="A656" s="185"/>
      <c r="B656" s="10" t="s">
        <v>15</v>
      </c>
      <c r="C656" s="11" t="s">
        <v>16</v>
      </c>
      <c r="D656" s="11">
        <v>2</v>
      </c>
      <c r="E656" s="10" t="s">
        <v>17</v>
      </c>
      <c r="F656" s="40">
        <f>'GT Input'!C16</f>
        <v>7</v>
      </c>
      <c r="G656" s="40">
        <f>'GT Input'!D16</f>
        <v>16</v>
      </c>
      <c r="H656" s="40">
        <f>'GT Input'!E16</f>
        <v>7</v>
      </c>
      <c r="I656" s="40">
        <f>'GT Input'!F16</f>
        <v>16</v>
      </c>
      <c r="J656" s="41">
        <f>'Detailed Results'!G656</f>
        <v>5</v>
      </c>
      <c r="K656" s="41">
        <f>'Detailed Results'!H656</f>
        <v>5</v>
      </c>
      <c r="L656" s="42">
        <f t="shared" si="120"/>
        <v>1</v>
      </c>
      <c r="M656" s="42">
        <f t="shared" si="128"/>
        <v>0.7142857142857143</v>
      </c>
      <c r="N656" s="42">
        <f t="shared" si="121"/>
        <v>0.83333333333333326</v>
      </c>
      <c r="O656" s="43">
        <f>'Detailed Results'!I656</f>
        <v>9</v>
      </c>
      <c r="P656" s="43">
        <f>'Detailed Results'!J656</f>
        <v>9</v>
      </c>
      <c r="Q656" s="44">
        <f t="shared" si="122"/>
        <v>1</v>
      </c>
      <c r="R656" s="44">
        <f t="shared" si="129"/>
        <v>0.5625</v>
      </c>
      <c r="S656" s="44">
        <f t="shared" si="123"/>
        <v>0.72</v>
      </c>
      <c r="T656" s="45">
        <f>'Detailed Results'!K656</f>
        <v>5</v>
      </c>
      <c r="U656" s="45">
        <f>'Detailed Results'!L656</f>
        <v>5</v>
      </c>
      <c r="V656" s="46">
        <f t="shared" si="124"/>
        <v>1</v>
      </c>
      <c r="W656" s="46">
        <f t="shared" si="130"/>
        <v>0.7142857142857143</v>
      </c>
      <c r="X656" s="46">
        <f t="shared" si="125"/>
        <v>0.83333333333333326</v>
      </c>
      <c r="Y656" s="47">
        <f>'Detailed Results'!M656</f>
        <v>9</v>
      </c>
      <c r="Z656" s="47">
        <f>'Detailed Results'!N656</f>
        <v>8</v>
      </c>
      <c r="AA656" s="48">
        <f t="shared" si="126"/>
        <v>0.88888888888888884</v>
      </c>
      <c r="AB656" s="48">
        <f t="shared" si="131"/>
        <v>0.5</v>
      </c>
      <c r="AC656" s="48">
        <f t="shared" si="127"/>
        <v>0.64</v>
      </c>
    </row>
    <row r="657" spans="1:29" ht="15" customHeight="1" thickBot="1" x14ac:dyDescent="0.4">
      <c r="A657" s="185"/>
      <c r="B657" s="10" t="s">
        <v>15</v>
      </c>
      <c r="C657" s="11" t="s">
        <v>16</v>
      </c>
      <c r="D657" s="11">
        <v>2</v>
      </c>
      <c r="E657" s="10" t="s">
        <v>109</v>
      </c>
      <c r="F657" s="40">
        <f>'GT Input'!C16</f>
        <v>7</v>
      </c>
      <c r="G657" s="40">
        <f>'GT Input'!D16</f>
        <v>16</v>
      </c>
      <c r="H657" s="40">
        <f>'GT Input'!E16</f>
        <v>7</v>
      </c>
      <c r="I657" s="40">
        <f>'GT Input'!F16</f>
        <v>16</v>
      </c>
      <c r="J657" s="41">
        <f>'Detailed Results'!G657</f>
        <v>5</v>
      </c>
      <c r="K657" s="41">
        <f>'Detailed Results'!H657</f>
        <v>5</v>
      </c>
      <c r="L657" s="42">
        <f t="shared" si="120"/>
        <v>1</v>
      </c>
      <c r="M657" s="42">
        <f t="shared" si="128"/>
        <v>0.7142857142857143</v>
      </c>
      <c r="N657" s="42">
        <f t="shared" si="121"/>
        <v>0.83333333333333326</v>
      </c>
      <c r="O657" s="43">
        <f>'Detailed Results'!I657</f>
        <v>11</v>
      </c>
      <c r="P657" s="43">
        <f>'Detailed Results'!J657</f>
        <v>11</v>
      </c>
      <c r="Q657" s="44">
        <f t="shared" si="122"/>
        <v>1</v>
      </c>
      <c r="R657" s="44">
        <f t="shared" si="129"/>
        <v>0.6875</v>
      </c>
      <c r="S657" s="44">
        <f t="shared" si="123"/>
        <v>0.81481481481481477</v>
      </c>
      <c r="T657" s="45">
        <f>'Detailed Results'!K657</f>
        <v>5</v>
      </c>
      <c r="U657" s="45">
        <f>'Detailed Results'!L657</f>
        <v>1</v>
      </c>
      <c r="V657" s="46">
        <f t="shared" si="124"/>
        <v>0.2</v>
      </c>
      <c r="W657" s="46">
        <f t="shared" si="130"/>
        <v>0.14285714285714285</v>
      </c>
      <c r="X657" s="46">
        <f t="shared" si="125"/>
        <v>0.16666666666666666</v>
      </c>
      <c r="Y657" s="47">
        <f>'Detailed Results'!M657</f>
        <v>11</v>
      </c>
      <c r="Z657" s="47">
        <f>'Detailed Results'!N657</f>
        <v>10</v>
      </c>
      <c r="AA657" s="48">
        <f t="shared" si="126"/>
        <v>0.90909090909090906</v>
      </c>
      <c r="AB657" s="48">
        <f t="shared" si="131"/>
        <v>0.625</v>
      </c>
      <c r="AC657" s="48">
        <f t="shared" si="127"/>
        <v>0.74074074074074059</v>
      </c>
    </row>
    <row r="658" spans="1:29" ht="15" customHeight="1" thickBot="1" x14ac:dyDescent="0.4">
      <c r="A658" s="185"/>
      <c r="B658" s="7" t="s">
        <v>15</v>
      </c>
      <c r="C658" s="8" t="s">
        <v>16</v>
      </c>
      <c r="D658" s="8">
        <v>3</v>
      </c>
      <c r="E658" s="7" t="s">
        <v>17</v>
      </c>
      <c r="F658" s="40">
        <f>'GT Input'!C16</f>
        <v>7</v>
      </c>
      <c r="G658" s="40">
        <f>'GT Input'!D16</f>
        <v>16</v>
      </c>
      <c r="H658" s="40">
        <f>'GT Input'!E16</f>
        <v>7</v>
      </c>
      <c r="I658" s="40">
        <f>'GT Input'!F16</f>
        <v>16</v>
      </c>
      <c r="J658" s="41">
        <f>'Detailed Results'!G658</f>
        <v>5</v>
      </c>
      <c r="K658" s="41">
        <f>'Detailed Results'!H658</f>
        <v>5</v>
      </c>
      <c r="L658" s="42">
        <f t="shared" si="120"/>
        <v>1</v>
      </c>
      <c r="M658" s="42">
        <f t="shared" si="128"/>
        <v>0.7142857142857143</v>
      </c>
      <c r="N658" s="42">
        <f t="shared" si="121"/>
        <v>0.83333333333333326</v>
      </c>
      <c r="O658" s="43">
        <f>'Detailed Results'!I658</f>
        <v>10</v>
      </c>
      <c r="P658" s="43">
        <f>'Detailed Results'!J658</f>
        <v>10</v>
      </c>
      <c r="Q658" s="44">
        <f t="shared" si="122"/>
        <v>1</v>
      </c>
      <c r="R658" s="44">
        <f t="shared" si="129"/>
        <v>0.625</v>
      </c>
      <c r="S658" s="44">
        <f t="shared" si="123"/>
        <v>0.76923076923076927</v>
      </c>
      <c r="T658" s="45">
        <f>'Detailed Results'!K658</f>
        <v>5</v>
      </c>
      <c r="U658" s="45">
        <f>'Detailed Results'!L658</f>
        <v>5</v>
      </c>
      <c r="V658" s="46">
        <f t="shared" si="124"/>
        <v>1</v>
      </c>
      <c r="W658" s="46">
        <f t="shared" si="130"/>
        <v>0.7142857142857143</v>
      </c>
      <c r="X658" s="46">
        <f t="shared" si="125"/>
        <v>0.83333333333333326</v>
      </c>
      <c r="Y658" s="47">
        <f>'Detailed Results'!M658</f>
        <v>10</v>
      </c>
      <c r="Z658" s="47">
        <f>'Detailed Results'!N658</f>
        <v>9</v>
      </c>
      <c r="AA658" s="48">
        <f t="shared" si="126"/>
        <v>0.9</v>
      </c>
      <c r="AB658" s="48">
        <f t="shared" si="131"/>
        <v>0.5625</v>
      </c>
      <c r="AC658" s="48">
        <f t="shared" si="127"/>
        <v>0.69230769230769229</v>
      </c>
    </row>
    <row r="659" spans="1:29" ht="15" customHeight="1" thickBot="1" x14ac:dyDescent="0.4">
      <c r="A659" s="185"/>
      <c r="B659" s="7" t="s">
        <v>15</v>
      </c>
      <c r="C659" s="8" t="s">
        <v>16</v>
      </c>
      <c r="D659" s="8">
        <v>3</v>
      </c>
      <c r="E659" s="7" t="s">
        <v>109</v>
      </c>
      <c r="F659" s="40">
        <f>'GT Input'!C16</f>
        <v>7</v>
      </c>
      <c r="G659" s="40">
        <f>'GT Input'!D16</f>
        <v>16</v>
      </c>
      <c r="H659" s="40">
        <f>'GT Input'!E16</f>
        <v>7</v>
      </c>
      <c r="I659" s="40">
        <f>'GT Input'!F16</f>
        <v>16</v>
      </c>
      <c r="J659" s="41">
        <f>'Detailed Results'!G659</f>
        <v>5</v>
      </c>
      <c r="K659" s="41">
        <f>'Detailed Results'!H659</f>
        <v>5</v>
      </c>
      <c r="L659" s="42">
        <f t="shared" si="120"/>
        <v>1</v>
      </c>
      <c r="M659" s="42">
        <f t="shared" si="128"/>
        <v>0.7142857142857143</v>
      </c>
      <c r="N659" s="42">
        <f t="shared" si="121"/>
        <v>0.83333333333333326</v>
      </c>
      <c r="O659" s="43">
        <f>'Detailed Results'!I659</f>
        <v>12</v>
      </c>
      <c r="P659" s="43">
        <f>'Detailed Results'!J659</f>
        <v>12</v>
      </c>
      <c r="Q659" s="44">
        <f t="shared" si="122"/>
        <v>1</v>
      </c>
      <c r="R659" s="44">
        <f t="shared" si="129"/>
        <v>0.75</v>
      </c>
      <c r="S659" s="44">
        <f t="shared" si="123"/>
        <v>0.8571428571428571</v>
      </c>
      <c r="T659" s="45">
        <f>'Detailed Results'!K659</f>
        <v>5</v>
      </c>
      <c r="U659" s="45">
        <f>'Detailed Results'!L659</f>
        <v>1</v>
      </c>
      <c r="V659" s="46">
        <f t="shared" si="124"/>
        <v>0.2</v>
      </c>
      <c r="W659" s="46">
        <f t="shared" si="130"/>
        <v>0.14285714285714285</v>
      </c>
      <c r="X659" s="46">
        <f t="shared" si="125"/>
        <v>0.16666666666666666</v>
      </c>
      <c r="Y659" s="47">
        <f>'Detailed Results'!M659</f>
        <v>12</v>
      </c>
      <c r="Z659" s="47">
        <f>'Detailed Results'!N659</f>
        <v>10</v>
      </c>
      <c r="AA659" s="48">
        <f t="shared" si="126"/>
        <v>0.83333333333333337</v>
      </c>
      <c r="AB659" s="48">
        <f t="shared" si="131"/>
        <v>0.625</v>
      </c>
      <c r="AC659" s="48">
        <f t="shared" si="127"/>
        <v>0.7142857142857143</v>
      </c>
    </row>
    <row r="660" spans="1:29" ht="15" customHeight="1" thickBot="1" x14ac:dyDescent="0.4">
      <c r="A660" s="185"/>
      <c r="B660" s="10" t="s">
        <v>15</v>
      </c>
      <c r="C660" s="11" t="s">
        <v>19</v>
      </c>
      <c r="D660" s="11">
        <v>1</v>
      </c>
      <c r="E660" s="10" t="s">
        <v>17</v>
      </c>
      <c r="F660" s="40">
        <f>'GT Input'!C16</f>
        <v>7</v>
      </c>
      <c r="G660" s="40">
        <f>'GT Input'!D16</f>
        <v>16</v>
      </c>
      <c r="H660" s="40">
        <f>'GT Input'!E16</f>
        <v>7</v>
      </c>
      <c r="I660" s="40">
        <f>'GT Input'!F16</f>
        <v>16</v>
      </c>
      <c r="J660" s="41">
        <f>'Detailed Results'!G660</f>
        <v>5</v>
      </c>
      <c r="K660" s="41">
        <f>'Detailed Results'!H660</f>
        <v>5</v>
      </c>
      <c r="L660" s="42">
        <f t="shared" si="120"/>
        <v>1</v>
      </c>
      <c r="M660" s="42">
        <f t="shared" si="128"/>
        <v>0.7142857142857143</v>
      </c>
      <c r="N660" s="42">
        <f t="shared" si="121"/>
        <v>0.83333333333333326</v>
      </c>
      <c r="O660" s="43">
        <f>'Detailed Results'!I660</f>
        <v>9</v>
      </c>
      <c r="P660" s="43">
        <f>'Detailed Results'!J660</f>
        <v>9</v>
      </c>
      <c r="Q660" s="44">
        <f t="shared" si="122"/>
        <v>1</v>
      </c>
      <c r="R660" s="44">
        <f t="shared" si="129"/>
        <v>0.5625</v>
      </c>
      <c r="S660" s="44">
        <f t="shared" si="123"/>
        <v>0.72</v>
      </c>
      <c r="T660" s="45">
        <f>'Detailed Results'!K660</f>
        <v>5</v>
      </c>
      <c r="U660" s="45">
        <f>'Detailed Results'!L660</f>
        <v>5</v>
      </c>
      <c r="V660" s="46">
        <f t="shared" si="124"/>
        <v>1</v>
      </c>
      <c r="W660" s="46">
        <f t="shared" si="130"/>
        <v>0.7142857142857143</v>
      </c>
      <c r="X660" s="46">
        <f t="shared" si="125"/>
        <v>0.83333333333333326</v>
      </c>
      <c r="Y660" s="47">
        <f>'Detailed Results'!M660</f>
        <v>9</v>
      </c>
      <c r="Z660" s="47">
        <f>'Detailed Results'!N660</f>
        <v>8</v>
      </c>
      <c r="AA660" s="48">
        <f t="shared" si="126"/>
        <v>0.88888888888888884</v>
      </c>
      <c r="AB660" s="48">
        <f t="shared" si="131"/>
        <v>0.5</v>
      </c>
      <c r="AC660" s="48">
        <f t="shared" si="127"/>
        <v>0.64</v>
      </c>
    </row>
    <row r="661" spans="1:29" ht="15" customHeight="1" thickBot="1" x14ac:dyDescent="0.4">
      <c r="A661" s="185"/>
      <c r="B661" s="10" t="s">
        <v>15</v>
      </c>
      <c r="C661" s="11" t="s">
        <v>19</v>
      </c>
      <c r="D661" s="11">
        <v>1</v>
      </c>
      <c r="E661" s="10" t="s">
        <v>109</v>
      </c>
      <c r="F661" s="40">
        <f>'GT Input'!C16</f>
        <v>7</v>
      </c>
      <c r="G661" s="40">
        <f>'GT Input'!D16</f>
        <v>16</v>
      </c>
      <c r="H661" s="40">
        <f>'GT Input'!E16</f>
        <v>7</v>
      </c>
      <c r="I661" s="40">
        <f>'GT Input'!F16</f>
        <v>16</v>
      </c>
      <c r="J661" s="41">
        <f>'Detailed Results'!G661</f>
        <v>5</v>
      </c>
      <c r="K661" s="41">
        <f>'Detailed Results'!H661</f>
        <v>5</v>
      </c>
      <c r="L661" s="42">
        <f t="shared" si="120"/>
        <v>1</v>
      </c>
      <c r="M661" s="42">
        <f t="shared" si="128"/>
        <v>0.7142857142857143</v>
      </c>
      <c r="N661" s="42">
        <f t="shared" si="121"/>
        <v>0.83333333333333326</v>
      </c>
      <c r="O661" s="43">
        <f>'Detailed Results'!I661</f>
        <v>11</v>
      </c>
      <c r="P661" s="43">
        <f>'Detailed Results'!J661</f>
        <v>11</v>
      </c>
      <c r="Q661" s="44">
        <f t="shared" si="122"/>
        <v>1</v>
      </c>
      <c r="R661" s="44">
        <f t="shared" si="129"/>
        <v>0.6875</v>
      </c>
      <c r="S661" s="44">
        <f t="shared" si="123"/>
        <v>0.81481481481481477</v>
      </c>
      <c r="T661" s="45">
        <f>'Detailed Results'!K661</f>
        <v>5</v>
      </c>
      <c r="U661" s="45">
        <f>'Detailed Results'!L661</f>
        <v>1</v>
      </c>
      <c r="V661" s="46">
        <f t="shared" si="124"/>
        <v>0.2</v>
      </c>
      <c r="W661" s="46">
        <f t="shared" si="130"/>
        <v>0.14285714285714285</v>
      </c>
      <c r="X661" s="46">
        <f t="shared" si="125"/>
        <v>0.16666666666666666</v>
      </c>
      <c r="Y661" s="47">
        <f>'Detailed Results'!M661</f>
        <v>11</v>
      </c>
      <c r="Z661" s="47">
        <f>'Detailed Results'!N661</f>
        <v>10</v>
      </c>
      <c r="AA661" s="48">
        <f t="shared" si="126"/>
        <v>0.90909090909090906</v>
      </c>
      <c r="AB661" s="48">
        <f t="shared" si="131"/>
        <v>0.625</v>
      </c>
      <c r="AC661" s="48">
        <f t="shared" si="127"/>
        <v>0.74074074074074059</v>
      </c>
    </row>
    <row r="662" spans="1:29" ht="15" customHeight="1" thickBot="1" x14ac:dyDescent="0.4">
      <c r="A662" s="185"/>
      <c r="B662" s="7" t="s">
        <v>15</v>
      </c>
      <c r="C662" s="8" t="s">
        <v>19</v>
      </c>
      <c r="D662" s="8">
        <v>2</v>
      </c>
      <c r="E662" s="7" t="s">
        <v>17</v>
      </c>
      <c r="F662" s="40">
        <f>'GT Input'!C16</f>
        <v>7</v>
      </c>
      <c r="G662" s="40">
        <f>'GT Input'!D16</f>
        <v>16</v>
      </c>
      <c r="H662" s="40">
        <f>'GT Input'!E16</f>
        <v>7</v>
      </c>
      <c r="I662" s="40">
        <f>'GT Input'!F16</f>
        <v>16</v>
      </c>
      <c r="J662" s="41">
        <f>'Detailed Results'!G662</f>
        <v>5</v>
      </c>
      <c r="K662" s="41">
        <f>'Detailed Results'!H662</f>
        <v>5</v>
      </c>
      <c r="L662" s="42">
        <f t="shared" si="120"/>
        <v>1</v>
      </c>
      <c r="M662" s="42">
        <f t="shared" si="128"/>
        <v>0.7142857142857143</v>
      </c>
      <c r="N662" s="42">
        <f t="shared" si="121"/>
        <v>0.83333333333333326</v>
      </c>
      <c r="O662" s="43">
        <f>'Detailed Results'!I662</f>
        <v>11</v>
      </c>
      <c r="P662" s="43">
        <f>'Detailed Results'!J662</f>
        <v>11</v>
      </c>
      <c r="Q662" s="44">
        <f t="shared" si="122"/>
        <v>1</v>
      </c>
      <c r="R662" s="44">
        <f t="shared" si="129"/>
        <v>0.6875</v>
      </c>
      <c r="S662" s="44">
        <f t="shared" si="123"/>
        <v>0.81481481481481477</v>
      </c>
      <c r="T662" s="45">
        <f>'Detailed Results'!K662</f>
        <v>5</v>
      </c>
      <c r="U662" s="45">
        <f>'Detailed Results'!L662</f>
        <v>5</v>
      </c>
      <c r="V662" s="46">
        <f t="shared" si="124"/>
        <v>1</v>
      </c>
      <c r="W662" s="46">
        <f t="shared" si="130"/>
        <v>0.7142857142857143</v>
      </c>
      <c r="X662" s="46">
        <f t="shared" si="125"/>
        <v>0.83333333333333326</v>
      </c>
      <c r="Y662" s="47">
        <f>'Detailed Results'!M662</f>
        <v>11</v>
      </c>
      <c r="Z662" s="47">
        <f>'Detailed Results'!N662</f>
        <v>9</v>
      </c>
      <c r="AA662" s="48">
        <f t="shared" si="126"/>
        <v>0.81818181818181823</v>
      </c>
      <c r="AB662" s="48">
        <f t="shared" si="131"/>
        <v>0.5625</v>
      </c>
      <c r="AC662" s="48">
        <f t="shared" si="127"/>
        <v>0.66666666666666663</v>
      </c>
    </row>
    <row r="663" spans="1:29" ht="15" customHeight="1" thickBot="1" x14ac:dyDescent="0.4">
      <c r="A663" s="185"/>
      <c r="B663" s="7" t="s">
        <v>15</v>
      </c>
      <c r="C663" s="8" t="s">
        <v>19</v>
      </c>
      <c r="D663" s="8">
        <v>2</v>
      </c>
      <c r="E663" s="7" t="s">
        <v>109</v>
      </c>
      <c r="F663" s="40">
        <f>'GT Input'!C16</f>
        <v>7</v>
      </c>
      <c r="G663" s="40">
        <f>'GT Input'!D16</f>
        <v>16</v>
      </c>
      <c r="H663" s="40">
        <f>'GT Input'!E16</f>
        <v>7</v>
      </c>
      <c r="I663" s="40">
        <f>'GT Input'!F16</f>
        <v>16</v>
      </c>
      <c r="J663" s="41">
        <f>'Detailed Results'!G663</f>
        <v>5</v>
      </c>
      <c r="K663" s="41">
        <f>'Detailed Results'!H663</f>
        <v>5</v>
      </c>
      <c r="L663" s="42">
        <f t="shared" si="120"/>
        <v>1</v>
      </c>
      <c r="M663" s="42">
        <f t="shared" si="128"/>
        <v>0.7142857142857143</v>
      </c>
      <c r="N663" s="42">
        <f t="shared" si="121"/>
        <v>0.83333333333333326</v>
      </c>
      <c r="O663" s="43">
        <f>'Detailed Results'!I663</f>
        <v>11</v>
      </c>
      <c r="P663" s="43">
        <f>'Detailed Results'!J663</f>
        <v>11</v>
      </c>
      <c r="Q663" s="44">
        <f t="shared" si="122"/>
        <v>1</v>
      </c>
      <c r="R663" s="44">
        <f t="shared" si="129"/>
        <v>0.6875</v>
      </c>
      <c r="S663" s="44">
        <f t="shared" si="123"/>
        <v>0.81481481481481477</v>
      </c>
      <c r="T663" s="45">
        <f>'Detailed Results'!K663</f>
        <v>5</v>
      </c>
      <c r="U663" s="45">
        <f>'Detailed Results'!L663</f>
        <v>1</v>
      </c>
      <c r="V663" s="46">
        <f t="shared" si="124"/>
        <v>0.2</v>
      </c>
      <c r="W663" s="46">
        <f t="shared" si="130"/>
        <v>0.14285714285714285</v>
      </c>
      <c r="X663" s="46">
        <f t="shared" si="125"/>
        <v>0.16666666666666666</v>
      </c>
      <c r="Y663" s="47">
        <f>'Detailed Results'!M663</f>
        <v>11</v>
      </c>
      <c r="Z663" s="47">
        <f>'Detailed Results'!N663</f>
        <v>10</v>
      </c>
      <c r="AA663" s="48">
        <f t="shared" si="126"/>
        <v>0.90909090909090906</v>
      </c>
      <c r="AB663" s="48">
        <f t="shared" si="131"/>
        <v>0.625</v>
      </c>
      <c r="AC663" s="48">
        <f t="shared" si="127"/>
        <v>0.74074074074074059</v>
      </c>
    </row>
    <row r="664" spans="1:29" ht="15" customHeight="1" thickBot="1" x14ac:dyDescent="0.4">
      <c r="A664" s="185"/>
      <c r="B664" s="10" t="s">
        <v>15</v>
      </c>
      <c r="C664" s="11" t="s">
        <v>19</v>
      </c>
      <c r="D664" s="11">
        <v>3</v>
      </c>
      <c r="E664" s="10" t="s">
        <v>17</v>
      </c>
      <c r="F664" s="40">
        <f>'GT Input'!C16</f>
        <v>7</v>
      </c>
      <c r="G664" s="40">
        <f>'GT Input'!D16</f>
        <v>16</v>
      </c>
      <c r="H664" s="40">
        <f>'GT Input'!E16</f>
        <v>7</v>
      </c>
      <c r="I664" s="40">
        <f>'GT Input'!F16</f>
        <v>16</v>
      </c>
      <c r="J664" s="41">
        <f>'Detailed Results'!G664</f>
        <v>5</v>
      </c>
      <c r="K664" s="41">
        <f>'Detailed Results'!H664</f>
        <v>5</v>
      </c>
      <c r="L664" s="42">
        <f t="shared" si="120"/>
        <v>1</v>
      </c>
      <c r="M664" s="42">
        <f t="shared" si="128"/>
        <v>0.7142857142857143</v>
      </c>
      <c r="N664" s="42">
        <f t="shared" si="121"/>
        <v>0.83333333333333326</v>
      </c>
      <c r="O664" s="43">
        <f>'Detailed Results'!I664</f>
        <v>10</v>
      </c>
      <c r="P664" s="43">
        <f>'Detailed Results'!J664</f>
        <v>10</v>
      </c>
      <c r="Q664" s="44">
        <f t="shared" si="122"/>
        <v>1</v>
      </c>
      <c r="R664" s="44">
        <f t="shared" si="129"/>
        <v>0.625</v>
      </c>
      <c r="S664" s="44">
        <f t="shared" si="123"/>
        <v>0.76923076923076927</v>
      </c>
      <c r="T664" s="45">
        <f>'Detailed Results'!K664</f>
        <v>5</v>
      </c>
      <c r="U664" s="45">
        <f>'Detailed Results'!L664</f>
        <v>5</v>
      </c>
      <c r="V664" s="46">
        <f t="shared" si="124"/>
        <v>1</v>
      </c>
      <c r="W664" s="46">
        <f t="shared" si="130"/>
        <v>0.7142857142857143</v>
      </c>
      <c r="X664" s="46">
        <f t="shared" si="125"/>
        <v>0.83333333333333326</v>
      </c>
      <c r="Y664" s="47">
        <f>'Detailed Results'!M664</f>
        <v>10</v>
      </c>
      <c r="Z664" s="47">
        <f>'Detailed Results'!N664</f>
        <v>9</v>
      </c>
      <c r="AA664" s="48">
        <f t="shared" si="126"/>
        <v>0.9</v>
      </c>
      <c r="AB664" s="48">
        <f t="shared" si="131"/>
        <v>0.5625</v>
      </c>
      <c r="AC664" s="48">
        <f t="shared" si="127"/>
        <v>0.69230769230769229</v>
      </c>
    </row>
    <row r="665" spans="1:29" ht="15" customHeight="1" thickBot="1" x14ac:dyDescent="0.4">
      <c r="A665" s="185"/>
      <c r="B665" s="10" t="s">
        <v>15</v>
      </c>
      <c r="C665" s="11" t="s">
        <v>19</v>
      </c>
      <c r="D665" s="11">
        <v>3</v>
      </c>
      <c r="E665" s="10" t="s">
        <v>109</v>
      </c>
      <c r="F665" s="40">
        <f>'GT Input'!C16</f>
        <v>7</v>
      </c>
      <c r="G665" s="40">
        <f>'GT Input'!D16</f>
        <v>16</v>
      </c>
      <c r="H665" s="40">
        <f>'GT Input'!E16</f>
        <v>7</v>
      </c>
      <c r="I665" s="40">
        <f>'GT Input'!F16</f>
        <v>16</v>
      </c>
      <c r="J665" s="41">
        <f>'Detailed Results'!G665</f>
        <v>5</v>
      </c>
      <c r="K665" s="41">
        <f>'Detailed Results'!H665</f>
        <v>5</v>
      </c>
      <c r="L665" s="42">
        <f t="shared" si="120"/>
        <v>1</v>
      </c>
      <c r="M665" s="42">
        <f t="shared" si="128"/>
        <v>0.7142857142857143</v>
      </c>
      <c r="N665" s="42">
        <f t="shared" si="121"/>
        <v>0.83333333333333326</v>
      </c>
      <c r="O665" s="43">
        <f>'Detailed Results'!I665</f>
        <v>11</v>
      </c>
      <c r="P665" s="43">
        <f>'Detailed Results'!J665</f>
        <v>11</v>
      </c>
      <c r="Q665" s="44">
        <f t="shared" si="122"/>
        <v>1</v>
      </c>
      <c r="R665" s="44">
        <f t="shared" si="129"/>
        <v>0.6875</v>
      </c>
      <c r="S665" s="44">
        <f t="shared" si="123"/>
        <v>0.81481481481481477</v>
      </c>
      <c r="T665" s="45">
        <f>'Detailed Results'!K665</f>
        <v>5</v>
      </c>
      <c r="U665" s="45">
        <f>'Detailed Results'!L665</f>
        <v>1</v>
      </c>
      <c r="V665" s="46">
        <f t="shared" si="124"/>
        <v>0.2</v>
      </c>
      <c r="W665" s="46">
        <f t="shared" si="130"/>
        <v>0.14285714285714285</v>
      </c>
      <c r="X665" s="46">
        <f t="shared" si="125"/>
        <v>0.16666666666666666</v>
      </c>
      <c r="Y665" s="47">
        <f>'Detailed Results'!M665</f>
        <v>11</v>
      </c>
      <c r="Z665" s="47">
        <f>'Detailed Results'!N665</f>
        <v>10</v>
      </c>
      <c r="AA665" s="48">
        <f t="shared" si="126"/>
        <v>0.90909090909090906</v>
      </c>
      <c r="AB665" s="48">
        <f t="shared" si="131"/>
        <v>0.625</v>
      </c>
      <c r="AC665" s="48">
        <f t="shared" si="127"/>
        <v>0.74074074074074059</v>
      </c>
    </row>
    <row r="666" spans="1:29" ht="15" customHeight="1" thickBot="1" x14ac:dyDescent="0.4">
      <c r="A666" s="185"/>
      <c r="B666" s="7" t="s">
        <v>15</v>
      </c>
      <c r="C666" s="8" t="s">
        <v>20</v>
      </c>
      <c r="D666" s="8">
        <v>1</v>
      </c>
      <c r="E666" s="7" t="s">
        <v>17</v>
      </c>
      <c r="F666" s="40">
        <f>'GT Input'!C16</f>
        <v>7</v>
      </c>
      <c r="G666" s="40">
        <f>'GT Input'!D16</f>
        <v>16</v>
      </c>
      <c r="H666" s="40">
        <f>'GT Input'!E16</f>
        <v>7</v>
      </c>
      <c r="I666" s="40">
        <f>'GT Input'!F16</f>
        <v>16</v>
      </c>
      <c r="J666" s="41">
        <f>'Detailed Results'!G666</f>
        <v>5</v>
      </c>
      <c r="K666" s="41">
        <f>'Detailed Results'!H666</f>
        <v>5</v>
      </c>
      <c r="L666" s="42">
        <f t="shared" si="120"/>
        <v>1</v>
      </c>
      <c r="M666" s="42">
        <f t="shared" si="128"/>
        <v>0.7142857142857143</v>
      </c>
      <c r="N666" s="42">
        <f t="shared" si="121"/>
        <v>0.83333333333333326</v>
      </c>
      <c r="O666" s="43">
        <f>'Detailed Results'!I666</f>
        <v>10</v>
      </c>
      <c r="P666" s="43">
        <f>'Detailed Results'!J666</f>
        <v>10</v>
      </c>
      <c r="Q666" s="44">
        <f t="shared" si="122"/>
        <v>1</v>
      </c>
      <c r="R666" s="44">
        <f t="shared" si="129"/>
        <v>0.625</v>
      </c>
      <c r="S666" s="44">
        <f t="shared" si="123"/>
        <v>0.76923076923076927</v>
      </c>
      <c r="T666" s="45">
        <f>'Detailed Results'!K666</f>
        <v>5</v>
      </c>
      <c r="U666" s="45">
        <f>'Detailed Results'!L666</f>
        <v>5</v>
      </c>
      <c r="V666" s="46">
        <f t="shared" si="124"/>
        <v>1</v>
      </c>
      <c r="W666" s="46">
        <f t="shared" si="130"/>
        <v>0.7142857142857143</v>
      </c>
      <c r="X666" s="46">
        <f t="shared" si="125"/>
        <v>0.83333333333333326</v>
      </c>
      <c r="Y666" s="47">
        <f>'Detailed Results'!M666</f>
        <v>10</v>
      </c>
      <c r="Z666" s="47">
        <f>'Detailed Results'!N666</f>
        <v>9</v>
      </c>
      <c r="AA666" s="48">
        <f t="shared" si="126"/>
        <v>0.9</v>
      </c>
      <c r="AB666" s="48">
        <f t="shared" si="131"/>
        <v>0.5625</v>
      </c>
      <c r="AC666" s="48">
        <f t="shared" si="127"/>
        <v>0.69230769230769229</v>
      </c>
    </row>
    <row r="667" spans="1:29" ht="15" customHeight="1" thickBot="1" x14ac:dyDescent="0.4">
      <c r="A667" s="185"/>
      <c r="B667" s="7" t="s">
        <v>15</v>
      </c>
      <c r="C667" s="8" t="s">
        <v>20</v>
      </c>
      <c r="D667" s="8">
        <v>1</v>
      </c>
      <c r="E667" s="7" t="s">
        <v>109</v>
      </c>
      <c r="F667" s="40">
        <f>'GT Input'!C16</f>
        <v>7</v>
      </c>
      <c r="G667" s="40">
        <f>'GT Input'!D16</f>
        <v>16</v>
      </c>
      <c r="H667" s="40">
        <f>'GT Input'!E16</f>
        <v>7</v>
      </c>
      <c r="I667" s="40">
        <f>'GT Input'!F16</f>
        <v>16</v>
      </c>
      <c r="J667" s="41">
        <f>'Detailed Results'!G667</f>
        <v>5</v>
      </c>
      <c r="K667" s="41">
        <f>'Detailed Results'!H667</f>
        <v>5</v>
      </c>
      <c r="L667" s="42">
        <f t="shared" si="120"/>
        <v>1</v>
      </c>
      <c r="M667" s="42">
        <f t="shared" si="128"/>
        <v>0.7142857142857143</v>
      </c>
      <c r="N667" s="42">
        <f t="shared" si="121"/>
        <v>0.83333333333333326</v>
      </c>
      <c r="O667" s="43">
        <f>'Detailed Results'!I667</f>
        <v>12</v>
      </c>
      <c r="P667" s="43">
        <f>'Detailed Results'!J667</f>
        <v>12</v>
      </c>
      <c r="Q667" s="44">
        <f t="shared" si="122"/>
        <v>1</v>
      </c>
      <c r="R667" s="44">
        <f t="shared" si="129"/>
        <v>0.75</v>
      </c>
      <c r="S667" s="44">
        <f t="shared" si="123"/>
        <v>0.8571428571428571</v>
      </c>
      <c r="T667" s="45">
        <f>'Detailed Results'!K667</f>
        <v>5</v>
      </c>
      <c r="U667" s="45">
        <f>'Detailed Results'!L667</f>
        <v>1</v>
      </c>
      <c r="V667" s="46">
        <f t="shared" si="124"/>
        <v>0.2</v>
      </c>
      <c r="W667" s="46">
        <f t="shared" si="130"/>
        <v>0.14285714285714285</v>
      </c>
      <c r="X667" s="46">
        <f t="shared" si="125"/>
        <v>0.16666666666666666</v>
      </c>
      <c r="Y667" s="47">
        <f>'Detailed Results'!M667</f>
        <v>12</v>
      </c>
      <c r="Z667" s="47">
        <f>'Detailed Results'!N667</f>
        <v>10</v>
      </c>
      <c r="AA667" s="48">
        <f t="shared" si="126"/>
        <v>0.83333333333333337</v>
      </c>
      <c r="AB667" s="48">
        <f t="shared" si="131"/>
        <v>0.625</v>
      </c>
      <c r="AC667" s="48">
        <f t="shared" si="127"/>
        <v>0.7142857142857143</v>
      </c>
    </row>
    <row r="668" spans="1:29" ht="15" customHeight="1" thickBot="1" x14ac:dyDescent="0.4">
      <c r="A668" s="185"/>
      <c r="B668" s="10" t="s">
        <v>15</v>
      </c>
      <c r="C668" s="11" t="s">
        <v>20</v>
      </c>
      <c r="D668" s="11">
        <v>2</v>
      </c>
      <c r="E668" s="10" t="s">
        <v>17</v>
      </c>
      <c r="F668" s="40">
        <f>'GT Input'!C16</f>
        <v>7</v>
      </c>
      <c r="G668" s="40">
        <f>'GT Input'!D16</f>
        <v>16</v>
      </c>
      <c r="H668" s="40">
        <f>'GT Input'!E16</f>
        <v>7</v>
      </c>
      <c r="I668" s="40">
        <f>'GT Input'!F16</f>
        <v>16</v>
      </c>
      <c r="J668" s="41">
        <f>'Detailed Results'!G668</f>
        <v>5</v>
      </c>
      <c r="K668" s="41">
        <f>'Detailed Results'!H668</f>
        <v>5</v>
      </c>
      <c r="L668" s="42">
        <f t="shared" si="120"/>
        <v>1</v>
      </c>
      <c r="M668" s="42">
        <f t="shared" si="128"/>
        <v>0.7142857142857143</v>
      </c>
      <c r="N668" s="42">
        <f t="shared" si="121"/>
        <v>0.83333333333333326</v>
      </c>
      <c r="O668" s="43">
        <f>'Detailed Results'!I668</f>
        <v>10</v>
      </c>
      <c r="P668" s="43">
        <f>'Detailed Results'!J668</f>
        <v>10</v>
      </c>
      <c r="Q668" s="44">
        <f t="shared" si="122"/>
        <v>1</v>
      </c>
      <c r="R668" s="44">
        <f t="shared" si="129"/>
        <v>0.625</v>
      </c>
      <c r="S668" s="44">
        <f t="shared" si="123"/>
        <v>0.76923076923076927</v>
      </c>
      <c r="T668" s="45">
        <f>'Detailed Results'!K668</f>
        <v>5</v>
      </c>
      <c r="U668" s="45">
        <f>'Detailed Results'!L668</f>
        <v>5</v>
      </c>
      <c r="V668" s="46">
        <f t="shared" si="124"/>
        <v>1</v>
      </c>
      <c r="W668" s="46">
        <f t="shared" si="130"/>
        <v>0.7142857142857143</v>
      </c>
      <c r="X668" s="46">
        <f t="shared" si="125"/>
        <v>0.83333333333333326</v>
      </c>
      <c r="Y668" s="47">
        <f>'Detailed Results'!M668</f>
        <v>10</v>
      </c>
      <c r="Z668" s="47">
        <f>'Detailed Results'!N668</f>
        <v>9</v>
      </c>
      <c r="AA668" s="48">
        <f t="shared" si="126"/>
        <v>0.9</v>
      </c>
      <c r="AB668" s="48">
        <f t="shared" si="131"/>
        <v>0.5625</v>
      </c>
      <c r="AC668" s="48">
        <f t="shared" si="127"/>
        <v>0.69230769230769229</v>
      </c>
    </row>
    <row r="669" spans="1:29" ht="15" customHeight="1" thickBot="1" x14ac:dyDescent="0.4">
      <c r="A669" s="185"/>
      <c r="B669" s="10" t="s">
        <v>15</v>
      </c>
      <c r="C669" s="11" t="s">
        <v>20</v>
      </c>
      <c r="D669" s="11">
        <v>2</v>
      </c>
      <c r="E669" s="10" t="s">
        <v>109</v>
      </c>
      <c r="F669" s="40">
        <f>'GT Input'!C16</f>
        <v>7</v>
      </c>
      <c r="G669" s="40">
        <f>'GT Input'!D16</f>
        <v>16</v>
      </c>
      <c r="H669" s="40">
        <f>'GT Input'!E16</f>
        <v>7</v>
      </c>
      <c r="I669" s="40">
        <f>'GT Input'!F16</f>
        <v>16</v>
      </c>
      <c r="J669" s="41">
        <f>'Detailed Results'!G669</f>
        <v>5</v>
      </c>
      <c r="K669" s="41">
        <f>'Detailed Results'!H669</f>
        <v>5</v>
      </c>
      <c r="L669" s="42">
        <f t="shared" si="120"/>
        <v>1</v>
      </c>
      <c r="M669" s="42">
        <f t="shared" si="128"/>
        <v>0.7142857142857143</v>
      </c>
      <c r="N669" s="42">
        <f t="shared" si="121"/>
        <v>0.83333333333333326</v>
      </c>
      <c r="O669" s="43">
        <f>'Detailed Results'!I669</f>
        <v>11</v>
      </c>
      <c r="P669" s="43">
        <f>'Detailed Results'!J669</f>
        <v>11</v>
      </c>
      <c r="Q669" s="44">
        <f t="shared" si="122"/>
        <v>1</v>
      </c>
      <c r="R669" s="44">
        <f t="shared" si="129"/>
        <v>0.6875</v>
      </c>
      <c r="S669" s="44">
        <f t="shared" si="123"/>
        <v>0.81481481481481477</v>
      </c>
      <c r="T669" s="45">
        <f>'Detailed Results'!K669</f>
        <v>5</v>
      </c>
      <c r="U669" s="45">
        <f>'Detailed Results'!L669</f>
        <v>1</v>
      </c>
      <c r="V669" s="46">
        <f t="shared" si="124"/>
        <v>0.2</v>
      </c>
      <c r="W669" s="46">
        <f t="shared" si="130"/>
        <v>0.14285714285714285</v>
      </c>
      <c r="X669" s="46">
        <f t="shared" si="125"/>
        <v>0.16666666666666666</v>
      </c>
      <c r="Y669" s="47">
        <f>'Detailed Results'!M669</f>
        <v>11</v>
      </c>
      <c r="Z669" s="47">
        <f>'Detailed Results'!N669</f>
        <v>10</v>
      </c>
      <c r="AA669" s="48">
        <f t="shared" si="126"/>
        <v>0.90909090909090906</v>
      </c>
      <c r="AB669" s="48">
        <f t="shared" si="131"/>
        <v>0.625</v>
      </c>
      <c r="AC669" s="48">
        <f t="shared" si="127"/>
        <v>0.74074074074074059</v>
      </c>
    </row>
    <row r="670" spans="1:29" ht="15" customHeight="1" thickBot="1" x14ac:dyDescent="0.4">
      <c r="A670" s="185"/>
      <c r="B670" s="7" t="s">
        <v>15</v>
      </c>
      <c r="C670" s="8" t="s">
        <v>20</v>
      </c>
      <c r="D670" s="8">
        <v>3</v>
      </c>
      <c r="E670" s="7" t="s">
        <v>17</v>
      </c>
      <c r="F670" s="40">
        <f>'GT Input'!C16</f>
        <v>7</v>
      </c>
      <c r="G670" s="40">
        <f>'GT Input'!D16</f>
        <v>16</v>
      </c>
      <c r="H670" s="40">
        <f>'GT Input'!E16</f>
        <v>7</v>
      </c>
      <c r="I670" s="40">
        <f>'GT Input'!F16</f>
        <v>16</v>
      </c>
      <c r="J670" s="41">
        <f>'Detailed Results'!G670</f>
        <v>5</v>
      </c>
      <c r="K670" s="41">
        <f>'Detailed Results'!H670</f>
        <v>5</v>
      </c>
      <c r="L670" s="42">
        <f t="shared" si="120"/>
        <v>1</v>
      </c>
      <c r="M670" s="42">
        <f t="shared" si="128"/>
        <v>0.7142857142857143</v>
      </c>
      <c r="N670" s="42">
        <f t="shared" si="121"/>
        <v>0.83333333333333326</v>
      </c>
      <c r="O670" s="43">
        <f>'Detailed Results'!I670</f>
        <v>9</v>
      </c>
      <c r="P670" s="43">
        <f>'Detailed Results'!J670</f>
        <v>9</v>
      </c>
      <c r="Q670" s="44">
        <f t="shared" si="122"/>
        <v>1</v>
      </c>
      <c r="R670" s="44">
        <f t="shared" si="129"/>
        <v>0.5625</v>
      </c>
      <c r="S670" s="44">
        <f t="shared" si="123"/>
        <v>0.72</v>
      </c>
      <c r="T670" s="45">
        <f>'Detailed Results'!K670</f>
        <v>5</v>
      </c>
      <c r="U670" s="45">
        <f>'Detailed Results'!L670</f>
        <v>5</v>
      </c>
      <c r="V670" s="46">
        <f t="shared" si="124"/>
        <v>1</v>
      </c>
      <c r="W670" s="46">
        <f t="shared" si="130"/>
        <v>0.7142857142857143</v>
      </c>
      <c r="X670" s="46">
        <f t="shared" si="125"/>
        <v>0.83333333333333326</v>
      </c>
      <c r="Y670" s="47">
        <f>'Detailed Results'!M670</f>
        <v>9</v>
      </c>
      <c r="Z670" s="47">
        <f>'Detailed Results'!N670</f>
        <v>8</v>
      </c>
      <c r="AA670" s="48">
        <f t="shared" si="126"/>
        <v>0.88888888888888884</v>
      </c>
      <c r="AB670" s="48">
        <f t="shared" si="131"/>
        <v>0.5</v>
      </c>
      <c r="AC670" s="48">
        <f t="shared" si="127"/>
        <v>0.64</v>
      </c>
    </row>
    <row r="671" spans="1:29" ht="15" customHeight="1" thickBot="1" x14ac:dyDescent="0.4">
      <c r="A671" s="185"/>
      <c r="B671" s="7" t="s">
        <v>15</v>
      </c>
      <c r="C671" s="8" t="s">
        <v>20</v>
      </c>
      <c r="D671" s="8">
        <v>3</v>
      </c>
      <c r="E671" s="7" t="s">
        <v>109</v>
      </c>
      <c r="F671" s="40">
        <f>'GT Input'!C16</f>
        <v>7</v>
      </c>
      <c r="G671" s="40">
        <f>'GT Input'!D16</f>
        <v>16</v>
      </c>
      <c r="H671" s="40">
        <f>'GT Input'!E16</f>
        <v>7</v>
      </c>
      <c r="I671" s="40">
        <f>'GT Input'!F16</f>
        <v>16</v>
      </c>
      <c r="J671" s="41">
        <f>'Detailed Results'!G671</f>
        <v>5</v>
      </c>
      <c r="K671" s="41">
        <f>'Detailed Results'!H671</f>
        <v>5</v>
      </c>
      <c r="L671" s="42">
        <f t="shared" si="120"/>
        <v>1</v>
      </c>
      <c r="M671" s="42">
        <f t="shared" si="128"/>
        <v>0.7142857142857143</v>
      </c>
      <c r="N671" s="42">
        <f t="shared" si="121"/>
        <v>0.83333333333333326</v>
      </c>
      <c r="O671" s="43">
        <f>'Detailed Results'!I671</f>
        <v>11</v>
      </c>
      <c r="P671" s="43">
        <f>'Detailed Results'!J671</f>
        <v>11</v>
      </c>
      <c r="Q671" s="44">
        <f t="shared" si="122"/>
        <v>1</v>
      </c>
      <c r="R671" s="44">
        <f t="shared" si="129"/>
        <v>0.6875</v>
      </c>
      <c r="S671" s="44">
        <f t="shared" si="123"/>
        <v>0.81481481481481477</v>
      </c>
      <c r="T671" s="45">
        <f>'Detailed Results'!K671</f>
        <v>5</v>
      </c>
      <c r="U671" s="45">
        <f>'Detailed Results'!L671</f>
        <v>1</v>
      </c>
      <c r="V671" s="46">
        <f t="shared" si="124"/>
        <v>0.2</v>
      </c>
      <c r="W671" s="46">
        <f t="shared" si="130"/>
        <v>0.14285714285714285</v>
      </c>
      <c r="X671" s="46">
        <f t="shared" si="125"/>
        <v>0.16666666666666666</v>
      </c>
      <c r="Y671" s="47">
        <f>'Detailed Results'!M671</f>
        <v>11</v>
      </c>
      <c r="Z671" s="47">
        <f>'Detailed Results'!N671</f>
        <v>10</v>
      </c>
      <c r="AA671" s="48">
        <f t="shared" si="126"/>
        <v>0.90909090909090906</v>
      </c>
      <c r="AB671" s="48">
        <f t="shared" si="131"/>
        <v>0.625</v>
      </c>
      <c r="AC671" s="48">
        <f t="shared" si="127"/>
        <v>0.74074074074074059</v>
      </c>
    </row>
    <row r="672" spans="1:29" ht="15" customHeight="1" thickBot="1" x14ac:dyDescent="0.4">
      <c r="A672" s="185"/>
      <c r="B672" s="12" t="s">
        <v>21</v>
      </c>
      <c r="C672" s="13" t="s">
        <v>16</v>
      </c>
      <c r="D672" s="13">
        <v>1</v>
      </c>
      <c r="E672" s="12" t="s">
        <v>17</v>
      </c>
      <c r="F672" s="40">
        <f>'GT Input'!C16</f>
        <v>7</v>
      </c>
      <c r="G672" s="40">
        <f>'GT Input'!D16</f>
        <v>16</v>
      </c>
      <c r="H672" s="40">
        <f>'GT Input'!E16</f>
        <v>7</v>
      </c>
      <c r="I672" s="40">
        <f>'GT Input'!F16</f>
        <v>16</v>
      </c>
      <c r="J672" s="41">
        <f>'Detailed Results'!G672</f>
        <v>5</v>
      </c>
      <c r="K672" s="41">
        <f>'Detailed Results'!H672</f>
        <v>4</v>
      </c>
      <c r="L672" s="42">
        <f t="shared" si="120"/>
        <v>0.8</v>
      </c>
      <c r="M672" s="42">
        <f t="shared" si="128"/>
        <v>0.5714285714285714</v>
      </c>
      <c r="N672" s="42">
        <f t="shared" si="121"/>
        <v>0.66666666666666663</v>
      </c>
      <c r="O672" s="43">
        <f>'Detailed Results'!I672</f>
        <v>9</v>
      </c>
      <c r="P672" s="43">
        <f>'Detailed Results'!J672</f>
        <v>8</v>
      </c>
      <c r="Q672" s="44">
        <f t="shared" si="122"/>
        <v>0.88888888888888884</v>
      </c>
      <c r="R672" s="44">
        <f t="shared" si="129"/>
        <v>0.5</v>
      </c>
      <c r="S672" s="44">
        <f t="shared" si="123"/>
        <v>0.64</v>
      </c>
      <c r="T672" s="45">
        <f>'Detailed Results'!K672</f>
        <v>5</v>
      </c>
      <c r="U672" s="45">
        <f>'Detailed Results'!L672</f>
        <v>1</v>
      </c>
      <c r="V672" s="46">
        <f t="shared" si="124"/>
        <v>0.2</v>
      </c>
      <c r="W672" s="46">
        <f t="shared" si="130"/>
        <v>0.14285714285714285</v>
      </c>
      <c r="X672" s="46">
        <f t="shared" si="125"/>
        <v>0.16666666666666666</v>
      </c>
      <c r="Y672" s="47">
        <f>'Detailed Results'!M672</f>
        <v>9</v>
      </c>
      <c r="Z672" s="47">
        <f>'Detailed Results'!N672</f>
        <v>3</v>
      </c>
      <c r="AA672" s="48">
        <f t="shared" si="126"/>
        <v>0.33333333333333331</v>
      </c>
      <c r="AB672" s="48">
        <f t="shared" si="131"/>
        <v>0.1875</v>
      </c>
      <c r="AC672" s="48">
        <f t="shared" si="127"/>
        <v>0.24000000000000005</v>
      </c>
    </row>
    <row r="673" spans="1:29" ht="15" customHeight="1" thickBot="1" x14ac:dyDescent="0.4">
      <c r="A673" s="185"/>
      <c r="B673" s="12" t="s">
        <v>21</v>
      </c>
      <c r="C673" s="13" t="s">
        <v>16</v>
      </c>
      <c r="D673" s="13">
        <v>1</v>
      </c>
      <c r="E673" s="12" t="s">
        <v>109</v>
      </c>
      <c r="F673" s="40">
        <f>'GT Input'!C16</f>
        <v>7</v>
      </c>
      <c r="G673" s="40">
        <f>'GT Input'!D16</f>
        <v>16</v>
      </c>
      <c r="H673" s="40">
        <f>'GT Input'!E16</f>
        <v>7</v>
      </c>
      <c r="I673" s="40">
        <f>'GT Input'!F16</f>
        <v>16</v>
      </c>
      <c r="J673" s="41">
        <f>'Detailed Results'!G673</f>
        <v>4</v>
      </c>
      <c r="K673" s="41">
        <f>'Detailed Results'!H673</f>
        <v>4</v>
      </c>
      <c r="L673" s="42">
        <f t="shared" si="120"/>
        <v>1</v>
      </c>
      <c r="M673" s="42">
        <f t="shared" si="128"/>
        <v>0.5714285714285714</v>
      </c>
      <c r="N673" s="42">
        <f t="shared" si="121"/>
        <v>0.72727272727272729</v>
      </c>
      <c r="O673" s="43">
        <f>'Detailed Results'!I673</f>
        <v>9</v>
      </c>
      <c r="P673" s="43">
        <f>'Detailed Results'!J673</f>
        <v>7</v>
      </c>
      <c r="Q673" s="44">
        <f t="shared" si="122"/>
        <v>0.77777777777777779</v>
      </c>
      <c r="R673" s="44">
        <f t="shared" si="129"/>
        <v>0.4375</v>
      </c>
      <c r="S673" s="44">
        <f t="shared" si="123"/>
        <v>0.56000000000000005</v>
      </c>
      <c r="T673" s="45">
        <f>'Detailed Results'!K673</f>
        <v>4</v>
      </c>
      <c r="U673" s="45">
        <f>'Detailed Results'!L673</f>
        <v>0</v>
      </c>
      <c r="V673" s="46">
        <f t="shared" si="124"/>
        <v>0</v>
      </c>
      <c r="W673" s="46">
        <f t="shared" si="130"/>
        <v>0</v>
      </c>
      <c r="X673" s="46" t="str">
        <f t="shared" si="125"/>
        <v/>
      </c>
      <c r="Y673" s="47">
        <f>'Detailed Results'!M673</f>
        <v>9</v>
      </c>
      <c r="Z673" s="47">
        <f>'Detailed Results'!N673</f>
        <v>3</v>
      </c>
      <c r="AA673" s="48">
        <f t="shared" si="126"/>
        <v>0.33333333333333331</v>
      </c>
      <c r="AB673" s="48">
        <f t="shared" si="131"/>
        <v>0.1875</v>
      </c>
      <c r="AC673" s="48">
        <f t="shared" si="127"/>
        <v>0.24000000000000005</v>
      </c>
    </row>
    <row r="674" spans="1:29" ht="15" customHeight="1" thickBot="1" x14ac:dyDescent="0.4">
      <c r="A674" s="185"/>
      <c r="B674" s="14" t="s">
        <v>21</v>
      </c>
      <c r="C674" s="15" t="s">
        <v>16</v>
      </c>
      <c r="D674" s="15">
        <v>2</v>
      </c>
      <c r="E674" s="14" t="s">
        <v>17</v>
      </c>
      <c r="F674" s="40">
        <f>'GT Input'!C16</f>
        <v>7</v>
      </c>
      <c r="G674" s="40">
        <f>'GT Input'!D16</f>
        <v>16</v>
      </c>
      <c r="H674" s="40">
        <f>'GT Input'!E16</f>
        <v>7</v>
      </c>
      <c r="I674" s="40">
        <f>'GT Input'!F16</f>
        <v>16</v>
      </c>
      <c r="J674" s="41">
        <f>'Detailed Results'!G674</f>
        <v>5</v>
      </c>
      <c r="K674" s="41">
        <f>'Detailed Results'!H674</f>
        <v>5</v>
      </c>
      <c r="L674" s="42">
        <f t="shared" si="120"/>
        <v>1</v>
      </c>
      <c r="M674" s="42">
        <f t="shared" si="128"/>
        <v>0.7142857142857143</v>
      </c>
      <c r="N674" s="42">
        <f t="shared" si="121"/>
        <v>0.83333333333333326</v>
      </c>
      <c r="O674" s="43">
        <f>'Detailed Results'!I674</f>
        <v>8</v>
      </c>
      <c r="P674" s="43">
        <f>'Detailed Results'!J674</f>
        <v>7</v>
      </c>
      <c r="Q674" s="44">
        <f t="shared" si="122"/>
        <v>0.875</v>
      </c>
      <c r="R674" s="44">
        <f t="shared" si="129"/>
        <v>0.4375</v>
      </c>
      <c r="S674" s="44">
        <f t="shared" si="123"/>
        <v>0.58333333333333337</v>
      </c>
      <c r="T674" s="45">
        <f>'Detailed Results'!K674</f>
        <v>5</v>
      </c>
      <c r="U674" s="45">
        <f>'Detailed Results'!L674</f>
        <v>1</v>
      </c>
      <c r="V674" s="46">
        <f t="shared" si="124"/>
        <v>0.2</v>
      </c>
      <c r="W674" s="46">
        <f t="shared" si="130"/>
        <v>0.14285714285714285</v>
      </c>
      <c r="X674" s="46">
        <f t="shared" si="125"/>
        <v>0.16666666666666666</v>
      </c>
      <c r="Y674" s="47">
        <f>'Detailed Results'!M674</f>
        <v>8</v>
      </c>
      <c r="Z674" s="47">
        <f>'Detailed Results'!N674</f>
        <v>3</v>
      </c>
      <c r="AA674" s="48">
        <f t="shared" si="126"/>
        <v>0.375</v>
      </c>
      <c r="AB674" s="48">
        <f t="shared" si="131"/>
        <v>0.1875</v>
      </c>
      <c r="AC674" s="48">
        <f t="shared" si="127"/>
        <v>0.25</v>
      </c>
    </row>
    <row r="675" spans="1:29" ht="15" customHeight="1" thickBot="1" x14ac:dyDescent="0.4">
      <c r="A675" s="185"/>
      <c r="B675" s="14" t="s">
        <v>21</v>
      </c>
      <c r="C675" s="15" t="s">
        <v>16</v>
      </c>
      <c r="D675" s="15">
        <v>2</v>
      </c>
      <c r="E675" s="14" t="s">
        <v>109</v>
      </c>
      <c r="F675" s="40">
        <f>'GT Input'!C16</f>
        <v>7</v>
      </c>
      <c r="G675" s="40">
        <f>'GT Input'!D16</f>
        <v>16</v>
      </c>
      <c r="H675" s="40">
        <f>'GT Input'!E16</f>
        <v>7</v>
      </c>
      <c r="I675" s="40">
        <f>'GT Input'!F16</f>
        <v>16</v>
      </c>
      <c r="J675" s="41">
        <f>'Detailed Results'!G675</f>
        <v>3</v>
      </c>
      <c r="K675" s="41">
        <f>'Detailed Results'!H675</f>
        <v>3</v>
      </c>
      <c r="L675" s="42">
        <f t="shared" si="120"/>
        <v>1</v>
      </c>
      <c r="M675" s="42">
        <f t="shared" si="128"/>
        <v>0.42857142857142855</v>
      </c>
      <c r="N675" s="42">
        <f t="shared" si="121"/>
        <v>0.6</v>
      </c>
      <c r="O675" s="43">
        <f>'Detailed Results'!I675</f>
        <v>9</v>
      </c>
      <c r="P675" s="43">
        <f>'Detailed Results'!J675</f>
        <v>7</v>
      </c>
      <c r="Q675" s="44">
        <f t="shared" si="122"/>
        <v>0.77777777777777779</v>
      </c>
      <c r="R675" s="44">
        <f t="shared" si="129"/>
        <v>0.4375</v>
      </c>
      <c r="S675" s="44">
        <f t="shared" si="123"/>
        <v>0.56000000000000005</v>
      </c>
      <c r="T675" s="45">
        <f>'Detailed Results'!K675</f>
        <v>3</v>
      </c>
      <c r="U675" s="45">
        <f>'Detailed Results'!L675</f>
        <v>0</v>
      </c>
      <c r="V675" s="46">
        <f t="shared" si="124"/>
        <v>0</v>
      </c>
      <c r="W675" s="46">
        <f t="shared" si="130"/>
        <v>0</v>
      </c>
      <c r="X675" s="46" t="str">
        <f t="shared" si="125"/>
        <v/>
      </c>
      <c r="Y675" s="47">
        <f>'Detailed Results'!M675</f>
        <v>9</v>
      </c>
      <c r="Z675" s="47">
        <f>'Detailed Results'!N675</f>
        <v>2</v>
      </c>
      <c r="AA675" s="48">
        <f t="shared" si="126"/>
        <v>0.22222222222222221</v>
      </c>
      <c r="AB675" s="48">
        <f t="shared" si="131"/>
        <v>0.125</v>
      </c>
      <c r="AC675" s="48">
        <f t="shared" si="127"/>
        <v>0.16</v>
      </c>
    </row>
    <row r="676" spans="1:29" ht="15" customHeight="1" thickBot="1" x14ac:dyDescent="0.4">
      <c r="A676" s="185"/>
      <c r="B676" s="12" t="s">
        <v>21</v>
      </c>
      <c r="C676" s="13" t="s">
        <v>16</v>
      </c>
      <c r="D676" s="13">
        <v>3</v>
      </c>
      <c r="E676" s="12" t="s">
        <v>17</v>
      </c>
      <c r="F676" s="40">
        <f>'GT Input'!C16</f>
        <v>7</v>
      </c>
      <c r="G676" s="40">
        <f>'GT Input'!D16</f>
        <v>16</v>
      </c>
      <c r="H676" s="40">
        <f>'GT Input'!E16</f>
        <v>7</v>
      </c>
      <c r="I676" s="40">
        <f>'GT Input'!F16</f>
        <v>16</v>
      </c>
      <c r="J676" s="41">
        <f>'Detailed Results'!G676</f>
        <v>7</v>
      </c>
      <c r="K676" s="41">
        <f>'Detailed Results'!H676</f>
        <v>7</v>
      </c>
      <c r="L676" s="42">
        <f t="shared" si="120"/>
        <v>1</v>
      </c>
      <c r="M676" s="42">
        <f t="shared" si="128"/>
        <v>1</v>
      </c>
      <c r="N676" s="42">
        <f t="shared" si="121"/>
        <v>1</v>
      </c>
      <c r="O676" s="43">
        <f>'Detailed Results'!I676</f>
        <v>9</v>
      </c>
      <c r="P676" s="43">
        <f>'Detailed Results'!J676</f>
        <v>6</v>
      </c>
      <c r="Q676" s="44">
        <f t="shared" si="122"/>
        <v>0.66666666666666663</v>
      </c>
      <c r="R676" s="44">
        <f t="shared" si="129"/>
        <v>0.375</v>
      </c>
      <c r="S676" s="44">
        <f t="shared" si="123"/>
        <v>0.48000000000000009</v>
      </c>
      <c r="T676" s="45">
        <f>'Detailed Results'!K676</f>
        <v>7</v>
      </c>
      <c r="U676" s="45">
        <f>'Detailed Results'!L676</f>
        <v>0</v>
      </c>
      <c r="V676" s="46">
        <f t="shared" si="124"/>
        <v>0</v>
      </c>
      <c r="W676" s="46">
        <f t="shared" si="130"/>
        <v>0</v>
      </c>
      <c r="X676" s="46" t="str">
        <f t="shared" si="125"/>
        <v/>
      </c>
      <c r="Y676" s="47">
        <f>'Detailed Results'!M676</f>
        <v>9</v>
      </c>
      <c r="Z676" s="47">
        <f>'Detailed Results'!N676</f>
        <v>2</v>
      </c>
      <c r="AA676" s="48">
        <f t="shared" si="126"/>
        <v>0.22222222222222221</v>
      </c>
      <c r="AB676" s="48">
        <f t="shared" si="131"/>
        <v>0.125</v>
      </c>
      <c r="AC676" s="48">
        <f t="shared" si="127"/>
        <v>0.16</v>
      </c>
    </row>
    <row r="677" spans="1:29" ht="15" customHeight="1" thickBot="1" x14ac:dyDescent="0.4">
      <c r="A677" s="185"/>
      <c r="B677" s="12" t="s">
        <v>21</v>
      </c>
      <c r="C677" s="13" t="s">
        <v>16</v>
      </c>
      <c r="D677" s="13">
        <v>3</v>
      </c>
      <c r="E677" s="12" t="s">
        <v>109</v>
      </c>
      <c r="F677" s="40">
        <f>'GT Input'!C16</f>
        <v>7</v>
      </c>
      <c r="G677" s="40">
        <f>'GT Input'!D16</f>
        <v>16</v>
      </c>
      <c r="H677" s="40">
        <f>'GT Input'!E16</f>
        <v>7</v>
      </c>
      <c r="I677" s="40">
        <f>'GT Input'!F16</f>
        <v>16</v>
      </c>
      <c r="J677" s="41">
        <f>'Detailed Results'!G677</f>
        <v>4</v>
      </c>
      <c r="K677" s="41">
        <f>'Detailed Results'!H677</f>
        <v>4</v>
      </c>
      <c r="L677" s="42">
        <f t="shared" si="120"/>
        <v>1</v>
      </c>
      <c r="M677" s="42">
        <f t="shared" si="128"/>
        <v>0.5714285714285714</v>
      </c>
      <c r="N677" s="42">
        <f t="shared" si="121"/>
        <v>0.72727272727272729</v>
      </c>
      <c r="O677" s="43">
        <f>'Detailed Results'!I677</f>
        <v>9</v>
      </c>
      <c r="P677" s="43">
        <f>'Detailed Results'!J677</f>
        <v>7</v>
      </c>
      <c r="Q677" s="44">
        <f t="shared" si="122"/>
        <v>0.77777777777777779</v>
      </c>
      <c r="R677" s="44">
        <f t="shared" si="129"/>
        <v>0.4375</v>
      </c>
      <c r="S677" s="44">
        <f t="shared" si="123"/>
        <v>0.56000000000000005</v>
      </c>
      <c r="T677" s="45">
        <f>'Detailed Results'!K677</f>
        <v>4</v>
      </c>
      <c r="U677" s="45">
        <f>'Detailed Results'!L677</f>
        <v>0</v>
      </c>
      <c r="V677" s="46">
        <f t="shared" si="124"/>
        <v>0</v>
      </c>
      <c r="W677" s="46">
        <f t="shared" si="130"/>
        <v>0</v>
      </c>
      <c r="X677" s="46" t="str">
        <f t="shared" si="125"/>
        <v/>
      </c>
      <c r="Y677" s="47">
        <f>'Detailed Results'!M677</f>
        <v>9</v>
      </c>
      <c r="Z677" s="47">
        <f>'Detailed Results'!N677</f>
        <v>3</v>
      </c>
      <c r="AA677" s="48">
        <f t="shared" si="126"/>
        <v>0.33333333333333331</v>
      </c>
      <c r="AB677" s="48">
        <f t="shared" si="131"/>
        <v>0.1875</v>
      </c>
      <c r="AC677" s="48">
        <f t="shared" si="127"/>
        <v>0.24000000000000005</v>
      </c>
    </row>
    <row r="678" spans="1:29" ht="15" customHeight="1" thickBot="1" x14ac:dyDescent="0.4">
      <c r="A678" s="185"/>
      <c r="B678" s="14" t="s">
        <v>21</v>
      </c>
      <c r="C678" s="15" t="s">
        <v>19</v>
      </c>
      <c r="D678" s="15">
        <v>1</v>
      </c>
      <c r="E678" s="14" t="s">
        <v>17</v>
      </c>
      <c r="F678" s="40">
        <f>'GT Input'!C16</f>
        <v>7</v>
      </c>
      <c r="G678" s="40">
        <f>'GT Input'!D16</f>
        <v>16</v>
      </c>
      <c r="H678" s="40">
        <f>'GT Input'!E16</f>
        <v>7</v>
      </c>
      <c r="I678" s="40">
        <f>'GT Input'!F16</f>
        <v>16</v>
      </c>
      <c r="J678" s="41">
        <f>'Detailed Results'!G678</f>
        <v>3</v>
      </c>
      <c r="K678" s="41">
        <f>'Detailed Results'!H678</f>
        <v>2</v>
      </c>
      <c r="L678" s="42">
        <f t="shared" si="120"/>
        <v>0.66666666666666663</v>
      </c>
      <c r="M678" s="42">
        <f t="shared" si="128"/>
        <v>0.2857142857142857</v>
      </c>
      <c r="N678" s="42">
        <f t="shared" si="121"/>
        <v>0.4</v>
      </c>
      <c r="O678" s="43">
        <f>'Detailed Results'!I678</f>
        <v>8</v>
      </c>
      <c r="P678" s="43">
        <f>'Detailed Results'!J678</f>
        <v>6</v>
      </c>
      <c r="Q678" s="44">
        <f t="shared" si="122"/>
        <v>0.75</v>
      </c>
      <c r="R678" s="44">
        <f t="shared" si="129"/>
        <v>0.375</v>
      </c>
      <c r="S678" s="44">
        <f t="shared" si="123"/>
        <v>0.5</v>
      </c>
      <c r="T678" s="45">
        <f>'Detailed Results'!K678</f>
        <v>3</v>
      </c>
      <c r="U678" s="45">
        <f>'Detailed Results'!L678</f>
        <v>0</v>
      </c>
      <c r="V678" s="46">
        <f t="shared" si="124"/>
        <v>0</v>
      </c>
      <c r="W678" s="46">
        <f t="shared" si="130"/>
        <v>0</v>
      </c>
      <c r="X678" s="46" t="str">
        <f t="shared" si="125"/>
        <v/>
      </c>
      <c r="Y678" s="47">
        <f>'Detailed Results'!M678</f>
        <v>8</v>
      </c>
      <c r="Z678" s="47">
        <f>'Detailed Results'!N678</f>
        <v>2</v>
      </c>
      <c r="AA678" s="48">
        <f t="shared" si="126"/>
        <v>0.25</v>
      </c>
      <c r="AB678" s="48">
        <f t="shared" si="131"/>
        <v>0.125</v>
      </c>
      <c r="AC678" s="48">
        <f t="shared" si="127"/>
        <v>0.16666666666666666</v>
      </c>
    </row>
    <row r="679" spans="1:29" ht="15" customHeight="1" thickBot="1" x14ac:dyDescent="0.4">
      <c r="A679" s="185"/>
      <c r="B679" s="14" t="s">
        <v>21</v>
      </c>
      <c r="C679" s="15" t="s">
        <v>19</v>
      </c>
      <c r="D679" s="15">
        <v>1</v>
      </c>
      <c r="E679" s="14" t="s">
        <v>109</v>
      </c>
      <c r="F679" s="40">
        <f>'GT Input'!C16</f>
        <v>7</v>
      </c>
      <c r="G679" s="40">
        <f>'GT Input'!D16</f>
        <v>16</v>
      </c>
      <c r="H679" s="40">
        <f>'GT Input'!E16</f>
        <v>7</v>
      </c>
      <c r="I679" s="40">
        <f>'GT Input'!F16</f>
        <v>16</v>
      </c>
      <c r="J679" s="41">
        <f>'Detailed Results'!G679</f>
        <v>3</v>
      </c>
      <c r="K679" s="41">
        <f>'Detailed Results'!H679</f>
        <v>3</v>
      </c>
      <c r="L679" s="42">
        <f t="shared" si="120"/>
        <v>1</v>
      </c>
      <c r="M679" s="42">
        <f t="shared" si="128"/>
        <v>0.42857142857142855</v>
      </c>
      <c r="N679" s="42">
        <f t="shared" si="121"/>
        <v>0.6</v>
      </c>
      <c r="O679" s="43">
        <f>'Detailed Results'!I679</f>
        <v>8</v>
      </c>
      <c r="P679" s="43">
        <f>'Detailed Results'!J679</f>
        <v>6</v>
      </c>
      <c r="Q679" s="44">
        <f t="shared" si="122"/>
        <v>0.75</v>
      </c>
      <c r="R679" s="44">
        <f t="shared" si="129"/>
        <v>0.375</v>
      </c>
      <c r="S679" s="44">
        <f t="shared" si="123"/>
        <v>0.5</v>
      </c>
      <c r="T679" s="45">
        <f>'Detailed Results'!K679</f>
        <v>3</v>
      </c>
      <c r="U679" s="45">
        <f>'Detailed Results'!L679</f>
        <v>0</v>
      </c>
      <c r="V679" s="46">
        <f t="shared" si="124"/>
        <v>0</v>
      </c>
      <c r="W679" s="46">
        <f t="shared" si="130"/>
        <v>0</v>
      </c>
      <c r="X679" s="46" t="str">
        <f t="shared" si="125"/>
        <v/>
      </c>
      <c r="Y679" s="47">
        <f>'Detailed Results'!M679</f>
        <v>8</v>
      </c>
      <c r="Z679" s="47">
        <f>'Detailed Results'!N679</f>
        <v>2</v>
      </c>
      <c r="AA679" s="48">
        <f t="shared" si="126"/>
        <v>0.25</v>
      </c>
      <c r="AB679" s="48">
        <f t="shared" si="131"/>
        <v>0.125</v>
      </c>
      <c r="AC679" s="48">
        <f t="shared" si="127"/>
        <v>0.16666666666666666</v>
      </c>
    </row>
    <row r="680" spans="1:29" ht="15" customHeight="1" thickBot="1" x14ac:dyDescent="0.4">
      <c r="A680" s="185"/>
      <c r="B680" s="12" t="s">
        <v>21</v>
      </c>
      <c r="C680" s="13" t="s">
        <v>19</v>
      </c>
      <c r="D680" s="13">
        <v>2</v>
      </c>
      <c r="E680" s="12" t="s">
        <v>17</v>
      </c>
      <c r="F680" s="40">
        <f>'GT Input'!C16</f>
        <v>7</v>
      </c>
      <c r="G680" s="40">
        <f>'GT Input'!D16</f>
        <v>16</v>
      </c>
      <c r="H680" s="40">
        <f>'GT Input'!E16</f>
        <v>7</v>
      </c>
      <c r="I680" s="40">
        <f>'GT Input'!F16</f>
        <v>16</v>
      </c>
      <c r="J680" s="41">
        <f>'Detailed Results'!G680</f>
        <v>5</v>
      </c>
      <c r="K680" s="41">
        <f>'Detailed Results'!H680</f>
        <v>4</v>
      </c>
      <c r="L680" s="42">
        <f t="shared" si="120"/>
        <v>0.8</v>
      </c>
      <c r="M680" s="42">
        <f t="shared" si="128"/>
        <v>0.5714285714285714</v>
      </c>
      <c r="N680" s="42">
        <f t="shared" si="121"/>
        <v>0.66666666666666663</v>
      </c>
      <c r="O680" s="43">
        <f>'Detailed Results'!I680</f>
        <v>8</v>
      </c>
      <c r="P680" s="43">
        <f>'Detailed Results'!J680</f>
        <v>7</v>
      </c>
      <c r="Q680" s="44">
        <f t="shared" si="122"/>
        <v>0.875</v>
      </c>
      <c r="R680" s="44">
        <f t="shared" si="129"/>
        <v>0.4375</v>
      </c>
      <c r="S680" s="44">
        <f t="shared" si="123"/>
        <v>0.58333333333333337</v>
      </c>
      <c r="T680" s="45">
        <f>'Detailed Results'!K680</f>
        <v>5</v>
      </c>
      <c r="U680" s="45">
        <f>'Detailed Results'!L680</f>
        <v>1</v>
      </c>
      <c r="V680" s="46">
        <f t="shared" si="124"/>
        <v>0.2</v>
      </c>
      <c r="W680" s="46">
        <f t="shared" si="130"/>
        <v>0.14285714285714285</v>
      </c>
      <c r="X680" s="46">
        <f t="shared" si="125"/>
        <v>0.16666666666666666</v>
      </c>
      <c r="Y680" s="47">
        <f>'Detailed Results'!M680</f>
        <v>8</v>
      </c>
      <c r="Z680" s="47">
        <f>'Detailed Results'!N680</f>
        <v>3</v>
      </c>
      <c r="AA680" s="48">
        <f t="shared" si="126"/>
        <v>0.375</v>
      </c>
      <c r="AB680" s="48">
        <f t="shared" si="131"/>
        <v>0.1875</v>
      </c>
      <c r="AC680" s="48">
        <f t="shared" si="127"/>
        <v>0.25</v>
      </c>
    </row>
    <row r="681" spans="1:29" ht="15" customHeight="1" thickBot="1" x14ac:dyDescent="0.4">
      <c r="A681" s="185"/>
      <c r="B681" s="12" t="s">
        <v>21</v>
      </c>
      <c r="C681" s="13" t="s">
        <v>19</v>
      </c>
      <c r="D681" s="13">
        <v>2</v>
      </c>
      <c r="E681" s="12" t="s">
        <v>109</v>
      </c>
      <c r="F681" s="40">
        <f>'GT Input'!C16</f>
        <v>7</v>
      </c>
      <c r="G681" s="40">
        <f>'GT Input'!D16</f>
        <v>16</v>
      </c>
      <c r="H681" s="40">
        <f>'GT Input'!E16</f>
        <v>7</v>
      </c>
      <c r="I681" s="40">
        <f>'GT Input'!F16</f>
        <v>16</v>
      </c>
      <c r="J681" s="41">
        <f>'Detailed Results'!G681</f>
        <v>3</v>
      </c>
      <c r="K681" s="41">
        <f>'Detailed Results'!H681</f>
        <v>3</v>
      </c>
      <c r="L681" s="42">
        <f t="shared" si="120"/>
        <v>1</v>
      </c>
      <c r="M681" s="42">
        <f t="shared" si="128"/>
        <v>0.42857142857142855</v>
      </c>
      <c r="N681" s="42">
        <f t="shared" si="121"/>
        <v>0.6</v>
      </c>
      <c r="O681" s="43">
        <f>'Detailed Results'!I681</f>
        <v>9</v>
      </c>
      <c r="P681" s="43">
        <f>'Detailed Results'!J681</f>
        <v>7</v>
      </c>
      <c r="Q681" s="44">
        <f t="shared" si="122"/>
        <v>0.77777777777777779</v>
      </c>
      <c r="R681" s="44">
        <f t="shared" si="129"/>
        <v>0.4375</v>
      </c>
      <c r="S681" s="44">
        <f t="shared" si="123"/>
        <v>0.56000000000000005</v>
      </c>
      <c r="T681" s="45">
        <f>'Detailed Results'!K681</f>
        <v>3</v>
      </c>
      <c r="U681" s="45">
        <f>'Detailed Results'!L681</f>
        <v>1</v>
      </c>
      <c r="V681" s="46">
        <f t="shared" si="124"/>
        <v>0.33333333333333331</v>
      </c>
      <c r="W681" s="46">
        <f t="shared" si="130"/>
        <v>0.14285714285714285</v>
      </c>
      <c r="X681" s="46">
        <f t="shared" si="125"/>
        <v>0.2</v>
      </c>
      <c r="Y681" s="47">
        <f>'Detailed Results'!M681</f>
        <v>9</v>
      </c>
      <c r="Z681" s="47">
        <f>'Detailed Results'!N681</f>
        <v>3</v>
      </c>
      <c r="AA681" s="48">
        <f t="shared" si="126"/>
        <v>0.33333333333333331</v>
      </c>
      <c r="AB681" s="48">
        <f t="shared" si="131"/>
        <v>0.1875</v>
      </c>
      <c r="AC681" s="48">
        <f t="shared" si="127"/>
        <v>0.24000000000000005</v>
      </c>
    </row>
    <row r="682" spans="1:29" ht="15" customHeight="1" thickBot="1" x14ac:dyDescent="0.4">
      <c r="A682" s="185"/>
      <c r="B682" s="14" t="s">
        <v>21</v>
      </c>
      <c r="C682" s="15" t="s">
        <v>19</v>
      </c>
      <c r="D682" s="15">
        <v>3</v>
      </c>
      <c r="E682" s="14" t="s">
        <v>17</v>
      </c>
      <c r="F682" s="40">
        <f>'GT Input'!C16</f>
        <v>7</v>
      </c>
      <c r="G682" s="40">
        <f>'GT Input'!D16</f>
        <v>16</v>
      </c>
      <c r="H682" s="40">
        <f>'GT Input'!E16</f>
        <v>7</v>
      </c>
      <c r="I682" s="40">
        <f>'GT Input'!F16</f>
        <v>16</v>
      </c>
      <c r="J682" s="41">
        <f>'Detailed Results'!G682</f>
        <v>7</v>
      </c>
      <c r="K682" s="41">
        <f>'Detailed Results'!H682</f>
        <v>7</v>
      </c>
      <c r="L682" s="42">
        <f t="shared" si="120"/>
        <v>1</v>
      </c>
      <c r="M682" s="42">
        <f t="shared" si="128"/>
        <v>1</v>
      </c>
      <c r="N682" s="42">
        <f t="shared" si="121"/>
        <v>1</v>
      </c>
      <c r="O682" s="43">
        <f>'Detailed Results'!I682</f>
        <v>10</v>
      </c>
      <c r="P682" s="43">
        <f>'Detailed Results'!J682</f>
        <v>7</v>
      </c>
      <c r="Q682" s="44">
        <f t="shared" si="122"/>
        <v>0.7</v>
      </c>
      <c r="R682" s="44">
        <f t="shared" si="129"/>
        <v>0.4375</v>
      </c>
      <c r="S682" s="44">
        <f t="shared" si="123"/>
        <v>0.53846153846153844</v>
      </c>
      <c r="T682" s="45">
        <f>'Detailed Results'!K682</f>
        <v>7</v>
      </c>
      <c r="U682" s="45">
        <f>'Detailed Results'!L682</f>
        <v>1</v>
      </c>
      <c r="V682" s="46">
        <f t="shared" si="124"/>
        <v>0.14285714285714285</v>
      </c>
      <c r="W682" s="46">
        <f t="shared" si="130"/>
        <v>0.14285714285714285</v>
      </c>
      <c r="X682" s="46">
        <f t="shared" si="125"/>
        <v>0.14285714285714285</v>
      </c>
      <c r="Y682" s="47">
        <f>'Detailed Results'!M682</f>
        <v>10</v>
      </c>
      <c r="Z682" s="47">
        <f>'Detailed Results'!N682</f>
        <v>3</v>
      </c>
      <c r="AA682" s="48">
        <f t="shared" si="126"/>
        <v>0.3</v>
      </c>
      <c r="AB682" s="48">
        <f t="shared" si="131"/>
        <v>0.1875</v>
      </c>
      <c r="AC682" s="48">
        <f t="shared" si="127"/>
        <v>0.23076923076923075</v>
      </c>
    </row>
    <row r="683" spans="1:29" ht="15" customHeight="1" thickBot="1" x14ac:dyDescent="0.4">
      <c r="A683" s="185"/>
      <c r="B683" s="14" t="s">
        <v>21</v>
      </c>
      <c r="C683" s="15" t="s">
        <v>19</v>
      </c>
      <c r="D683" s="15">
        <v>3</v>
      </c>
      <c r="E683" s="14" t="s">
        <v>109</v>
      </c>
      <c r="F683" s="40">
        <f>'GT Input'!C16</f>
        <v>7</v>
      </c>
      <c r="G683" s="40">
        <f>'GT Input'!D16</f>
        <v>16</v>
      </c>
      <c r="H683" s="40">
        <f>'GT Input'!E16</f>
        <v>7</v>
      </c>
      <c r="I683" s="40">
        <f>'GT Input'!F16</f>
        <v>16</v>
      </c>
      <c r="J683" s="41">
        <f>'Detailed Results'!G683</f>
        <v>3</v>
      </c>
      <c r="K683" s="41">
        <f>'Detailed Results'!H683</f>
        <v>3</v>
      </c>
      <c r="L683" s="42">
        <f t="shared" si="120"/>
        <v>1</v>
      </c>
      <c r="M683" s="42">
        <f t="shared" si="128"/>
        <v>0.42857142857142855</v>
      </c>
      <c r="N683" s="42">
        <f t="shared" si="121"/>
        <v>0.6</v>
      </c>
      <c r="O683" s="43">
        <f>'Detailed Results'!I683</f>
        <v>8</v>
      </c>
      <c r="P683" s="43">
        <f>'Detailed Results'!J683</f>
        <v>8</v>
      </c>
      <c r="Q683" s="44">
        <f t="shared" si="122"/>
        <v>1</v>
      </c>
      <c r="R683" s="44">
        <f t="shared" si="129"/>
        <v>0.5</v>
      </c>
      <c r="S683" s="44">
        <f t="shared" si="123"/>
        <v>0.66666666666666663</v>
      </c>
      <c r="T683" s="45">
        <f>'Detailed Results'!K683</f>
        <v>3</v>
      </c>
      <c r="U683" s="45">
        <f>'Detailed Results'!L683</f>
        <v>1</v>
      </c>
      <c r="V683" s="46">
        <f t="shared" si="124"/>
        <v>0.33333333333333331</v>
      </c>
      <c r="W683" s="46">
        <f t="shared" si="130"/>
        <v>0.14285714285714285</v>
      </c>
      <c r="X683" s="46">
        <f t="shared" si="125"/>
        <v>0.2</v>
      </c>
      <c r="Y683" s="47">
        <f>'Detailed Results'!M683</f>
        <v>8</v>
      </c>
      <c r="Z683" s="47">
        <f>'Detailed Results'!N683</f>
        <v>4</v>
      </c>
      <c r="AA683" s="48">
        <f t="shared" si="126"/>
        <v>0.5</v>
      </c>
      <c r="AB683" s="48">
        <f t="shared" si="131"/>
        <v>0.25</v>
      </c>
      <c r="AC683" s="48">
        <f t="shared" si="127"/>
        <v>0.33333333333333331</v>
      </c>
    </row>
    <row r="684" spans="1:29" ht="15" customHeight="1" thickBot="1" x14ac:dyDescent="0.4">
      <c r="A684" s="185"/>
      <c r="B684" s="12" t="s">
        <v>21</v>
      </c>
      <c r="C684" s="13" t="s">
        <v>20</v>
      </c>
      <c r="D684" s="13">
        <v>1</v>
      </c>
      <c r="E684" s="12" t="s">
        <v>17</v>
      </c>
      <c r="F684" s="40">
        <f>'GT Input'!C16</f>
        <v>7</v>
      </c>
      <c r="G684" s="40">
        <f>'GT Input'!D16</f>
        <v>16</v>
      </c>
      <c r="H684" s="40">
        <f>'GT Input'!E16</f>
        <v>7</v>
      </c>
      <c r="I684" s="40">
        <f>'GT Input'!F16</f>
        <v>16</v>
      </c>
      <c r="J684" s="41">
        <f>'Detailed Results'!G684</f>
        <v>7</v>
      </c>
      <c r="K684" s="41">
        <f>'Detailed Results'!H684</f>
        <v>7</v>
      </c>
      <c r="L684" s="42">
        <f t="shared" si="120"/>
        <v>1</v>
      </c>
      <c r="M684" s="42">
        <f t="shared" si="128"/>
        <v>1</v>
      </c>
      <c r="N684" s="42">
        <f t="shared" si="121"/>
        <v>1</v>
      </c>
      <c r="O684" s="43">
        <f>'Detailed Results'!I684</f>
        <v>3</v>
      </c>
      <c r="P684" s="43">
        <f>'Detailed Results'!J684</f>
        <v>3</v>
      </c>
      <c r="Q684" s="44">
        <f t="shared" si="122"/>
        <v>1</v>
      </c>
      <c r="R684" s="44">
        <f t="shared" si="129"/>
        <v>0.1875</v>
      </c>
      <c r="S684" s="44">
        <f t="shared" si="123"/>
        <v>0.31578947368421051</v>
      </c>
      <c r="T684" s="45">
        <f>'Detailed Results'!K684</f>
        <v>7</v>
      </c>
      <c r="U684" s="45">
        <f>'Detailed Results'!L684</f>
        <v>0</v>
      </c>
      <c r="V684" s="46">
        <f t="shared" si="124"/>
        <v>0</v>
      </c>
      <c r="W684" s="46">
        <f t="shared" si="130"/>
        <v>0</v>
      </c>
      <c r="X684" s="46" t="str">
        <f t="shared" si="125"/>
        <v/>
      </c>
      <c r="Y684" s="47">
        <f>'Detailed Results'!M684</f>
        <v>3</v>
      </c>
      <c r="Z684" s="47">
        <f>'Detailed Results'!N684</f>
        <v>2</v>
      </c>
      <c r="AA684" s="48">
        <f t="shared" si="126"/>
        <v>0.66666666666666663</v>
      </c>
      <c r="AB684" s="48">
        <f t="shared" si="131"/>
        <v>0.125</v>
      </c>
      <c r="AC684" s="48">
        <f t="shared" si="127"/>
        <v>0.21052631578947367</v>
      </c>
    </row>
    <row r="685" spans="1:29" ht="15" customHeight="1" thickBot="1" x14ac:dyDescent="0.4">
      <c r="A685" s="185"/>
      <c r="B685" s="12" t="s">
        <v>21</v>
      </c>
      <c r="C685" s="13" t="s">
        <v>20</v>
      </c>
      <c r="D685" s="13">
        <v>1</v>
      </c>
      <c r="E685" s="12" t="s">
        <v>109</v>
      </c>
      <c r="F685" s="40">
        <f>'GT Input'!C16</f>
        <v>7</v>
      </c>
      <c r="G685" s="40">
        <f>'GT Input'!D16</f>
        <v>16</v>
      </c>
      <c r="H685" s="40">
        <f>'GT Input'!E16</f>
        <v>7</v>
      </c>
      <c r="I685" s="40">
        <f>'GT Input'!F16</f>
        <v>16</v>
      </c>
      <c r="J685" s="41">
        <f>'Detailed Results'!G685</f>
        <v>3</v>
      </c>
      <c r="K685" s="41">
        <f>'Detailed Results'!H685</f>
        <v>3</v>
      </c>
      <c r="L685" s="42">
        <f t="shared" si="120"/>
        <v>1</v>
      </c>
      <c r="M685" s="42">
        <f t="shared" si="128"/>
        <v>0.42857142857142855</v>
      </c>
      <c r="N685" s="42">
        <f t="shared" si="121"/>
        <v>0.6</v>
      </c>
      <c r="O685" s="43">
        <f>'Detailed Results'!I685</f>
        <v>9</v>
      </c>
      <c r="P685" s="43">
        <f>'Detailed Results'!J685</f>
        <v>7</v>
      </c>
      <c r="Q685" s="44">
        <f t="shared" si="122"/>
        <v>0.77777777777777779</v>
      </c>
      <c r="R685" s="44">
        <f t="shared" si="129"/>
        <v>0.4375</v>
      </c>
      <c r="S685" s="44">
        <f t="shared" si="123"/>
        <v>0.56000000000000005</v>
      </c>
      <c r="T685" s="45">
        <f>'Detailed Results'!K685</f>
        <v>3</v>
      </c>
      <c r="U685" s="45">
        <f>'Detailed Results'!L685</f>
        <v>1</v>
      </c>
      <c r="V685" s="46">
        <f t="shared" si="124"/>
        <v>0.33333333333333331</v>
      </c>
      <c r="W685" s="46">
        <f t="shared" si="130"/>
        <v>0.14285714285714285</v>
      </c>
      <c r="X685" s="46">
        <f t="shared" si="125"/>
        <v>0.2</v>
      </c>
      <c r="Y685" s="47">
        <f>'Detailed Results'!M685</f>
        <v>9</v>
      </c>
      <c r="Z685" s="47">
        <f>'Detailed Results'!N685</f>
        <v>3</v>
      </c>
      <c r="AA685" s="48">
        <f t="shared" si="126"/>
        <v>0.33333333333333331</v>
      </c>
      <c r="AB685" s="48">
        <f t="shared" si="131"/>
        <v>0.1875</v>
      </c>
      <c r="AC685" s="48">
        <f t="shared" si="127"/>
        <v>0.24000000000000005</v>
      </c>
    </row>
    <row r="686" spans="1:29" ht="15" customHeight="1" thickBot="1" x14ac:dyDescent="0.4">
      <c r="A686" s="185"/>
      <c r="B686" s="14" t="s">
        <v>21</v>
      </c>
      <c r="C686" s="15" t="s">
        <v>20</v>
      </c>
      <c r="D686" s="15">
        <v>2</v>
      </c>
      <c r="E686" s="14" t="s">
        <v>17</v>
      </c>
      <c r="F686" s="40">
        <f>'GT Input'!C16</f>
        <v>7</v>
      </c>
      <c r="G686" s="40">
        <f>'GT Input'!D16</f>
        <v>16</v>
      </c>
      <c r="H686" s="40">
        <f>'GT Input'!E16</f>
        <v>7</v>
      </c>
      <c r="I686" s="40">
        <f>'GT Input'!F16</f>
        <v>16</v>
      </c>
      <c r="J686" s="41">
        <f>'Detailed Results'!G686</f>
        <v>3</v>
      </c>
      <c r="K686" s="41">
        <f>'Detailed Results'!H686</f>
        <v>2</v>
      </c>
      <c r="L686" s="42">
        <f t="shared" si="120"/>
        <v>0.66666666666666663</v>
      </c>
      <c r="M686" s="42">
        <f t="shared" si="128"/>
        <v>0.2857142857142857</v>
      </c>
      <c r="N686" s="42">
        <f t="shared" si="121"/>
        <v>0.4</v>
      </c>
      <c r="O686" s="43">
        <f>'Detailed Results'!I686</f>
        <v>6</v>
      </c>
      <c r="P686" s="43">
        <f>'Detailed Results'!J686</f>
        <v>4</v>
      </c>
      <c r="Q686" s="44">
        <f t="shared" si="122"/>
        <v>0.66666666666666663</v>
      </c>
      <c r="R686" s="44">
        <f t="shared" si="129"/>
        <v>0.25</v>
      </c>
      <c r="S686" s="44">
        <f t="shared" si="123"/>
        <v>0.36363636363636365</v>
      </c>
      <c r="T686" s="45">
        <f>'Detailed Results'!K686</f>
        <v>3</v>
      </c>
      <c r="U686" s="45">
        <f>'Detailed Results'!L686</f>
        <v>0</v>
      </c>
      <c r="V686" s="46">
        <f t="shared" si="124"/>
        <v>0</v>
      </c>
      <c r="W686" s="46">
        <f t="shared" si="130"/>
        <v>0</v>
      </c>
      <c r="X686" s="46" t="str">
        <f t="shared" si="125"/>
        <v/>
      </c>
      <c r="Y686" s="47">
        <f>'Detailed Results'!M686</f>
        <v>6</v>
      </c>
      <c r="Z686" s="47">
        <f>'Detailed Results'!N686</f>
        <v>1</v>
      </c>
      <c r="AA686" s="48">
        <f t="shared" si="126"/>
        <v>0.16666666666666666</v>
      </c>
      <c r="AB686" s="48">
        <f t="shared" si="131"/>
        <v>6.25E-2</v>
      </c>
      <c r="AC686" s="48">
        <f t="shared" si="127"/>
        <v>9.0909090909090912E-2</v>
      </c>
    </row>
    <row r="687" spans="1:29" ht="15" customHeight="1" thickBot="1" x14ac:dyDescent="0.4">
      <c r="A687" s="185"/>
      <c r="B687" s="14" t="s">
        <v>21</v>
      </c>
      <c r="C687" s="15" t="s">
        <v>20</v>
      </c>
      <c r="D687" s="15">
        <v>2</v>
      </c>
      <c r="E687" s="14" t="s">
        <v>109</v>
      </c>
      <c r="F687" s="40">
        <f>'GT Input'!C16</f>
        <v>7</v>
      </c>
      <c r="G687" s="40">
        <f>'GT Input'!D16</f>
        <v>16</v>
      </c>
      <c r="H687" s="40">
        <f>'GT Input'!E16</f>
        <v>7</v>
      </c>
      <c r="I687" s="40">
        <f>'GT Input'!F16</f>
        <v>16</v>
      </c>
      <c r="J687" s="41">
        <f>'Detailed Results'!G687</f>
        <v>3</v>
      </c>
      <c r="K687" s="41">
        <f>'Detailed Results'!H687</f>
        <v>3</v>
      </c>
      <c r="L687" s="42">
        <f t="shared" si="120"/>
        <v>1</v>
      </c>
      <c r="M687" s="42">
        <f t="shared" si="128"/>
        <v>0.42857142857142855</v>
      </c>
      <c r="N687" s="42">
        <f t="shared" si="121"/>
        <v>0.6</v>
      </c>
      <c r="O687" s="43">
        <f>'Detailed Results'!I687</f>
        <v>9</v>
      </c>
      <c r="P687" s="43">
        <f>'Detailed Results'!J687</f>
        <v>7</v>
      </c>
      <c r="Q687" s="44">
        <f t="shared" si="122"/>
        <v>0.77777777777777779</v>
      </c>
      <c r="R687" s="44">
        <f t="shared" si="129"/>
        <v>0.4375</v>
      </c>
      <c r="S687" s="44">
        <f t="shared" si="123"/>
        <v>0.56000000000000005</v>
      </c>
      <c r="T687" s="45">
        <f>'Detailed Results'!K687</f>
        <v>3</v>
      </c>
      <c r="U687" s="45">
        <f>'Detailed Results'!L687</f>
        <v>1</v>
      </c>
      <c r="V687" s="46">
        <f t="shared" si="124"/>
        <v>0.33333333333333331</v>
      </c>
      <c r="W687" s="46">
        <f t="shared" si="130"/>
        <v>0.14285714285714285</v>
      </c>
      <c r="X687" s="46">
        <f t="shared" si="125"/>
        <v>0.2</v>
      </c>
      <c r="Y687" s="47">
        <f>'Detailed Results'!M687</f>
        <v>9</v>
      </c>
      <c r="Z687" s="47">
        <f>'Detailed Results'!N687</f>
        <v>3</v>
      </c>
      <c r="AA687" s="48">
        <f t="shared" si="126"/>
        <v>0.33333333333333331</v>
      </c>
      <c r="AB687" s="48">
        <f t="shared" si="131"/>
        <v>0.1875</v>
      </c>
      <c r="AC687" s="48">
        <f t="shared" si="127"/>
        <v>0.24000000000000005</v>
      </c>
    </row>
    <row r="688" spans="1:29" ht="15" customHeight="1" thickBot="1" x14ac:dyDescent="0.4">
      <c r="A688" s="185"/>
      <c r="B688" s="12" t="s">
        <v>21</v>
      </c>
      <c r="C688" s="13" t="s">
        <v>20</v>
      </c>
      <c r="D688" s="13">
        <v>3</v>
      </c>
      <c r="E688" s="12" t="s">
        <v>17</v>
      </c>
      <c r="F688" s="40">
        <f>'GT Input'!C16</f>
        <v>7</v>
      </c>
      <c r="G688" s="40">
        <f>'GT Input'!D16</f>
        <v>16</v>
      </c>
      <c r="H688" s="40">
        <f>'GT Input'!E16</f>
        <v>7</v>
      </c>
      <c r="I688" s="40">
        <f>'GT Input'!F16</f>
        <v>16</v>
      </c>
      <c r="J688" s="41">
        <f>'Detailed Results'!G688</f>
        <v>5</v>
      </c>
      <c r="K688" s="41">
        <f>'Detailed Results'!H688</f>
        <v>5</v>
      </c>
      <c r="L688" s="42">
        <f t="shared" si="120"/>
        <v>1</v>
      </c>
      <c r="M688" s="42">
        <f t="shared" si="128"/>
        <v>0.7142857142857143</v>
      </c>
      <c r="N688" s="42">
        <f t="shared" si="121"/>
        <v>0.83333333333333326</v>
      </c>
      <c r="O688" s="43">
        <f>'Detailed Results'!I688</f>
        <v>8</v>
      </c>
      <c r="P688" s="43">
        <f>'Detailed Results'!J688</f>
        <v>7</v>
      </c>
      <c r="Q688" s="44">
        <f t="shared" si="122"/>
        <v>0.875</v>
      </c>
      <c r="R688" s="44">
        <f t="shared" si="129"/>
        <v>0.4375</v>
      </c>
      <c r="S688" s="44">
        <f t="shared" si="123"/>
        <v>0.58333333333333337</v>
      </c>
      <c r="T688" s="45">
        <f>'Detailed Results'!K688</f>
        <v>5</v>
      </c>
      <c r="U688" s="45">
        <f>'Detailed Results'!L688</f>
        <v>1</v>
      </c>
      <c r="V688" s="46">
        <f t="shared" si="124"/>
        <v>0.2</v>
      </c>
      <c r="W688" s="46">
        <f t="shared" si="130"/>
        <v>0.14285714285714285</v>
      </c>
      <c r="X688" s="46">
        <f t="shared" si="125"/>
        <v>0.16666666666666666</v>
      </c>
      <c r="Y688" s="47">
        <f>'Detailed Results'!M688</f>
        <v>8</v>
      </c>
      <c r="Z688" s="47">
        <f>'Detailed Results'!N688</f>
        <v>3</v>
      </c>
      <c r="AA688" s="48">
        <f t="shared" si="126"/>
        <v>0.375</v>
      </c>
      <c r="AB688" s="48">
        <f t="shared" si="131"/>
        <v>0.1875</v>
      </c>
      <c r="AC688" s="48">
        <f t="shared" si="127"/>
        <v>0.25</v>
      </c>
    </row>
    <row r="689" spans="1:29" ht="15" customHeight="1" thickBot="1" x14ac:dyDescent="0.4">
      <c r="A689" s="185"/>
      <c r="B689" s="12" t="s">
        <v>21</v>
      </c>
      <c r="C689" s="13" t="s">
        <v>20</v>
      </c>
      <c r="D689" s="13">
        <v>3</v>
      </c>
      <c r="E689" s="12" t="s">
        <v>109</v>
      </c>
      <c r="F689" s="40">
        <f>'GT Input'!C16</f>
        <v>7</v>
      </c>
      <c r="G689" s="40">
        <f>'GT Input'!D16</f>
        <v>16</v>
      </c>
      <c r="H689" s="40">
        <f>'GT Input'!E16</f>
        <v>7</v>
      </c>
      <c r="I689" s="40">
        <f>'GT Input'!F16</f>
        <v>16</v>
      </c>
      <c r="J689" s="41">
        <f>'Detailed Results'!G689</f>
        <v>3</v>
      </c>
      <c r="K689" s="41">
        <f>'Detailed Results'!H689</f>
        <v>3</v>
      </c>
      <c r="L689" s="42">
        <f t="shared" si="120"/>
        <v>1</v>
      </c>
      <c r="M689" s="42">
        <f t="shared" si="128"/>
        <v>0.42857142857142855</v>
      </c>
      <c r="N689" s="42">
        <f t="shared" si="121"/>
        <v>0.6</v>
      </c>
      <c r="O689" s="43">
        <f>'Detailed Results'!I689</f>
        <v>5</v>
      </c>
      <c r="P689" s="43">
        <f>'Detailed Results'!J689</f>
        <v>5</v>
      </c>
      <c r="Q689" s="44">
        <f t="shared" si="122"/>
        <v>1</v>
      </c>
      <c r="R689" s="44">
        <f t="shared" si="129"/>
        <v>0.3125</v>
      </c>
      <c r="S689" s="44">
        <f t="shared" si="123"/>
        <v>0.47619047619047616</v>
      </c>
      <c r="T689" s="45">
        <f>'Detailed Results'!K689</f>
        <v>3</v>
      </c>
      <c r="U689" s="45">
        <f>'Detailed Results'!L689</f>
        <v>0</v>
      </c>
      <c r="V689" s="46">
        <f t="shared" si="124"/>
        <v>0</v>
      </c>
      <c r="W689" s="46">
        <f t="shared" si="130"/>
        <v>0</v>
      </c>
      <c r="X689" s="46" t="str">
        <f t="shared" si="125"/>
        <v/>
      </c>
      <c r="Y689" s="47">
        <f>'Detailed Results'!M689</f>
        <v>5</v>
      </c>
      <c r="Z689" s="47">
        <f>'Detailed Results'!N689</f>
        <v>4</v>
      </c>
      <c r="AA689" s="48">
        <f t="shared" si="126"/>
        <v>0.8</v>
      </c>
      <c r="AB689" s="48">
        <f t="shared" si="131"/>
        <v>0.25</v>
      </c>
      <c r="AC689" s="48">
        <f t="shared" si="127"/>
        <v>0.38095238095238093</v>
      </c>
    </row>
    <row r="690" spans="1:29" ht="15" customHeight="1" thickBot="1" x14ac:dyDescent="0.4">
      <c r="A690" s="185"/>
      <c r="B690" s="16" t="s">
        <v>22</v>
      </c>
      <c r="C690" s="17" t="s">
        <v>16</v>
      </c>
      <c r="D690" s="17">
        <v>1</v>
      </c>
      <c r="E690" s="16" t="s">
        <v>17</v>
      </c>
      <c r="F690" s="40">
        <f>'GT Input'!C16</f>
        <v>7</v>
      </c>
      <c r="G690" s="40">
        <f>'GT Input'!D16</f>
        <v>16</v>
      </c>
      <c r="H690" s="40">
        <f>'GT Input'!E16</f>
        <v>7</v>
      </c>
      <c r="I690" s="40">
        <f>'GT Input'!F16</f>
        <v>16</v>
      </c>
      <c r="J690" s="41">
        <f>'Detailed Results'!G690</f>
        <v>3</v>
      </c>
      <c r="K690" s="41">
        <f>'Detailed Results'!H690</f>
        <v>3</v>
      </c>
      <c r="L690" s="42">
        <f t="shared" si="120"/>
        <v>1</v>
      </c>
      <c r="M690" s="42">
        <f t="shared" si="128"/>
        <v>0.42857142857142855</v>
      </c>
      <c r="N690" s="42">
        <f t="shared" si="121"/>
        <v>0.6</v>
      </c>
      <c r="O690" s="43">
        <f>'Detailed Results'!I690</f>
        <v>9</v>
      </c>
      <c r="P690" s="43">
        <f>'Detailed Results'!J690</f>
        <v>9</v>
      </c>
      <c r="Q690" s="44">
        <f t="shared" si="122"/>
        <v>1</v>
      </c>
      <c r="R690" s="44">
        <f t="shared" si="129"/>
        <v>0.5625</v>
      </c>
      <c r="S690" s="44">
        <f t="shared" si="123"/>
        <v>0.72</v>
      </c>
      <c r="T690" s="45">
        <f>'Detailed Results'!K690</f>
        <v>3</v>
      </c>
      <c r="U690" s="45">
        <f>'Detailed Results'!L690</f>
        <v>3</v>
      </c>
      <c r="V690" s="46">
        <f t="shared" si="124"/>
        <v>1</v>
      </c>
      <c r="W690" s="46">
        <f t="shared" si="130"/>
        <v>0.42857142857142855</v>
      </c>
      <c r="X690" s="46">
        <f t="shared" si="125"/>
        <v>0.6</v>
      </c>
      <c r="Y690" s="47">
        <f>'Detailed Results'!M690</f>
        <v>9</v>
      </c>
      <c r="Z690" s="47">
        <f>'Detailed Results'!N690</f>
        <v>5</v>
      </c>
      <c r="AA690" s="48">
        <f t="shared" si="126"/>
        <v>0.55555555555555558</v>
      </c>
      <c r="AB690" s="48">
        <f t="shared" si="131"/>
        <v>0.3125</v>
      </c>
      <c r="AC690" s="48">
        <f t="shared" si="127"/>
        <v>0.39999999999999997</v>
      </c>
    </row>
    <row r="691" spans="1:29" ht="15" customHeight="1" thickBot="1" x14ac:dyDescent="0.4">
      <c r="A691" s="185"/>
      <c r="B691" s="16" t="s">
        <v>22</v>
      </c>
      <c r="C691" s="17" t="s">
        <v>16</v>
      </c>
      <c r="D691" s="17">
        <v>1</v>
      </c>
      <c r="E691" s="16" t="s">
        <v>109</v>
      </c>
      <c r="F691" s="40">
        <f>'GT Input'!C16</f>
        <v>7</v>
      </c>
      <c r="G691" s="40">
        <f>'GT Input'!D16</f>
        <v>16</v>
      </c>
      <c r="H691" s="40">
        <f>'GT Input'!E16</f>
        <v>7</v>
      </c>
      <c r="I691" s="40">
        <f>'GT Input'!F16</f>
        <v>16</v>
      </c>
      <c r="J691" s="41">
        <f>'Detailed Results'!G691</f>
        <v>5</v>
      </c>
      <c r="K691" s="41">
        <f>'Detailed Results'!H691</f>
        <v>5</v>
      </c>
      <c r="L691" s="42">
        <f t="shared" si="120"/>
        <v>1</v>
      </c>
      <c r="M691" s="42">
        <f t="shared" si="128"/>
        <v>0.7142857142857143</v>
      </c>
      <c r="N691" s="42">
        <f t="shared" si="121"/>
        <v>0.83333333333333326</v>
      </c>
      <c r="O691" s="43">
        <f>'Detailed Results'!I691</f>
        <v>11</v>
      </c>
      <c r="P691" s="43">
        <f>'Detailed Results'!J691</f>
        <v>11</v>
      </c>
      <c r="Q691" s="44">
        <f t="shared" si="122"/>
        <v>1</v>
      </c>
      <c r="R691" s="44">
        <f t="shared" si="129"/>
        <v>0.6875</v>
      </c>
      <c r="S691" s="44">
        <f t="shared" si="123"/>
        <v>0.81481481481481477</v>
      </c>
      <c r="T691" s="45">
        <f>'Detailed Results'!K691</f>
        <v>5</v>
      </c>
      <c r="U691" s="45">
        <f>'Detailed Results'!L691</f>
        <v>3</v>
      </c>
      <c r="V691" s="46">
        <f t="shared" si="124"/>
        <v>0.6</v>
      </c>
      <c r="W691" s="46">
        <f t="shared" si="130"/>
        <v>0.42857142857142855</v>
      </c>
      <c r="X691" s="46">
        <f t="shared" si="125"/>
        <v>0.5</v>
      </c>
      <c r="Y691" s="47">
        <f>'Detailed Results'!M691</f>
        <v>11</v>
      </c>
      <c r="Z691" s="47">
        <f>'Detailed Results'!N691</f>
        <v>6</v>
      </c>
      <c r="AA691" s="48">
        <f t="shared" si="126"/>
        <v>0.54545454545454541</v>
      </c>
      <c r="AB691" s="48">
        <f t="shared" si="131"/>
        <v>0.375</v>
      </c>
      <c r="AC691" s="48">
        <f t="shared" si="127"/>
        <v>0.44444444444444442</v>
      </c>
    </row>
    <row r="692" spans="1:29" ht="15" customHeight="1" thickBot="1" x14ac:dyDescent="0.4">
      <c r="A692" s="185"/>
      <c r="B692" s="18" t="s">
        <v>22</v>
      </c>
      <c r="C692" s="19" t="s">
        <v>16</v>
      </c>
      <c r="D692" s="19">
        <v>2</v>
      </c>
      <c r="E692" s="18" t="s">
        <v>17</v>
      </c>
      <c r="F692" s="40">
        <f>'GT Input'!C16</f>
        <v>7</v>
      </c>
      <c r="G692" s="40">
        <f>'GT Input'!D16</f>
        <v>16</v>
      </c>
      <c r="H692" s="40">
        <f>'GT Input'!E16</f>
        <v>7</v>
      </c>
      <c r="I692" s="40">
        <f>'GT Input'!F16</f>
        <v>16</v>
      </c>
      <c r="J692" s="41">
        <f>'Detailed Results'!G692</f>
        <v>5</v>
      </c>
      <c r="K692" s="41">
        <f>'Detailed Results'!H692</f>
        <v>5</v>
      </c>
      <c r="L692" s="42">
        <f t="shared" si="120"/>
        <v>1</v>
      </c>
      <c r="M692" s="42">
        <f t="shared" si="128"/>
        <v>0.7142857142857143</v>
      </c>
      <c r="N692" s="42">
        <f t="shared" si="121"/>
        <v>0.83333333333333326</v>
      </c>
      <c r="O692" s="43">
        <f>'Detailed Results'!I692</f>
        <v>8</v>
      </c>
      <c r="P692" s="43">
        <f>'Detailed Results'!J692</f>
        <v>8</v>
      </c>
      <c r="Q692" s="44">
        <f t="shared" si="122"/>
        <v>1</v>
      </c>
      <c r="R692" s="44">
        <f t="shared" si="129"/>
        <v>0.5</v>
      </c>
      <c r="S692" s="44">
        <f t="shared" si="123"/>
        <v>0.66666666666666663</v>
      </c>
      <c r="T692" s="45">
        <f>'Detailed Results'!K692</f>
        <v>5</v>
      </c>
      <c r="U692" s="45">
        <f>'Detailed Results'!L692</f>
        <v>5</v>
      </c>
      <c r="V692" s="46">
        <f t="shared" si="124"/>
        <v>1</v>
      </c>
      <c r="W692" s="46">
        <f t="shared" si="130"/>
        <v>0.7142857142857143</v>
      </c>
      <c r="X692" s="46">
        <f t="shared" si="125"/>
        <v>0.83333333333333326</v>
      </c>
      <c r="Y692" s="47">
        <f>'Detailed Results'!M692</f>
        <v>8</v>
      </c>
      <c r="Z692" s="47">
        <f>'Detailed Results'!N692</f>
        <v>4</v>
      </c>
      <c r="AA692" s="48">
        <f t="shared" si="126"/>
        <v>0.5</v>
      </c>
      <c r="AB692" s="48">
        <f t="shared" si="131"/>
        <v>0.25</v>
      </c>
      <c r="AC692" s="48">
        <f t="shared" si="127"/>
        <v>0.33333333333333331</v>
      </c>
    </row>
    <row r="693" spans="1:29" ht="15" customHeight="1" thickBot="1" x14ac:dyDescent="0.4">
      <c r="A693" s="185"/>
      <c r="B693" s="18" t="s">
        <v>22</v>
      </c>
      <c r="C693" s="19" t="s">
        <v>16</v>
      </c>
      <c r="D693" s="19">
        <v>2</v>
      </c>
      <c r="E693" s="18" t="s">
        <v>109</v>
      </c>
      <c r="F693" s="40">
        <f>'GT Input'!C16</f>
        <v>7</v>
      </c>
      <c r="G693" s="40">
        <f>'GT Input'!D16</f>
        <v>16</v>
      </c>
      <c r="H693" s="40">
        <f>'GT Input'!E16</f>
        <v>7</v>
      </c>
      <c r="I693" s="40">
        <f>'GT Input'!F16</f>
        <v>16</v>
      </c>
      <c r="J693" s="41">
        <f>'Detailed Results'!G693</f>
        <v>5</v>
      </c>
      <c r="K693" s="41">
        <f>'Detailed Results'!H693</f>
        <v>5</v>
      </c>
      <c r="L693" s="42">
        <f t="shared" si="120"/>
        <v>1</v>
      </c>
      <c r="M693" s="42">
        <f t="shared" si="128"/>
        <v>0.7142857142857143</v>
      </c>
      <c r="N693" s="42">
        <f t="shared" si="121"/>
        <v>0.83333333333333326</v>
      </c>
      <c r="O693" s="43">
        <f>'Detailed Results'!I693</f>
        <v>11</v>
      </c>
      <c r="P693" s="43">
        <f>'Detailed Results'!J693</f>
        <v>11</v>
      </c>
      <c r="Q693" s="44">
        <f t="shared" si="122"/>
        <v>1</v>
      </c>
      <c r="R693" s="44">
        <f t="shared" si="129"/>
        <v>0.6875</v>
      </c>
      <c r="S693" s="44">
        <f t="shared" si="123"/>
        <v>0.81481481481481477</v>
      </c>
      <c r="T693" s="45">
        <f>'Detailed Results'!K693</f>
        <v>5</v>
      </c>
      <c r="U693" s="45">
        <f>'Detailed Results'!L693</f>
        <v>3</v>
      </c>
      <c r="V693" s="46">
        <f t="shared" si="124"/>
        <v>0.6</v>
      </c>
      <c r="W693" s="46">
        <f t="shared" si="130"/>
        <v>0.42857142857142855</v>
      </c>
      <c r="X693" s="46">
        <f t="shared" si="125"/>
        <v>0.5</v>
      </c>
      <c r="Y693" s="47">
        <f>'Detailed Results'!M693</f>
        <v>11</v>
      </c>
      <c r="Z693" s="47">
        <f>'Detailed Results'!N693</f>
        <v>6</v>
      </c>
      <c r="AA693" s="48">
        <f t="shared" si="126"/>
        <v>0.54545454545454541</v>
      </c>
      <c r="AB693" s="48">
        <f t="shared" si="131"/>
        <v>0.375</v>
      </c>
      <c r="AC693" s="48">
        <f t="shared" si="127"/>
        <v>0.44444444444444442</v>
      </c>
    </row>
    <row r="694" spans="1:29" ht="15" customHeight="1" thickBot="1" x14ac:dyDescent="0.4">
      <c r="A694" s="185"/>
      <c r="B694" s="16" t="s">
        <v>22</v>
      </c>
      <c r="C694" s="17" t="s">
        <v>16</v>
      </c>
      <c r="D694" s="17">
        <v>3</v>
      </c>
      <c r="E694" s="16" t="s">
        <v>17</v>
      </c>
      <c r="F694" s="40">
        <f>'GT Input'!C16</f>
        <v>7</v>
      </c>
      <c r="G694" s="40">
        <f>'GT Input'!D16</f>
        <v>16</v>
      </c>
      <c r="H694" s="40">
        <f>'GT Input'!E16</f>
        <v>7</v>
      </c>
      <c r="I694" s="40">
        <f>'GT Input'!F16</f>
        <v>16</v>
      </c>
      <c r="J694" s="41">
        <f>'Detailed Results'!G694</f>
        <v>3</v>
      </c>
      <c r="K694" s="41">
        <f>'Detailed Results'!H694</f>
        <v>3</v>
      </c>
      <c r="L694" s="42">
        <f t="shared" si="120"/>
        <v>1</v>
      </c>
      <c r="M694" s="42">
        <f t="shared" si="128"/>
        <v>0.42857142857142855</v>
      </c>
      <c r="N694" s="42">
        <f t="shared" si="121"/>
        <v>0.6</v>
      </c>
      <c r="O694" s="43">
        <f>'Detailed Results'!I694</f>
        <v>9</v>
      </c>
      <c r="P694" s="43">
        <f>'Detailed Results'!J694</f>
        <v>9</v>
      </c>
      <c r="Q694" s="44">
        <f t="shared" si="122"/>
        <v>1</v>
      </c>
      <c r="R694" s="44">
        <f t="shared" si="129"/>
        <v>0.5625</v>
      </c>
      <c r="S694" s="44">
        <f t="shared" si="123"/>
        <v>0.72</v>
      </c>
      <c r="T694" s="45">
        <f>'Detailed Results'!K694</f>
        <v>3</v>
      </c>
      <c r="U694" s="45">
        <f>'Detailed Results'!L694</f>
        <v>3</v>
      </c>
      <c r="V694" s="46">
        <f t="shared" si="124"/>
        <v>1</v>
      </c>
      <c r="W694" s="46">
        <f t="shared" si="130"/>
        <v>0.42857142857142855</v>
      </c>
      <c r="X694" s="46">
        <f t="shared" si="125"/>
        <v>0.6</v>
      </c>
      <c r="Y694" s="47">
        <f>'Detailed Results'!M694</f>
        <v>9</v>
      </c>
      <c r="Z694" s="47">
        <f>'Detailed Results'!N694</f>
        <v>5</v>
      </c>
      <c r="AA694" s="48">
        <f t="shared" si="126"/>
        <v>0.55555555555555558</v>
      </c>
      <c r="AB694" s="48">
        <f t="shared" si="131"/>
        <v>0.3125</v>
      </c>
      <c r="AC694" s="48">
        <f t="shared" si="127"/>
        <v>0.39999999999999997</v>
      </c>
    </row>
    <row r="695" spans="1:29" ht="15" customHeight="1" thickBot="1" x14ac:dyDescent="0.4">
      <c r="A695" s="185"/>
      <c r="B695" s="16" t="s">
        <v>22</v>
      </c>
      <c r="C695" s="17" t="s">
        <v>16</v>
      </c>
      <c r="D695" s="17">
        <v>3</v>
      </c>
      <c r="E695" s="16" t="s">
        <v>109</v>
      </c>
      <c r="F695" s="40">
        <f>'GT Input'!C16</f>
        <v>7</v>
      </c>
      <c r="G695" s="40">
        <f>'GT Input'!D16</f>
        <v>16</v>
      </c>
      <c r="H695" s="40">
        <f>'GT Input'!E16</f>
        <v>7</v>
      </c>
      <c r="I695" s="40">
        <f>'GT Input'!F16</f>
        <v>16</v>
      </c>
      <c r="J695" s="41">
        <f>'Detailed Results'!G695</f>
        <v>5</v>
      </c>
      <c r="K695" s="41">
        <f>'Detailed Results'!H695</f>
        <v>5</v>
      </c>
      <c r="L695" s="42">
        <f t="shared" si="120"/>
        <v>1</v>
      </c>
      <c r="M695" s="42">
        <f t="shared" si="128"/>
        <v>0.7142857142857143</v>
      </c>
      <c r="N695" s="42">
        <f t="shared" si="121"/>
        <v>0.83333333333333326</v>
      </c>
      <c r="O695" s="43">
        <f>'Detailed Results'!I695</f>
        <v>11</v>
      </c>
      <c r="P695" s="43">
        <f>'Detailed Results'!J695</f>
        <v>11</v>
      </c>
      <c r="Q695" s="44">
        <f t="shared" si="122"/>
        <v>1</v>
      </c>
      <c r="R695" s="44">
        <f t="shared" si="129"/>
        <v>0.6875</v>
      </c>
      <c r="S695" s="44">
        <f t="shared" si="123"/>
        <v>0.81481481481481477</v>
      </c>
      <c r="T695" s="45">
        <f>'Detailed Results'!K695</f>
        <v>5</v>
      </c>
      <c r="U695" s="45">
        <f>'Detailed Results'!L695</f>
        <v>3</v>
      </c>
      <c r="V695" s="46">
        <f t="shared" si="124"/>
        <v>0.6</v>
      </c>
      <c r="W695" s="46">
        <f t="shared" si="130"/>
        <v>0.42857142857142855</v>
      </c>
      <c r="X695" s="46">
        <f t="shared" si="125"/>
        <v>0.5</v>
      </c>
      <c r="Y695" s="47">
        <f>'Detailed Results'!M695</f>
        <v>11</v>
      </c>
      <c r="Z695" s="47">
        <f>'Detailed Results'!N695</f>
        <v>6</v>
      </c>
      <c r="AA695" s="48">
        <f t="shared" si="126"/>
        <v>0.54545454545454541</v>
      </c>
      <c r="AB695" s="48">
        <f t="shared" si="131"/>
        <v>0.375</v>
      </c>
      <c r="AC695" s="48">
        <f t="shared" si="127"/>
        <v>0.44444444444444442</v>
      </c>
    </row>
    <row r="696" spans="1:29" ht="15" customHeight="1" thickBot="1" x14ac:dyDescent="0.4">
      <c r="A696" s="185"/>
      <c r="B696" s="18" t="s">
        <v>22</v>
      </c>
      <c r="C696" s="19" t="s">
        <v>19</v>
      </c>
      <c r="D696" s="19">
        <v>1</v>
      </c>
      <c r="E696" s="18" t="s">
        <v>17</v>
      </c>
      <c r="F696" s="40">
        <f>'GT Input'!C16</f>
        <v>7</v>
      </c>
      <c r="G696" s="40">
        <f>'GT Input'!D16</f>
        <v>16</v>
      </c>
      <c r="H696" s="40">
        <f>'GT Input'!E16</f>
        <v>7</v>
      </c>
      <c r="I696" s="40">
        <f>'GT Input'!F16</f>
        <v>16</v>
      </c>
      <c r="J696" s="41">
        <f>'Detailed Results'!G696</f>
        <v>3</v>
      </c>
      <c r="K696" s="41">
        <f>'Detailed Results'!H696</f>
        <v>3</v>
      </c>
      <c r="L696" s="42">
        <f t="shared" si="120"/>
        <v>1</v>
      </c>
      <c r="M696" s="42">
        <f t="shared" si="128"/>
        <v>0.42857142857142855</v>
      </c>
      <c r="N696" s="42">
        <f t="shared" si="121"/>
        <v>0.6</v>
      </c>
      <c r="O696" s="43">
        <f>'Detailed Results'!I696</f>
        <v>9</v>
      </c>
      <c r="P696" s="43">
        <f>'Detailed Results'!J696</f>
        <v>9</v>
      </c>
      <c r="Q696" s="44">
        <f t="shared" si="122"/>
        <v>1</v>
      </c>
      <c r="R696" s="44">
        <f t="shared" si="129"/>
        <v>0.5625</v>
      </c>
      <c r="S696" s="44">
        <f t="shared" si="123"/>
        <v>0.72</v>
      </c>
      <c r="T696" s="45">
        <f>'Detailed Results'!K696</f>
        <v>3</v>
      </c>
      <c r="U696" s="45">
        <f>'Detailed Results'!L696</f>
        <v>3</v>
      </c>
      <c r="V696" s="46">
        <f t="shared" si="124"/>
        <v>1</v>
      </c>
      <c r="W696" s="46">
        <f t="shared" si="130"/>
        <v>0.42857142857142855</v>
      </c>
      <c r="X696" s="46">
        <f t="shared" si="125"/>
        <v>0.6</v>
      </c>
      <c r="Y696" s="47">
        <f>'Detailed Results'!M696</f>
        <v>9</v>
      </c>
      <c r="Z696" s="47">
        <f>'Detailed Results'!N696</f>
        <v>5</v>
      </c>
      <c r="AA696" s="48">
        <f t="shared" si="126"/>
        <v>0.55555555555555558</v>
      </c>
      <c r="AB696" s="48">
        <f t="shared" si="131"/>
        <v>0.3125</v>
      </c>
      <c r="AC696" s="48">
        <f t="shared" si="127"/>
        <v>0.39999999999999997</v>
      </c>
    </row>
    <row r="697" spans="1:29" ht="15" customHeight="1" thickBot="1" x14ac:dyDescent="0.4">
      <c r="A697" s="185"/>
      <c r="B697" s="18" t="s">
        <v>22</v>
      </c>
      <c r="C697" s="19" t="s">
        <v>19</v>
      </c>
      <c r="D697" s="19">
        <v>1</v>
      </c>
      <c r="E697" s="18" t="s">
        <v>109</v>
      </c>
      <c r="F697" s="40">
        <f>'GT Input'!C16</f>
        <v>7</v>
      </c>
      <c r="G697" s="40">
        <f>'GT Input'!D16</f>
        <v>16</v>
      </c>
      <c r="H697" s="40">
        <f>'GT Input'!E16</f>
        <v>7</v>
      </c>
      <c r="I697" s="40">
        <f>'GT Input'!F16</f>
        <v>16</v>
      </c>
      <c r="J697" s="41">
        <f>'Detailed Results'!G697</f>
        <v>5</v>
      </c>
      <c r="K697" s="41">
        <f>'Detailed Results'!H697</f>
        <v>5</v>
      </c>
      <c r="L697" s="42">
        <f t="shared" si="120"/>
        <v>1</v>
      </c>
      <c r="M697" s="42">
        <f t="shared" si="128"/>
        <v>0.7142857142857143</v>
      </c>
      <c r="N697" s="42">
        <f t="shared" si="121"/>
        <v>0.83333333333333326</v>
      </c>
      <c r="O697" s="43">
        <f>'Detailed Results'!I697</f>
        <v>11</v>
      </c>
      <c r="P697" s="43">
        <f>'Detailed Results'!J697</f>
        <v>11</v>
      </c>
      <c r="Q697" s="44">
        <f t="shared" si="122"/>
        <v>1</v>
      </c>
      <c r="R697" s="44">
        <f t="shared" si="129"/>
        <v>0.6875</v>
      </c>
      <c r="S697" s="44">
        <f t="shared" si="123"/>
        <v>0.81481481481481477</v>
      </c>
      <c r="T697" s="45">
        <f>'Detailed Results'!K697</f>
        <v>5</v>
      </c>
      <c r="U697" s="45">
        <f>'Detailed Results'!L697</f>
        <v>3</v>
      </c>
      <c r="V697" s="46">
        <f t="shared" si="124"/>
        <v>0.6</v>
      </c>
      <c r="W697" s="46">
        <f t="shared" si="130"/>
        <v>0.42857142857142855</v>
      </c>
      <c r="X697" s="46">
        <f t="shared" si="125"/>
        <v>0.5</v>
      </c>
      <c r="Y697" s="47">
        <f>'Detailed Results'!M697</f>
        <v>11</v>
      </c>
      <c r="Z697" s="47">
        <f>'Detailed Results'!N697</f>
        <v>6</v>
      </c>
      <c r="AA697" s="48">
        <f t="shared" si="126"/>
        <v>0.54545454545454541</v>
      </c>
      <c r="AB697" s="48">
        <f t="shared" si="131"/>
        <v>0.375</v>
      </c>
      <c r="AC697" s="48">
        <f t="shared" si="127"/>
        <v>0.44444444444444442</v>
      </c>
    </row>
    <row r="698" spans="1:29" ht="15" customHeight="1" thickBot="1" x14ac:dyDescent="0.4">
      <c r="A698" s="185"/>
      <c r="B698" s="16" t="s">
        <v>22</v>
      </c>
      <c r="C698" s="17" t="s">
        <v>19</v>
      </c>
      <c r="D698" s="17">
        <v>2</v>
      </c>
      <c r="E698" s="16" t="s">
        <v>17</v>
      </c>
      <c r="F698" s="40">
        <f>'GT Input'!C16</f>
        <v>7</v>
      </c>
      <c r="G698" s="40">
        <f>'GT Input'!D16</f>
        <v>16</v>
      </c>
      <c r="H698" s="40">
        <f>'GT Input'!E16</f>
        <v>7</v>
      </c>
      <c r="I698" s="40">
        <f>'GT Input'!F16</f>
        <v>16</v>
      </c>
      <c r="J698" s="41">
        <f>'Detailed Results'!G698</f>
        <v>3</v>
      </c>
      <c r="K698" s="41">
        <f>'Detailed Results'!H698</f>
        <v>3</v>
      </c>
      <c r="L698" s="42">
        <f t="shared" si="120"/>
        <v>1</v>
      </c>
      <c r="M698" s="42">
        <f t="shared" si="128"/>
        <v>0.42857142857142855</v>
      </c>
      <c r="N698" s="42">
        <f t="shared" si="121"/>
        <v>0.6</v>
      </c>
      <c r="O698" s="43">
        <f>'Detailed Results'!I698</f>
        <v>9</v>
      </c>
      <c r="P698" s="43">
        <f>'Detailed Results'!J698</f>
        <v>9</v>
      </c>
      <c r="Q698" s="44">
        <f t="shared" si="122"/>
        <v>1</v>
      </c>
      <c r="R698" s="44">
        <f t="shared" si="129"/>
        <v>0.5625</v>
      </c>
      <c r="S698" s="44">
        <f t="shared" si="123"/>
        <v>0.72</v>
      </c>
      <c r="T698" s="45">
        <f>'Detailed Results'!K698</f>
        <v>3</v>
      </c>
      <c r="U698" s="45">
        <f>'Detailed Results'!L698</f>
        <v>3</v>
      </c>
      <c r="V698" s="46">
        <f t="shared" si="124"/>
        <v>1</v>
      </c>
      <c r="W698" s="46">
        <f t="shared" si="130"/>
        <v>0.42857142857142855</v>
      </c>
      <c r="X698" s="46">
        <f t="shared" si="125"/>
        <v>0.6</v>
      </c>
      <c r="Y698" s="47">
        <f>'Detailed Results'!M698</f>
        <v>9</v>
      </c>
      <c r="Z698" s="47">
        <f>'Detailed Results'!N698</f>
        <v>5</v>
      </c>
      <c r="AA698" s="48">
        <f t="shared" si="126"/>
        <v>0.55555555555555558</v>
      </c>
      <c r="AB698" s="48">
        <f t="shared" si="131"/>
        <v>0.3125</v>
      </c>
      <c r="AC698" s="48">
        <f t="shared" si="127"/>
        <v>0.39999999999999997</v>
      </c>
    </row>
    <row r="699" spans="1:29" ht="15" customHeight="1" thickBot="1" x14ac:dyDescent="0.4">
      <c r="A699" s="185"/>
      <c r="B699" s="16" t="s">
        <v>22</v>
      </c>
      <c r="C699" s="17" t="s">
        <v>19</v>
      </c>
      <c r="D699" s="17">
        <v>2</v>
      </c>
      <c r="E699" s="16" t="s">
        <v>109</v>
      </c>
      <c r="F699" s="40">
        <f>'GT Input'!C16</f>
        <v>7</v>
      </c>
      <c r="G699" s="40">
        <f>'GT Input'!D16</f>
        <v>16</v>
      </c>
      <c r="H699" s="40">
        <f>'GT Input'!E16</f>
        <v>7</v>
      </c>
      <c r="I699" s="40">
        <f>'GT Input'!F16</f>
        <v>16</v>
      </c>
      <c r="J699" s="41">
        <f>'Detailed Results'!G699</f>
        <v>5</v>
      </c>
      <c r="K699" s="41">
        <f>'Detailed Results'!H699</f>
        <v>5</v>
      </c>
      <c r="L699" s="42">
        <f t="shared" si="120"/>
        <v>1</v>
      </c>
      <c r="M699" s="42">
        <f t="shared" si="128"/>
        <v>0.7142857142857143</v>
      </c>
      <c r="N699" s="42">
        <f t="shared" si="121"/>
        <v>0.83333333333333326</v>
      </c>
      <c r="O699" s="43">
        <f>'Detailed Results'!I699</f>
        <v>11</v>
      </c>
      <c r="P699" s="43">
        <f>'Detailed Results'!J699</f>
        <v>11</v>
      </c>
      <c r="Q699" s="44">
        <f t="shared" si="122"/>
        <v>1</v>
      </c>
      <c r="R699" s="44">
        <f t="shared" si="129"/>
        <v>0.6875</v>
      </c>
      <c r="S699" s="44">
        <f t="shared" si="123"/>
        <v>0.81481481481481477</v>
      </c>
      <c r="T699" s="45">
        <f>'Detailed Results'!K699</f>
        <v>5</v>
      </c>
      <c r="U699" s="45">
        <f>'Detailed Results'!L699</f>
        <v>3</v>
      </c>
      <c r="V699" s="46">
        <f t="shared" si="124"/>
        <v>0.6</v>
      </c>
      <c r="W699" s="46">
        <f t="shared" si="130"/>
        <v>0.42857142857142855</v>
      </c>
      <c r="X699" s="46">
        <f t="shared" si="125"/>
        <v>0.5</v>
      </c>
      <c r="Y699" s="47">
        <f>'Detailed Results'!M699</f>
        <v>11</v>
      </c>
      <c r="Z699" s="47">
        <f>'Detailed Results'!N699</f>
        <v>6</v>
      </c>
      <c r="AA699" s="48">
        <f t="shared" si="126"/>
        <v>0.54545454545454541</v>
      </c>
      <c r="AB699" s="48">
        <f t="shared" si="131"/>
        <v>0.375</v>
      </c>
      <c r="AC699" s="48">
        <f t="shared" si="127"/>
        <v>0.44444444444444442</v>
      </c>
    </row>
    <row r="700" spans="1:29" ht="15" customHeight="1" thickBot="1" x14ac:dyDescent="0.4">
      <c r="A700" s="185"/>
      <c r="B700" s="18" t="s">
        <v>22</v>
      </c>
      <c r="C700" s="19" t="s">
        <v>19</v>
      </c>
      <c r="D700" s="19">
        <v>3</v>
      </c>
      <c r="E700" s="18" t="s">
        <v>17</v>
      </c>
      <c r="F700" s="40">
        <f>'GT Input'!C16</f>
        <v>7</v>
      </c>
      <c r="G700" s="40">
        <f>'GT Input'!D16</f>
        <v>16</v>
      </c>
      <c r="H700" s="40">
        <f>'GT Input'!E16</f>
        <v>7</v>
      </c>
      <c r="I700" s="40">
        <f>'GT Input'!F16</f>
        <v>16</v>
      </c>
      <c r="J700" s="41">
        <f>'Detailed Results'!G700</f>
        <v>5</v>
      </c>
      <c r="K700" s="41">
        <f>'Detailed Results'!H700</f>
        <v>5</v>
      </c>
      <c r="L700" s="42">
        <f t="shared" si="120"/>
        <v>1</v>
      </c>
      <c r="M700" s="42">
        <f t="shared" si="128"/>
        <v>0.7142857142857143</v>
      </c>
      <c r="N700" s="42">
        <f t="shared" si="121"/>
        <v>0.83333333333333326</v>
      </c>
      <c r="O700" s="43">
        <f>'Detailed Results'!I700</f>
        <v>8</v>
      </c>
      <c r="P700" s="43">
        <f>'Detailed Results'!J700</f>
        <v>8</v>
      </c>
      <c r="Q700" s="44">
        <f t="shared" si="122"/>
        <v>1</v>
      </c>
      <c r="R700" s="44">
        <f t="shared" si="129"/>
        <v>0.5</v>
      </c>
      <c r="S700" s="44">
        <f t="shared" si="123"/>
        <v>0.66666666666666663</v>
      </c>
      <c r="T700" s="45">
        <f>'Detailed Results'!K700</f>
        <v>5</v>
      </c>
      <c r="U700" s="45">
        <f>'Detailed Results'!L700</f>
        <v>5</v>
      </c>
      <c r="V700" s="46">
        <f t="shared" si="124"/>
        <v>1</v>
      </c>
      <c r="W700" s="46">
        <f t="shared" si="130"/>
        <v>0.7142857142857143</v>
      </c>
      <c r="X700" s="46">
        <f t="shared" si="125"/>
        <v>0.83333333333333326</v>
      </c>
      <c r="Y700" s="47">
        <f>'Detailed Results'!M700</f>
        <v>8</v>
      </c>
      <c r="Z700" s="47">
        <f>'Detailed Results'!N700</f>
        <v>4</v>
      </c>
      <c r="AA700" s="48">
        <f t="shared" si="126"/>
        <v>0.5</v>
      </c>
      <c r="AB700" s="48">
        <f t="shared" si="131"/>
        <v>0.25</v>
      </c>
      <c r="AC700" s="48">
        <f t="shared" si="127"/>
        <v>0.33333333333333331</v>
      </c>
    </row>
    <row r="701" spans="1:29" ht="15" customHeight="1" thickBot="1" x14ac:dyDescent="0.4">
      <c r="A701" s="185"/>
      <c r="B701" s="18" t="s">
        <v>22</v>
      </c>
      <c r="C701" s="19" t="s">
        <v>19</v>
      </c>
      <c r="D701" s="19">
        <v>3</v>
      </c>
      <c r="E701" s="18" t="s">
        <v>109</v>
      </c>
      <c r="F701" s="40">
        <f>'GT Input'!C16</f>
        <v>7</v>
      </c>
      <c r="G701" s="40">
        <f>'GT Input'!D16</f>
        <v>16</v>
      </c>
      <c r="H701" s="40">
        <f>'GT Input'!E16</f>
        <v>7</v>
      </c>
      <c r="I701" s="40">
        <f>'GT Input'!F16</f>
        <v>16</v>
      </c>
      <c r="J701" s="41">
        <f>'Detailed Results'!G701</f>
        <v>5</v>
      </c>
      <c r="K701" s="41">
        <f>'Detailed Results'!H701</f>
        <v>5</v>
      </c>
      <c r="L701" s="42">
        <f t="shared" si="120"/>
        <v>1</v>
      </c>
      <c r="M701" s="42">
        <f t="shared" si="128"/>
        <v>0.7142857142857143</v>
      </c>
      <c r="N701" s="42">
        <f t="shared" si="121"/>
        <v>0.83333333333333326</v>
      </c>
      <c r="O701" s="43">
        <f>'Detailed Results'!I701</f>
        <v>11</v>
      </c>
      <c r="P701" s="43">
        <f>'Detailed Results'!J701</f>
        <v>11</v>
      </c>
      <c r="Q701" s="44">
        <f t="shared" si="122"/>
        <v>1</v>
      </c>
      <c r="R701" s="44">
        <f t="shared" si="129"/>
        <v>0.6875</v>
      </c>
      <c r="S701" s="44">
        <f t="shared" si="123"/>
        <v>0.81481481481481477</v>
      </c>
      <c r="T701" s="45">
        <f>'Detailed Results'!K701</f>
        <v>5</v>
      </c>
      <c r="U701" s="45">
        <f>'Detailed Results'!L701</f>
        <v>3</v>
      </c>
      <c r="V701" s="46">
        <f t="shared" si="124"/>
        <v>0.6</v>
      </c>
      <c r="W701" s="46">
        <f t="shared" si="130"/>
        <v>0.42857142857142855</v>
      </c>
      <c r="X701" s="46">
        <f t="shared" si="125"/>
        <v>0.5</v>
      </c>
      <c r="Y701" s="47">
        <f>'Detailed Results'!M701</f>
        <v>11</v>
      </c>
      <c r="Z701" s="47">
        <f>'Detailed Results'!N701</f>
        <v>6</v>
      </c>
      <c r="AA701" s="48">
        <f t="shared" si="126"/>
        <v>0.54545454545454541</v>
      </c>
      <c r="AB701" s="48">
        <f t="shared" si="131"/>
        <v>0.375</v>
      </c>
      <c r="AC701" s="48">
        <f t="shared" si="127"/>
        <v>0.44444444444444442</v>
      </c>
    </row>
    <row r="702" spans="1:29" ht="15" customHeight="1" thickBot="1" x14ac:dyDescent="0.4">
      <c r="A702" s="185"/>
      <c r="B702" s="16" t="s">
        <v>22</v>
      </c>
      <c r="C702" s="17" t="s">
        <v>20</v>
      </c>
      <c r="D702" s="17">
        <v>1</v>
      </c>
      <c r="E702" s="16" t="s">
        <v>17</v>
      </c>
      <c r="F702" s="40">
        <f>'GT Input'!C16</f>
        <v>7</v>
      </c>
      <c r="G702" s="40">
        <f>'GT Input'!D16</f>
        <v>16</v>
      </c>
      <c r="H702" s="40">
        <f>'GT Input'!E16</f>
        <v>7</v>
      </c>
      <c r="I702" s="40">
        <f>'GT Input'!F16</f>
        <v>16</v>
      </c>
      <c r="J702" s="41">
        <f>'Detailed Results'!G702</f>
        <v>5</v>
      </c>
      <c r="K702" s="41">
        <f>'Detailed Results'!H702</f>
        <v>5</v>
      </c>
      <c r="L702" s="42">
        <f t="shared" si="120"/>
        <v>1</v>
      </c>
      <c r="M702" s="42">
        <f t="shared" si="128"/>
        <v>0.7142857142857143</v>
      </c>
      <c r="N702" s="42">
        <f t="shared" si="121"/>
        <v>0.83333333333333326</v>
      </c>
      <c r="O702" s="43">
        <f>'Detailed Results'!I702</f>
        <v>8</v>
      </c>
      <c r="P702" s="43">
        <f>'Detailed Results'!J702</f>
        <v>8</v>
      </c>
      <c r="Q702" s="44">
        <f t="shared" si="122"/>
        <v>1</v>
      </c>
      <c r="R702" s="44">
        <f t="shared" si="129"/>
        <v>0.5</v>
      </c>
      <c r="S702" s="44">
        <f t="shared" si="123"/>
        <v>0.66666666666666663</v>
      </c>
      <c r="T702" s="45">
        <f>'Detailed Results'!K702</f>
        <v>5</v>
      </c>
      <c r="U702" s="45">
        <f>'Detailed Results'!L702</f>
        <v>5</v>
      </c>
      <c r="V702" s="46">
        <f t="shared" si="124"/>
        <v>1</v>
      </c>
      <c r="W702" s="46">
        <f t="shared" si="130"/>
        <v>0.7142857142857143</v>
      </c>
      <c r="X702" s="46">
        <f t="shared" si="125"/>
        <v>0.83333333333333326</v>
      </c>
      <c r="Y702" s="47">
        <f>'Detailed Results'!M702</f>
        <v>8</v>
      </c>
      <c r="Z702" s="47">
        <f>'Detailed Results'!N702</f>
        <v>4</v>
      </c>
      <c r="AA702" s="48">
        <f t="shared" si="126"/>
        <v>0.5</v>
      </c>
      <c r="AB702" s="48">
        <f t="shared" si="131"/>
        <v>0.25</v>
      </c>
      <c r="AC702" s="48">
        <f t="shared" si="127"/>
        <v>0.33333333333333331</v>
      </c>
    </row>
    <row r="703" spans="1:29" ht="15" customHeight="1" thickBot="1" x14ac:dyDescent="0.4">
      <c r="A703" s="185"/>
      <c r="B703" s="16" t="s">
        <v>22</v>
      </c>
      <c r="C703" s="17" t="s">
        <v>20</v>
      </c>
      <c r="D703" s="17">
        <v>1</v>
      </c>
      <c r="E703" s="16" t="s">
        <v>109</v>
      </c>
      <c r="F703" s="40">
        <f>'GT Input'!C16</f>
        <v>7</v>
      </c>
      <c r="G703" s="40">
        <f>'GT Input'!D16</f>
        <v>16</v>
      </c>
      <c r="H703" s="40">
        <f>'GT Input'!E16</f>
        <v>7</v>
      </c>
      <c r="I703" s="40">
        <f>'GT Input'!F16</f>
        <v>16</v>
      </c>
      <c r="J703" s="41">
        <f>'Detailed Results'!G703</f>
        <v>5</v>
      </c>
      <c r="K703" s="41">
        <f>'Detailed Results'!H703</f>
        <v>5</v>
      </c>
      <c r="L703" s="42">
        <f t="shared" si="120"/>
        <v>1</v>
      </c>
      <c r="M703" s="42">
        <f t="shared" si="128"/>
        <v>0.7142857142857143</v>
      </c>
      <c r="N703" s="42">
        <f t="shared" si="121"/>
        <v>0.83333333333333326</v>
      </c>
      <c r="O703" s="43">
        <f>'Detailed Results'!I703</f>
        <v>11</v>
      </c>
      <c r="P703" s="43">
        <f>'Detailed Results'!J703</f>
        <v>11</v>
      </c>
      <c r="Q703" s="44">
        <f t="shared" si="122"/>
        <v>1</v>
      </c>
      <c r="R703" s="44">
        <f t="shared" si="129"/>
        <v>0.6875</v>
      </c>
      <c r="S703" s="44">
        <f t="shared" si="123"/>
        <v>0.81481481481481477</v>
      </c>
      <c r="T703" s="45">
        <f>'Detailed Results'!K703</f>
        <v>5</v>
      </c>
      <c r="U703" s="45">
        <f>'Detailed Results'!L703</f>
        <v>3</v>
      </c>
      <c r="V703" s="46">
        <f t="shared" si="124"/>
        <v>0.6</v>
      </c>
      <c r="W703" s="46">
        <f t="shared" si="130"/>
        <v>0.42857142857142855</v>
      </c>
      <c r="X703" s="46">
        <f t="shared" si="125"/>
        <v>0.5</v>
      </c>
      <c r="Y703" s="47">
        <f>'Detailed Results'!M703</f>
        <v>11</v>
      </c>
      <c r="Z703" s="47">
        <f>'Detailed Results'!N703</f>
        <v>6</v>
      </c>
      <c r="AA703" s="48">
        <f t="shared" si="126"/>
        <v>0.54545454545454541</v>
      </c>
      <c r="AB703" s="48">
        <f t="shared" si="131"/>
        <v>0.375</v>
      </c>
      <c r="AC703" s="48">
        <f t="shared" si="127"/>
        <v>0.44444444444444442</v>
      </c>
    </row>
    <row r="704" spans="1:29" ht="15" customHeight="1" thickBot="1" x14ac:dyDescent="0.4">
      <c r="A704" s="185"/>
      <c r="B704" s="18" t="s">
        <v>22</v>
      </c>
      <c r="C704" s="19" t="s">
        <v>20</v>
      </c>
      <c r="D704" s="19">
        <v>2</v>
      </c>
      <c r="E704" s="18" t="s">
        <v>17</v>
      </c>
      <c r="F704" s="40">
        <f>'GT Input'!C16</f>
        <v>7</v>
      </c>
      <c r="G704" s="40">
        <f>'GT Input'!D16</f>
        <v>16</v>
      </c>
      <c r="H704" s="40">
        <f>'GT Input'!E16</f>
        <v>7</v>
      </c>
      <c r="I704" s="40">
        <f>'GT Input'!F16</f>
        <v>16</v>
      </c>
      <c r="J704" s="41">
        <f>'Detailed Results'!G704</f>
        <v>5</v>
      </c>
      <c r="K704" s="41">
        <f>'Detailed Results'!H704</f>
        <v>5</v>
      </c>
      <c r="L704" s="42">
        <f t="shared" si="120"/>
        <v>1</v>
      </c>
      <c r="M704" s="42">
        <f t="shared" si="128"/>
        <v>0.7142857142857143</v>
      </c>
      <c r="N704" s="42">
        <f t="shared" si="121"/>
        <v>0.83333333333333326</v>
      </c>
      <c r="O704" s="43">
        <f>'Detailed Results'!I704</f>
        <v>15</v>
      </c>
      <c r="P704" s="43">
        <f>'Detailed Results'!J704</f>
        <v>15</v>
      </c>
      <c r="Q704" s="44">
        <f t="shared" si="122"/>
        <v>1</v>
      </c>
      <c r="R704" s="44">
        <f t="shared" si="129"/>
        <v>0.9375</v>
      </c>
      <c r="S704" s="44">
        <f t="shared" si="123"/>
        <v>0.967741935483871</v>
      </c>
      <c r="T704" s="45">
        <f>'Detailed Results'!K704</f>
        <v>5</v>
      </c>
      <c r="U704" s="45">
        <f>'Detailed Results'!L704</f>
        <v>5</v>
      </c>
      <c r="V704" s="46">
        <f t="shared" si="124"/>
        <v>1</v>
      </c>
      <c r="W704" s="46">
        <f t="shared" si="130"/>
        <v>0.7142857142857143</v>
      </c>
      <c r="X704" s="46">
        <f t="shared" si="125"/>
        <v>0.83333333333333326</v>
      </c>
      <c r="Y704" s="47">
        <f>'Detailed Results'!M704</f>
        <v>15</v>
      </c>
      <c r="Z704" s="47">
        <f>'Detailed Results'!N704</f>
        <v>11</v>
      </c>
      <c r="AA704" s="48">
        <f t="shared" si="126"/>
        <v>0.73333333333333328</v>
      </c>
      <c r="AB704" s="48">
        <f t="shared" si="131"/>
        <v>0.6875</v>
      </c>
      <c r="AC704" s="48">
        <f t="shared" si="127"/>
        <v>0.70967741935483863</v>
      </c>
    </row>
    <row r="705" spans="1:29" ht="15" customHeight="1" thickBot="1" x14ac:dyDescent="0.4">
      <c r="A705" s="185"/>
      <c r="B705" s="18" t="s">
        <v>22</v>
      </c>
      <c r="C705" s="19" t="s">
        <v>20</v>
      </c>
      <c r="D705" s="19">
        <v>2</v>
      </c>
      <c r="E705" s="18" t="s">
        <v>109</v>
      </c>
      <c r="F705" s="40">
        <f>'GT Input'!C16</f>
        <v>7</v>
      </c>
      <c r="G705" s="40">
        <f>'GT Input'!D16</f>
        <v>16</v>
      </c>
      <c r="H705" s="40">
        <f>'GT Input'!E16</f>
        <v>7</v>
      </c>
      <c r="I705" s="40">
        <f>'GT Input'!F16</f>
        <v>16</v>
      </c>
      <c r="J705" s="41">
        <f>'Detailed Results'!G705</f>
        <v>5</v>
      </c>
      <c r="K705" s="41">
        <f>'Detailed Results'!H705</f>
        <v>5</v>
      </c>
      <c r="L705" s="42">
        <f t="shared" si="120"/>
        <v>1</v>
      </c>
      <c r="M705" s="42">
        <f t="shared" si="128"/>
        <v>0.7142857142857143</v>
      </c>
      <c r="N705" s="42">
        <f t="shared" si="121"/>
        <v>0.83333333333333326</v>
      </c>
      <c r="O705" s="43">
        <f>'Detailed Results'!I705</f>
        <v>11</v>
      </c>
      <c r="P705" s="43">
        <f>'Detailed Results'!J705</f>
        <v>11</v>
      </c>
      <c r="Q705" s="44">
        <f t="shared" si="122"/>
        <v>1</v>
      </c>
      <c r="R705" s="44">
        <f t="shared" si="129"/>
        <v>0.6875</v>
      </c>
      <c r="S705" s="44">
        <f t="shared" si="123"/>
        <v>0.81481481481481477</v>
      </c>
      <c r="T705" s="45">
        <f>'Detailed Results'!K705</f>
        <v>5</v>
      </c>
      <c r="U705" s="45">
        <f>'Detailed Results'!L705</f>
        <v>3</v>
      </c>
      <c r="V705" s="46">
        <f t="shared" si="124"/>
        <v>0.6</v>
      </c>
      <c r="W705" s="46">
        <f t="shared" si="130"/>
        <v>0.42857142857142855</v>
      </c>
      <c r="X705" s="46">
        <f t="shared" si="125"/>
        <v>0.5</v>
      </c>
      <c r="Y705" s="47">
        <f>'Detailed Results'!M705</f>
        <v>11</v>
      </c>
      <c r="Z705" s="47">
        <f>'Detailed Results'!N705</f>
        <v>6</v>
      </c>
      <c r="AA705" s="48">
        <f t="shared" si="126"/>
        <v>0.54545454545454541</v>
      </c>
      <c r="AB705" s="48">
        <f t="shared" si="131"/>
        <v>0.375</v>
      </c>
      <c r="AC705" s="48">
        <f t="shared" si="127"/>
        <v>0.44444444444444442</v>
      </c>
    </row>
    <row r="706" spans="1:29" ht="15" customHeight="1" thickBot="1" x14ac:dyDescent="0.4">
      <c r="A706" s="185"/>
      <c r="B706" s="16" t="s">
        <v>22</v>
      </c>
      <c r="C706" s="17" t="s">
        <v>20</v>
      </c>
      <c r="D706" s="17">
        <v>3</v>
      </c>
      <c r="E706" s="16" t="s">
        <v>17</v>
      </c>
      <c r="F706" s="40">
        <f>'GT Input'!C16</f>
        <v>7</v>
      </c>
      <c r="G706" s="40">
        <f>'GT Input'!D16</f>
        <v>16</v>
      </c>
      <c r="H706" s="40">
        <f>'GT Input'!E16</f>
        <v>7</v>
      </c>
      <c r="I706" s="40">
        <f>'GT Input'!F16</f>
        <v>16</v>
      </c>
      <c r="J706" s="41">
        <f>'Detailed Results'!G706</f>
        <v>5</v>
      </c>
      <c r="K706" s="41">
        <f>'Detailed Results'!H706</f>
        <v>5</v>
      </c>
      <c r="L706" s="42">
        <f t="shared" si="120"/>
        <v>1</v>
      </c>
      <c r="M706" s="42">
        <f t="shared" si="128"/>
        <v>0.7142857142857143</v>
      </c>
      <c r="N706" s="42">
        <f t="shared" si="121"/>
        <v>0.83333333333333326</v>
      </c>
      <c r="O706" s="43">
        <f>'Detailed Results'!I706</f>
        <v>9</v>
      </c>
      <c r="P706" s="43">
        <f>'Detailed Results'!J706</f>
        <v>9</v>
      </c>
      <c r="Q706" s="44">
        <f t="shared" si="122"/>
        <v>1</v>
      </c>
      <c r="R706" s="44">
        <f t="shared" si="129"/>
        <v>0.5625</v>
      </c>
      <c r="S706" s="44">
        <f t="shared" si="123"/>
        <v>0.72</v>
      </c>
      <c r="T706" s="45">
        <f>'Detailed Results'!K706</f>
        <v>5</v>
      </c>
      <c r="U706" s="45">
        <f>'Detailed Results'!L706</f>
        <v>5</v>
      </c>
      <c r="V706" s="46">
        <f t="shared" si="124"/>
        <v>1</v>
      </c>
      <c r="W706" s="46">
        <f t="shared" si="130"/>
        <v>0.7142857142857143</v>
      </c>
      <c r="X706" s="46">
        <f t="shared" si="125"/>
        <v>0.83333333333333326</v>
      </c>
      <c r="Y706" s="47">
        <f>'Detailed Results'!M706</f>
        <v>9</v>
      </c>
      <c r="Z706" s="47">
        <f>'Detailed Results'!N706</f>
        <v>5</v>
      </c>
      <c r="AA706" s="48">
        <f t="shared" si="126"/>
        <v>0.55555555555555558</v>
      </c>
      <c r="AB706" s="48">
        <f t="shared" si="131"/>
        <v>0.3125</v>
      </c>
      <c r="AC706" s="48">
        <f t="shared" si="127"/>
        <v>0.39999999999999997</v>
      </c>
    </row>
    <row r="707" spans="1:29" s="64" customFormat="1" ht="15" customHeight="1" thickBot="1" x14ac:dyDescent="0.4">
      <c r="A707" s="185"/>
      <c r="B707" s="53" t="s">
        <v>22</v>
      </c>
      <c r="C707" s="54" t="s">
        <v>20</v>
      </c>
      <c r="D707" s="54">
        <v>3</v>
      </c>
      <c r="E707" s="53" t="s">
        <v>109</v>
      </c>
      <c r="F707" s="55">
        <f>'GT Input'!C16</f>
        <v>7</v>
      </c>
      <c r="G707" s="55">
        <f>'GT Input'!D16</f>
        <v>16</v>
      </c>
      <c r="H707" s="55">
        <f>'GT Input'!E16</f>
        <v>7</v>
      </c>
      <c r="I707" s="55">
        <f>'GT Input'!F16</f>
        <v>16</v>
      </c>
      <c r="J707" s="56">
        <f>'Detailed Results'!G707</f>
        <v>5</v>
      </c>
      <c r="K707" s="56">
        <f>'Detailed Results'!H707</f>
        <v>5</v>
      </c>
      <c r="L707" s="57">
        <f t="shared" si="120"/>
        <v>1</v>
      </c>
      <c r="M707" s="57">
        <f t="shared" si="128"/>
        <v>0.7142857142857143</v>
      </c>
      <c r="N707" s="57">
        <f t="shared" si="121"/>
        <v>0.83333333333333326</v>
      </c>
      <c r="O707" s="58">
        <f>'Detailed Results'!I707</f>
        <v>11</v>
      </c>
      <c r="P707" s="58">
        <f>'Detailed Results'!J707</f>
        <v>11</v>
      </c>
      <c r="Q707" s="59">
        <f t="shared" si="122"/>
        <v>1</v>
      </c>
      <c r="R707" s="59">
        <f t="shared" si="129"/>
        <v>0.6875</v>
      </c>
      <c r="S707" s="59">
        <f t="shared" si="123"/>
        <v>0.81481481481481477</v>
      </c>
      <c r="T707" s="60">
        <f>'Detailed Results'!K707</f>
        <v>5</v>
      </c>
      <c r="U707" s="60">
        <f>'Detailed Results'!L707</f>
        <v>3</v>
      </c>
      <c r="V707" s="61">
        <f t="shared" si="124"/>
        <v>0.6</v>
      </c>
      <c r="W707" s="61">
        <f t="shared" si="130"/>
        <v>0.42857142857142855</v>
      </c>
      <c r="X707" s="61">
        <f t="shared" si="125"/>
        <v>0.5</v>
      </c>
      <c r="Y707" s="62">
        <f>'Detailed Results'!M707</f>
        <v>11</v>
      </c>
      <c r="Z707" s="62">
        <f>'Detailed Results'!N707</f>
        <v>6</v>
      </c>
      <c r="AA707" s="63">
        <f t="shared" si="126"/>
        <v>0.54545454545454541</v>
      </c>
      <c r="AB707" s="63">
        <f t="shared" si="131"/>
        <v>0.375</v>
      </c>
      <c r="AC707" s="63">
        <f t="shared" si="127"/>
        <v>0.44444444444444442</v>
      </c>
    </row>
    <row r="708" spans="1:29" ht="15" customHeight="1" thickBot="1" x14ac:dyDescent="0.4">
      <c r="A708" s="185" t="s">
        <v>35</v>
      </c>
      <c r="B708" s="65" t="s">
        <v>15</v>
      </c>
      <c r="C708" s="66" t="s">
        <v>16</v>
      </c>
      <c r="D708" s="66">
        <v>1</v>
      </c>
      <c r="E708" s="65" t="s">
        <v>17</v>
      </c>
      <c r="F708" s="67">
        <f>'GT Input'!C17</f>
        <v>9</v>
      </c>
      <c r="G708" s="67">
        <f>'GT Input'!D17</f>
        <v>20</v>
      </c>
      <c r="H708" s="67">
        <f>'GT Input'!E17</f>
        <v>9</v>
      </c>
      <c r="I708" s="67">
        <f>'GT Input'!F17</f>
        <v>20</v>
      </c>
      <c r="J708" s="68">
        <f>'Detailed Results'!G708</f>
        <v>7</v>
      </c>
      <c r="K708" s="68">
        <f>'Detailed Results'!H708</f>
        <v>7</v>
      </c>
      <c r="L708" s="69">
        <f t="shared" si="120"/>
        <v>1</v>
      </c>
      <c r="M708" s="69">
        <f t="shared" si="128"/>
        <v>0.77777777777777779</v>
      </c>
      <c r="N708" s="69">
        <f t="shared" si="121"/>
        <v>0.87500000000000011</v>
      </c>
      <c r="O708" s="70">
        <f>'Detailed Results'!I708</f>
        <v>12</v>
      </c>
      <c r="P708" s="70">
        <f>'Detailed Results'!J708</f>
        <v>12</v>
      </c>
      <c r="Q708" s="71">
        <f t="shared" si="122"/>
        <v>1</v>
      </c>
      <c r="R708" s="71">
        <f t="shared" si="129"/>
        <v>0.6</v>
      </c>
      <c r="S708" s="71">
        <f t="shared" si="123"/>
        <v>0.74999999999999989</v>
      </c>
      <c r="T708" s="72">
        <f>'Detailed Results'!K708</f>
        <v>7</v>
      </c>
      <c r="U708" s="72">
        <f>'Detailed Results'!L708</f>
        <v>5</v>
      </c>
      <c r="V708" s="73">
        <f t="shared" si="124"/>
        <v>0.7142857142857143</v>
      </c>
      <c r="W708" s="73">
        <f t="shared" si="130"/>
        <v>0.55555555555555558</v>
      </c>
      <c r="X708" s="73">
        <f t="shared" si="125"/>
        <v>0.62500000000000011</v>
      </c>
      <c r="Y708" s="74">
        <f>'Detailed Results'!M708</f>
        <v>12</v>
      </c>
      <c r="Z708" s="74">
        <f>'Detailed Results'!N708</f>
        <v>6</v>
      </c>
      <c r="AA708" s="75">
        <f t="shared" si="126"/>
        <v>0.5</v>
      </c>
      <c r="AB708" s="75">
        <f t="shared" si="131"/>
        <v>0.3</v>
      </c>
      <c r="AC708" s="75">
        <f t="shared" si="127"/>
        <v>0.37499999999999994</v>
      </c>
    </row>
    <row r="709" spans="1:29" ht="15" customHeight="1" thickBot="1" x14ac:dyDescent="0.4">
      <c r="A709" s="185"/>
      <c r="B709" s="7" t="s">
        <v>15</v>
      </c>
      <c r="C709" s="8" t="s">
        <v>16</v>
      </c>
      <c r="D709" s="8">
        <v>1</v>
      </c>
      <c r="E709" s="7" t="s">
        <v>109</v>
      </c>
      <c r="F709" s="40">
        <f>'GT Input'!C17</f>
        <v>9</v>
      </c>
      <c r="G709" s="40">
        <f>'GT Input'!D17</f>
        <v>20</v>
      </c>
      <c r="H709" s="40">
        <f>'GT Input'!E17</f>
        <v>9</v>
      </c>
      <c r="I709" s="40">
        <f>'GT Input'!F17</f>
        <v>20</v>
      </c>
      <c r="J709" s="41">
        <f>'Detailed Results'!G709</f>
        <v>7</v>
      </c>
      <c r="K709" s="41">
        <f>'Detailed Results'!H709</f>
        <v>7</v>
      </c>
      <c r="L709" s="42">
        <f t="shared" si="120"/>
        <v>1</v>
      </c>
      <c r="M709" s="42">
        <f t="shared" si="128"/>
        <v>0.77777777777777779</v>
      </c>
      <c r="N709" s="42">
        <f t="shared" si="121"/>
        <v>0.87500000000000011</v>
      </c>
      <c r="O709" s="43">
        <f>'Detailed Results'!I709</f>
        <v>13</v>
      </c>
      <c r="P709" s="43">
        <f>'Detailed Results'!J709</f>
        <v>13</v>
      </c>
      <c r="Q709" s="44">
        <f t="shared" si="122"/>
        <v>1</v>
      </c>
      <c r="R709" s="44">
        <f t="shared" si="129"/>
        <v>0.65</v>
      </c>
      <c r="S709" s="44">
        <f t="shared" si="123"/>
        <v>0.78787878787878796</v>
      </c>
      <c r="T709" s="45">
        <f>'Detailed Results'!K709</f>
        <v>7</v>
      </c>
      <c r="U709" s="45">
        <f>'Detailed Results'!L709</f>
        <v>5</v>
      </c>
      <c r="V709" s="46">
        <f t="shared" si="124"/>
        <v>0.7142857142857143</v>
      </c>
      <c r="W709" s="46">
        <f t="shared" si="130"/>
        <v>0.55555555555555558</v>
      </c>
      <c r="X709" s="46">
        <f t="shared" si="125"/>
        <v>0.62500000000000011</v>
      </c>
      <c r="Y709" s="47">
        <f>'Detailed Results'!M709</f>
        <v>13</v>
      </c>
      <c r="Z709" s="47">
        <f>'Detailed Results'!N709</f>
        <v>6</v>
      </c>
      <c r="AA709" s="48">
        <f t="shared" si="126"/>
        <v>0.46153846153846156</v>
      </c>
      <c r="AB709" s="48">
        <f t="shared" si="131"/>
        <v>0.3</v>
      </c>
      <c r="AC709" s="48">
        <f t="shared" si="127"/>
        <v>0.3636363636363637</v>
      </c>
    </row>
    <row r="710" spans="1:29" ht="15" customHeight="1" thickBot="1" x14ac:dyDescent="0.4">
      <c r="A710" s="185"/>
      <c r="B710" s="10" t="s">
        <v>15</v>
      </c>
      <c r="C710" s="11" t="s">
        <v>16</v>
      </c>
      <c r="D710" s="11">
        <v>2</v>
      </c>
      <c r="E710" s="10" t="s">
        <v>17</v>
      </c>
      <c r="F710" s="40">
        <f>'GT Input'!C17</f>
        <v>9</v>
      </c>
      <c r="G710" s="40">
        <f>'GT Input'!D17</f>
        <v>20</v>
      </c>
      <c r="H710" s="40">
        <f>'GT Input'!E17</f>
        <v>9</v>
      </c>
      <c r="I710" s="40">
        <f>'GT Input'!F17</f>
        <v>20</v>
      </c>
      <c r="J710" s="41">
        <f>'Detailed Results'!G710</f>
        <v>7</v>
      </c>
      <c r="K710" s="41">
        <f>'Detailed Results'!H710</f>
        <v>7</v>
      </c>
      <c r="L710" s="42">
        <f t="shared" ref="L710:L761" si="132">IFERROR(K710/J710,"")</f>
        <v>1</v>
      </c>
      <c r="M710" s="42">
        <f t="shared" si="128"/>
        <v>0.77777777777777779</v>
      </c>
      <c r="N710" s="42">
        <f t="shared" ref="N710:N761" si="133">IFERROR(2*L710*M710/(L710+M710),"")</f>
        <v>0.87500000000000011</v>
      </c>
      <c r="O710" s="43">
        <f>'Detailed Results'!I710</f>
        <v>13</v>
      </c>
      <c r="P710" s="43">
        <f>'Detailed Results'!J710</f>
        <v>13</v>
      </c>
      <c r="Q710" s="44">
        <f t="shared" ref="Q710:Q761" si="134">IFERROR(P710/O710,"")</f>
        <v>1</v>
      </c>
      <c r="R710" s="44">
        <f t="shared" si="129"/>
        <v>0.65</v>
      </c>
      <c r="S710" s="44">
        <f t="shared" ref="S710:S761" si="135">IFERROR(2*Q710*R710/(Q710+R710),"")</f>
        <v>0.78787878787878796</v>
      </c>
      <c r="T710" s="45">
        <f>'Detailed Results'!K710</f>
        <v>7</v>
      </c>
      <c r="U710" s="45">
        <f>'Detailed Results'!L710</f>
        <v>5</v>
      </c>
      <c r="V710" s="46">
        <f t="shared" ref="V710:V761" si="136">IFERROR(U710/T710,"")</f>
        <v>0.7142857142857143</v>
      </c>
      <c r="W710" s="46">
        <f t="shared" si="130"/>
        <v>0.55555555555555558</v>
      </c>
      <c r="X710" s="46">
        <f t="shared" ref="X710:X761" si="137">IFERROR(2*V710*W710/(V710+W710),"")</f>
        <v>0.62500000000000011</v>
      </c>
      <c r="Y710" s="47">
        <f>'Detailed Results'!M710</f>
        <v>13</v>
      </c>
      <c r="Z710" s="47">
        <f>'Detailed Results'!N710</f>
        <v>6</v>
      </c>
      <c r="AA710" s="48">
        <f t="shared" ref="AA710:AA761" si="138">IFERROR(Z710/Y710,"")</f>
        <v>0.46153846153846156</v>
      </c>
      <c r="AB710" s="48">
        <f t="shared" si="131"/>
        <v>0.3</v>
      </c>
      <c r="AC710" s="48">
        <f t="shared" ref="AC710:AC761" si="139">IFERROR(2*AA710*AB710/(AA710+AB710),"")</f>
        <v>0.3636363636363637</v>
      </c>
    </row>
    <row r="711" spans="1:29" ht="15" customHeight="1" thickBot="1" x14ac:dyDescent="0.4">
      <c r="A711" s="185"/>
      <c r="B711" s="10" t="s">
        <v>15</v>
      </c>
      <c r="C711" s="11" t="s">
        <v>16</v>
      </c>
      <c r="D711" s="11">
        <v>2</v>
      </c>
      <c r="E711" s="10" t="s">
        <v>109</v>
      </c>
      <c r="F711" s="40">
        <f>'GT Input'!C17</f>
        <v>9</v>
      </c>
      <c r="G711" s="40">
        <f>'GT Input'!D17</f>
        <v>20</v>
      </c>
      <c r="H711" s="40">
        <f>'GT Input'!E17</f>
        <v>9</v>
      </c>
      <c r="I711" s="40">
        <f>'GT Input'!F17</f>
        <v>20</v>
      </c>
      <c r="J711" s="41">
        <f>'Detailed Results'!G711</f>
        <v>7</v>
      </c>
      <c r="K711" s="41">
        <f>'Detailed Results'!H711</f>
        <v>7</v>
      </c>
      <c r="L711" s="42">
        <f t="shared" si="132"/>
        <v>1</v>
      </c>
      <c r="M711" s="42">
        <f t="shared" ref="M711:M761" si="140">IFERROR(K711/F711,"")</f>
        <v>0.77777777777777779</v>
      </c>
      <c r="N711" s="42">
        <f t="shared" si="133"/>
        <v>0.87500000000000011</v>
      </c>
      <c r="O711" s="43">
        <f>'Detailed Results'!I711</f>
        <v>13</v>
      </c>
      <c r="P711" s="43">
        <f>'Detailed Results'!J711</f>
        <v>13</v>
      </c>
      <c r="Q711" s="44">
        <f t="shared" si="134"/>
        <v>1</v>
      </c>
      <c r="R711" s="44">
        <f t="shared" ref="R711:R761" si="141">IFERROR(P711/G711,"")</f>
        <v>0.65</v>
      </c>
      <c r="S711" s="44">
        <f t="shared" si="135"/>
        <v>0.78787878787878796</v>
      </c>
      <c r="T711" s="45">
        <f>'Detailed Results'!K711</f>
        <v>7</v>
      </c>
      <c r="U711" s="45">
        <f>'Detailed Results'!L711</f>
        <v>5</v>
      </c>
      <c r="V711" s="46">
        <f t="shared" si="136"/>
        <v>0.7142857142857143</v>
      </c>
      <c r="W711" s="46">
        <f t="shared" ref="W711:W761" si="142">IFERROR(U711/H711,"")</f>
        <v>0.55555555555555558</v>
      </c>
      <c r="X711" s="46">
        <f t="shared" si="137"/>
        <v>0.62500000000000011</v>
      </c>
      <c r="Y711" s="47">
        <f>'Detailed Results'!M711</f>
        <v>13</v>
      </c>
      <c r="Z711" s="47">
        <f>'Detailed Results'!N711</f>
        <v>6</v>
      </c>
      <c r="AA711" s="48">
        <f t="shared" si="138"/>
        <v>0.46153846153846156</v>
      </c>
      <c r="AB711" s="48">
        <f t="shared" ref="AB711:AB761" si="143">IFERROR(Z711/I711,"")</f>
        <v>0.3</v>
      </c>
      <c r="AC711" s="48">
        <f t="shared" si="139"/>
        <v>0.3636363636363637</v>
      </c>
    </row>
    <row r="712" spans="1:29" ht="15" customHeight="1" thickBot="1" x14ac:dyDescent="0.4">
      <c r="A712" s="185"/>
      <c r="B712" s="7" t="s">
        <v>15</v>
      </c>
      <c r="C712" s="8" t="s">
        <v>16</v>
      </c>
      <c r="D712" s="8">
        <v>3</v>
      </c>
      <c r="E712" s="7" t="s">
        <v>17</v>
      </c>
      <c r="F712" s="40">
        <f>'GT Input'!C17</f>
        <v>9</v>
      </c>
      <c r="G712" s="40">
        <f>'GT Input'!D17</f>
        <v>20</v>
      </c>
      <c r="H712" s="40">
        <f>'GT Input'!E17</f>
        <v>9</v>
      </c>
      <c r="I712" s="40">
        <f>'GT Input'!F17</f>
        <v>20</v>
      </c>
      <c r="J712" s="41">
        <f>'Detailed Results'!G712</f>
        <v>7</v>
      </c>
      <c r="K712" s="41">
        <f>'Detailed Results'!H712</f>
        <v>7</v>
      </c>
      <c r="L712" s="42">
        <f t="shared" si="132"/>
        <v>1</v>
      </c>
      <c r="M712" s="42">
        <f t="shared" si="140"/>
        <v>0.77777777777777779</v>
      </c>
      <c r="N712" s="42">
        <f t="shared" si="133"/>
        <v>0.87500000000000011</v>
      </c>
      <c r="O712" s="43">
        <f>'Detailed Results'!I712</f>
        <v>13</v>
      </c>
      <c r="P712" s="43">
        <f>'Detailed Results'!J712</f>
        <v>13</v>
      </c>
      <c r="Q712" s="44">
        <f t="shared" si="134"/>
        <v>1</v>
      </c>
      <c r="R712" s="44">
        <f t="shared" si="141"/>
        <v>0.65</v>
      </c>
      <c r="S712" s="44">
        <f t="shared" si="135"/>
        <v>0.78787878787878796</v>
      </c>
      <c r="T712" s="45">
        <f>'Detailed Results'!K712</f>
        <v>7</v>
      </c>
      <c r="U712" s="45">
        <f>'Detailed Results'!L712</f>
        <v>5</v>
      </c>
      <c r="V712" s="46">
        <f t="shared" si="136"/>
        <v>0.7142857142857143</v>
      </c>
      <c r="W712" s="46">
        <f t="shared" si="142"/>
        <v>0.55555555555555558</v>
      </c>
      <c r="X712" s="46">
        <f t="shared" si="137"/>
        <v>0.62500000000000011</v>
      </c>
      <c r="Y712" s="47">
        <f>'Detailed Results'!M712</f>
        <v>13</v>
      </c>
      <c r="Z712" s="47">
        <f>'Detailed Results'!N712</f>
        <v>6</v>
      </c>
      <c r="AA712" s="48">
        <f t="shared" si="138"/>
        <v>0.46153846153846156</v>
      </c>
      <c r="AB712" s="48">
        <f t="shared" si="143"/>
        <v>0.3</v>
      </c>
      <c r="AC712" s="48">
        <f t="shared" si="139"/>
        <v>0.3636363636363637</v>
      </c>
    </row>
    <row r="713" spans="1:29" ht="15" customHeight="1" thickBot="1" x14ac:dyDescent="0.4">
      <c r="A713" s="185"/>
      <c r="B713" s="7" t="s">
        <v>15</v>
      </c>
      <c r="C713" s="8" t="s">
        <v>16</v>
      </c>
      <c r="D713" s="8">
        <v>3</v>
      </c>
      <c r="E713" s="7" t="s">
        <v>109</v>
      </c>
      <c r="F713" s="40">
        <f>'GT Input'!C17</f>
        <v>9</v>
      </c>
      <c r="G713" s="40">
        <f>'GT Input'!D17</f>
        <v>20</v>
      </c>
      <c r="H713" s="40">
        <f>'GT Input'!E17</f>
        <v>9</v>
      </c>
      <c r="I713" s="40">
        <f>'GT Input'!F17</f>
        <v>20</v>
      </c>
      <c r="J713" s="41">
        <f>'Detailed Results'!G713</f>
        <v>7</v>
      </c>
      <c r="K713" s="41">
        <f>'Detailed Results'!H713</f>
        <v>7</v>
      </c>
      <c r="L713" s="42">
        <f t="shared" si="132"/>
        <v>1</v>
      </c>
      <c r="M713" s="42">
        <f t="shared" si="140"/>
        <v>0.77777777777777779</v>
      </c>
      <c r="N713" s="42">
        <f t="shared" si="133"/>
        <v>0.87500000000000011</v>
      </c>
      <c r="O713" s="43">
        <f>'Detailed Results'!I713</f>
        <v>13</v>
      </c>
      <c r="P713" s="43">
        <f>'Detailed Results'!J713</f>
        <v>13</v>
      </c>
      <c r="Q713" s="44">
        <f t="shared" si="134"/>
        <v>1</v>
      </c>
      <c r="R713" s="44">
        <f t="shared" si="141"/>
        <v>0.65</v>
      </c>
      <c r="S713" s="44">
        <f t="shared" si="135"/>
        <v>0.78787878787878796</v>
      </c>
      <c r="T713" s="45">
        <f>'Detailed Results'!K713</f>
        <v>7</v>
      </c>
      <c r="U713" s="45">
        <f>'Detailed Results'!L713</f>
        <v>5</v>
      </c>
      <c r="V713" s="46">
        <f t="shared" si="136"/>
        <v>0.7142857142857143</v>
      </c>
      <c r="W713" s="46">
        <f t="shared" si="142"/>
        <v>0.55555555555555558</v>
      </c>
      <c r="X713" s="46">
        <f t="shared" si="137"/>
        <v>0.62500000000000011</v>
      </c>
      <c r="Y713" s="47">
        <f>'Detailed Results'!M713</f>
        <v>13</v>
      </c>
      <c r="Z713" s="47">
        <f>'Detailed Results'!N713</f>
        <v>6</v>
      </c>
      <c r="AA713" s="48">
        <f t="shared" si="138"/>
        <v>0.46153846153846156</v>
      </c>
      <c r="AB713" s="48">
        <f t="shared" si="143"/>
        <v>0.3</v>
      </c>
      <c r="AC713" s="48">
        <f t="shared" si="139"/>
        <v>0.3636363636363637</v>
      </c>
    </row>
    <row r="714" spans="1:29" ht="15" customHeight="1" thickBot="1" x14ac:dyDescent="0.4">
      <c r="A714" s="185"/>
      <c r="B714" s="10" t="s">
        <v>15</v>
      </c>
      <c r="C714" s="11" t="s">
        <v>19</v>
      </c>
      <c r="D714" s="11">
        <v>1</v>
      </c>
      <c r="E714" s="10" t="s">
        <v>17</v>
      </c>
      <c r="F714" s="40">
        <f>'GT Input'!C17</f>
        <v>9</v>
      </c>
      <c r="G714" s="40">
        <f>'GT Input'!D17</f>
        <v>20</v>
      </c>
      <c r="H714" s="40">
        <f>'GT Input'!E17</f>
        <v>9</v>
      </c>
      <c r="I714" s="40">
        <f>'GT Input'!F17</f>
        <v>20</v>
      </c>
      <c r="J714" s="41">
        <f>'Detailed Results'!G714</f>
        <v>7</v>
      </c>
      <c r="K714" s="41">
        <f>'Detailed Results'!H714</f>
        <v>7</v>
      </c>
      <c r="L714" s="42">
        <f t="shared" si="132"/>
        <v>1</v>
      </c>
      <c r="M714" s="42">
        <f t="shared" si="140"/>
        <v>0.77777777777777779</v>
      </c>
      <c r="N714" s="42">
        <f t="shared" si="133"/>
        <v>0.87500000000000011</v>
      </c>
      <c r="O714" s="43">
        <f>'Detailed Results'!I714</f>
        <v>13</v>
      </c>
      <c r="P714" s="43">
        <f>'Detailed Results'!J714</f>
        <v>13</v>
      </c>
      <c r="Q714" s="44">
        <f t="shared" si="134"/>
        <v>1</v>
      </c>
      <c r="R714" s="44">
        <f t="shared" si="141"/>
        <v>0.65</v>
      </c>
      <c r="S714" s="44">
        <f t="shared" si="135"/>
        <v>0.78787878787878796</v>
      </c>
      <c r="T714" s="45">
        <f>'Detailed Results'!K714</f>
        <v>7</v>
      </c>
      <c r="U714" s="45">
        <f>'Detailed Results'!L714</f>
        <v>5</v>
      </c>
      <c r="V714" s="46">
        <f t="shared" si="136"/>
        <v>0.7142857142857143</v>
      </c>
      <c r="W714" s="46">
        <f t="shared" si="142"/>
        <v>0.55555555555555558</v>
      </c>
      <c r="X714" s="46">
        <f t="shared" si="137"/>
        <v>0.62500000000000011</v>
      </c>
      <c r="Y714" s="47">
        <f>'Detailed Results'!M714</f>
        <v>13</v>
      </c>
      <c r="Z714" s="47">
        <f>'Detailed Results'!N714</f>
        <v>6</v>
      </c>
      <c r="AA714" s="48">
        <f t="shared" si="138"/>
        <v>0.46153846153846156</v>
      </c>
      <c r="AB714" s="48">
        <f t="shared" si="143"/>
        <v>0.3</v>
      </c>
      <c r="AC714" s="48">
        <f t="shared" si="139"/>
        <v>0.3636363636363637</v>
      </c>
    </row>
    <row r="715" spans="1:29" ht="15" customHeight="1" thickBot="1" x14ac:dyDescent="0.4">
      <c r="A715" s="185"/>
      <c r="B715" s="10" t="s">
        <v>15</v>
      </c>
      <c r="C715" s="11" t="s">
        <v>19</v>
      </c>
      <c r="D715" s="11">
        <v>1</v>
      </c>
      <c r="E715" s="10" t="s">
        <v>109</v>
      </c>
      <c r="F715" s="40">
        <f>'GT Input'!C17</f>
        <v>9</v>
      </c>
      <c r="G715" s="40">
        <f>'GT Input'!D17</f>
        <v>20</v>
      </c>
      <c r="H715" s="40">
        <f>'GT Input'!E17</f>
        <v>9</v>
      </c>
      <c r="I715" s="40">
        <f>'GT Input'!F17</f>
        <v>20</v>
      </c>
      <c r="J715" s="41">
        <f>'Detailed Results'!G715</f>
        <v>7</v>
      </c>
      <c r="K715" s="41">
        <f>'Detailed Results'!H715</f>
        <v>7</v>
      </c>
      <c r="L715" s="42">
        <f t="shared" si="132"/>
        <v>1</v>
      </c>
      <c r="M715" s="42">
        <f t="shared" si="140"/>
        <v>0.77777777777777779</v>
      </c>
      <c r="N715" s="42">
        <f t="shared" si="133"/>
        <v>0.87500000000000011</v>
      </c>
      <c r="O715" s="43">
        <f>'Detailed Results'!I715</f>
        <v>13</v>
      </c>
      <c r="P715" s="43">
        <f>'Detailed Results'!J715</f>
        <v>13</v>
      </c>
      <c r="Q715" s="44">
        <f t="shared" si="134"/>
        <v>1</v>
      </c>
      <c r="R715" s="44">
        <f t="shared" si="141"/>
        <v>0.65</v>
      </c>
      <c r="S715" s="44">
        <f t="shared" si="135"/>
        <v>0.78787878787878796</v>
      </c>
      <c r="T715" s="45">
        <f>'Detailed Results'!K715</f>
        <v>7</v>
      </c>
      <c r="U715" s="45">
        <f>'Detailed Results'!L715</f>
        <v>5</v>
      </c>
      <c r="V715" s="46">
        <f t="shared" si="136"/>
        <v>0.7142857142857143</v>
      </c>
      <c r="W715" s="46">
        <f t="shared" si="142"/>
        <v>0.55555555555555558</v>
      </c>
      <c r="X715" s="46">
        <f t="shared" si="137"/>
        <v>0.62500000000000011</v>
      </c>
      <c r="Y715" s="47">
        <f>'Detailed Results'!M715</f>
        <v>13</v>
      </c>
      <c r="Z715" s="47">
        <f>'Detailed Results'!N715</f>
        <v>6</v>
      </c>
      <c r="AA715" s="48">
        <f t="shared" si="138"/>
        <v>0.46153846153846156</v>
      </c>
      <c r="AB715" s="48">
        <f t="shared" si="143"/>
        <v>0.3</v>
      </c>
      <c r="AC715" s="48">
        <f t="shared" si="139"/>
        <v>0.3636363636363637</v>
      </c>
    </row>
    <row r="716" spans="1:29" ht="15" customHeight="1" thickBot="1" x14ac:dyDescent="0.4">
      <c r="A716" s="185"/>
      <c r="B716" s="7" t="s">
        <v>15</v>
      </c>
      <c r="C716" s="8" t="s">
        <v>19</v>
      </c>
      <c r="D716" s="8">
        <v>2</v>
      </c>
      <c r="E716" s="7" t="s">
        <v>17</v>
      </c>
      <c r="F716" s="40">
        <f>'GT Input'!C17</f>
        <v>9</v>
      </c>
      <c r="G716" s="40">
        <f>'GT Input'!D17</f>
        <v>20</v>
      </c>
      <c r="H716" s="40">
        <f>'GT Input'!E17</f>
        <v>9</v>
      </c>
      <c r="I716" s="40">
        <f>'GT Input'!F17</f>
        <v>20</v>
      </c>
      <c r="J716" s="41">
        <f>'Detailed Results'!G716</f>
        <v>7</v>
      </c>
      <c r="K716" s="41">
        <f>'Detailed Results'!H716</f>
        <v>7</v>
      </c>
      <c r="L716" s="42">
        <f t="shared" si="132"/>
        <v>1</v>
      </c>
      <c r="M716" s="42">
        <f t="shared" si="140"/>
        <v>0.77777777777777779</v>
      </c>
      <c r="N716" s="42">
        <f t="shared" si="133"/>
        <v>0.87500000000000011</v>
      </c>
      <c r="O716" s="43">
        <f>'Detailed Results'!I716</f>
        <v>13</v>
      </c>
      <c r="P716" s="43">
        <f>'Detailed Results'!J716</f>
        <v>13</v>
      </c>
      <c r="Q716" s="44">
        <f t="shared" si="134"/>
        <v>1</v>
      </c>
      <c r="R716" s="44">
        <f t="shared" si="141"/>
        <v>0.65</v>
      </c>
      <c r="S716" s="44">
        <f t="shared" si="135"/>
        <v>0.78787878787878796</v>
      </c>
      <c r="T716" s="45">
        <f>'Detailed Results'!K716</f>
        <v>7</v>
      </c>
      <c r="U716" s="45">
        <f>'Detailed Results'!L716</f>
        <v>5</v>
      </c>
      <c r="V716" s="46">
        <f t="shared" si="136"/>
        <v>0.7142857142857143</v>
      </c>
      <c r="W716" s="46">
        <f t="shared" si="142"/>
        <v>0.55555555555555558</v>
      </c>
      <c r="X716" s="46">
        <f t="shared" si="137"/>
        <v>0.62500000000000011</v>
      </c>
      <c r="Y716" s="47">
        <f>'Detailed Results'!M716</f>
        <v>13</v>
      </c>
      <c r="Z716" s="47">
        <f>'Detailed Results'!N716</f>
        <v>6</v>
      </c>
      <c r="AA716" s="48">
        <f t="shared" si="138"/>
        <v>0.46153846153846156</v>
      </c>
      <c r="AB716" s="48">
        <f t="shared" si="143"/>
        <v>0.3</v>
      </c>
      <c r="AC716" s="48">
        <f t="shared" si="139"/>
        <v>0.3636363636363637</v>
      </c>
    </row>
    <row r="717" spans="1:29" ht="15" customHeight="1" thickBot="1" x14ac:dyDescent="0.4">
      <c r="A717" s="185"/>
      <c r="B717" s="7" t="s">
        <v>15</v>
      </c>
      <c r="C717" s="8" t="s">
        <v>19</v>
      </c>
      <c r="D717" s="8">
        <v>2</v>
      </c>
      <c r="E717" s="7" t="s">
        <v>109</v>
      </c>
      <c r="F717" s="40">
        <f>'GT Input'!C17</f>
        <v>9</v>
      </c>
      <c r="G717" s="40">
        <f>'GT Input'!D17</f>
        <v>20</v>
      </c>
      <c r="H717" s="40">
        <f>'GT Input'!E17</f>
        <v>9</v>
      </c>
      <c r="I717" s="40">
        <f>'GT Input'!F17</f>
        <v>20</v>
      </c>
      <c r="J717" s="41">
        <f>'Detailed Results'!G717</f>
        <v>7</v>
      </c>
      <c r="K717" s="41">
        <f>'Detailed Results'!H717</f>
        <v>7</v>
      </c>
      <c r="L717" s="42">
        <f t="shared" si="132"/>
        <v>1</v>
      </c>
      <c r="M717" s="42">
        <f t="shared" si="140"/>
        <v>0.77777777777777779</v>
      </c>
      <c r="N717" s="42">
        <f t="shared" si="133"/>
        <v>0.87500000000000011</v>
      </c>
      <c r="O717" s="43">
        <f>'Detailed Results'!I717</f>
        <v>13</v>
      </c>
      <c r="P717" s="43">
        <f>'Detailed Results'!J717</f>
        <v>13</v>
      </c>
      <c r="Q717" s="44">
        <f t="shared" si="134"/>
        <v>1</v>
      </c>
      <c r="R717" s="44">
        <f t="shared" si="141"/>
        <v>0.65</v>
      </c>
      <c r="S717" s="44">
        <f t="shared" si="135"/>
        <v>0.78787878787878796</v>
      </c>
      <c r="T717" s="45">
        <f>'Detailed Results'!K717</f>
        <v>7</v>
      </c>
      <c r="U717" s="45">
        <f>'Detailed Results'!L717</f>
        <v>5</v>
      </c>
      <c r="V717" s="46">
        <f t="shared" si="136"/>
        <v>0.7142857142857143</v>
      </c>
      <c r="W717" s="46">
        <f t="shared" si="142"/>
        <v>0.55555555555555558</v>
      </c>
      <c r="X717" s="46">
        <f t="shared" si="137"/>
        <v>0.62500000000000011</v>
      </c>
      <c r="Y717" s="47">
        <f>'Detailed Results'!M717</f>
        <v>13</v>
      </c>
      <c r="Z717" s="47">
        <f>'Detailed Results'!N717</f>
        <v>6</v>
      </c>
      <c r="AA717" s="48">
        <f t="shared" si="138"/>
        <v>0.46153846153846156</v>
      </c>
      <c r="AB717" s="48">
        <f t="shared" si="143"/>
        <v>0.3</v>
      </c>
      <c r="AC717" s="48">
        <f t="shared" si="139"/>
        <v>0.3636363636363637</v>
      </c>
    </row>
    <row r="718" spans="1:29" ht="15" customHeight="1" thickBot="1" x14ac:dyDescent="0.4">
      <c r="A718" s="185"/>
      <c r="B718" s="10" t="s">
        <v>15</v>
      </c>
      <c r="C718" s="11" t="s">
        <v>19</v>
      </c>
      <c r="D718" s="11">
        <v>3</v>
      </c>
      <c r="E718" s="10" t="s">
        <v>17</v>
      </c>
      <c r="F718" s="40">
        <f>'GT Input'!C17</f>
        <v>9</v>
      </c>
      <c r="G718" s="40">
        <f>'GT Input'!D17</f>
        <v>20</v>
      </c>
      <c r="H718" s="40">
        <f>'GT Input'!E17</f>
        <v>9</v>
      </c>
      <c r="I718" s="40">
        <f>'GT Input'!F17</f>
        <v>20</v>
      </c>
      <c r="J718" s="41">
        <f>'Detailed Results'!G718</f>
        <v>7</v>
      </c>
      <c r="K718" s="41">
        <f>'Detailed Results'!H718</f>
        <v>7</v>
      </c>
      <c r="L718" s="42">
        <f t="shared" si="132"/>
        <v>1</v>
      </c>
      <c r="M718" s="42">
        <f t="shared" si="140"/>
        <v>0.77777777777777779</v>
      </c>
      <c r="N718" s="42">
        <f t="shared" si="133"/>
        <v>0.87500000000000011</v>
      </c>
      <c r="O718" s="43">
        <f>'Detailed Results'!I718</f>
        <v>13</v>
      </c>
      <c r="P718" s="43">
        <f>'Detailed Results'!J718</f>
        <v>13</v>
      </c>
      <c r="Q718" s="44">
        <f t="shared" si="134"/>
        <v>1</v>
      </c>
      <c r="R718" s="44">
        <f t="shared" si="141"/>
        <v>0.65</v>
      </c>
      <c r="S718" s="44">
        <f t="shared" si="135"/>
        <v>0.78787878787878796</v>
      </c>
      <c r="T718" s="45">
        <f>'Detailed Results'!K718</f>
        <v>7</v>
      </c>
      <c r="U718" s="45">
        <f>'Detailed Results'!L718</f>
        <v>5</v>
      </c>
      <c r="V718" s="46">
        <f t="shared" si="136"/>
        <v>0.7142857142857143</v>
      </c>
      <c r="W718" s="46">
        <f t="shared" si="142"/>
        <v>0.55555555555555558</v>
      </c>
      <c r="X718" s="46">
        <f t="shared" si="137"/>
        <v>0.62500000000000011</v>
      </c>
      <c r="Y718" s="47">
        <f>'Detailed Results'!M718</f>
        <v>13</v>
      </c>
      <c r="Z718" s="47">
        <f>'Detailed Results'!N718</f>
        <v>6</v>
      </c>
      <c r="AA718" s="48">
        <f t="shared" si="138"/>
        <v>0.46153846153846156</v>
      </c>
      <c r="AB718" s="48">
        <f t="shared" si="143"/>
        <v>0.3</v>
      </c>
      <c r="AC718" s="48">
        <f t="shared" si="139"/>
        <v>0.3636363636363637</v>
      </c>
    </row>
    <row r="719" spans="1:29" ht="15" customHeight="1" thickBot="1" x14ac:dyDescent="0.4">
      <c r="A719" s="185"/>
      <c r="B719" s="10" t="s">
        <v>15</v>
      </c>
      <c r="C719" s="11" t="s">
        <v>19</v>
      </c>
      <c r="D719" s="11">
        <v>3</v>
      </c>
      <c r="E719" s="10" t="s">
        <v>109</v>
      </c>
      <c r="F719" s="40">
        <f>'GT Input'!C17</f>
        <v>9</v>
      </c>
      <c r="G719" s="40">
        <f>'GT Input'!D17</f>
        <v>20</v>
      </c>
      <c r="H719" s="40">
        <f>'GT Input'!E17</f>
        <v>9</v>
      </c>
      <c r="I719" s="40">
        <f>'GT Input'!F17</f>
        <v>20</v>
      </c>
      <c r="J719" s="41">
        <f>'Detailed Results'!G719</f>
        <v>7</v>
      </c>
      <c r="K719" s="41">
        <f>'Detailed Results'!H719</f>
        <v>7</v>
      </c>
      <c r="L719" s="42">
        <f t="shared" si="132"/>
        <v>1</v>
      </c>
      <c r="M719" s="42">
        <f t="shared" si="140"/>
        <v>0.77777777777777779</v>
      </c>
      <c r="N719" s="42">
        <f t="shared" si="133"/>
        <v>0.87500000000000011</v>
      </c>
      <c r="O719" s="43">
        <f>'Detailed Results'!I719</f>
        <v>13</v>
      </c>
      <c r="P719" s="43">
        <f>'Detailed Results'!J719</f>
        <v>13</v>
      </c>
      <c r="Q719" s="44">
        <f t="shared" si="134"/>
        <v>1</v>
      </c>
      <c r="R719" s="44">
        <f t="shared" si="141"/>
        <v>0.65</v>
      </c>
      <c r="S719" s="44">
        <f t="shared" si="135"/>
        <v>0.78787878787878796</v>
      </c>
      <c r="T719" s="45">
        <f>'Detailed Results'!K719</f>
        <v>7</v>
      </c>
      <c r="U719" s="45">
        <f>'Detailed Results'!L719</f>
        <v>5</v>
      </c>
      <c r="V719" s="46">
        <f t="shared" si="136"/>
        <v>0.7142857142857143</v>
      </c>
      <c r="W719" s="46">
        <f t="shared" si="142"/>
        <v>0.55555555555555558</v>
      </c>
      <c r="X719" s="46">
        <f t="shared" si="137"/>
        <v>0.62500000000000011</v>
      </c>
      <c r="Y719" s="47">
        <f>'Detailed Results'!M719</f>
        <v>13</v>
      </c>
      <c r="Z719" s="47">
        <f>'Detailed Results'!N719</f>
        <v>6</v>
      </c>
      <c r="AA719" s="48">
        <f t="shared" si="138"/>
        <v>0.46153846153846156</v>
      </c>
      <c r="AB719" s="48">
        <f t="shared" si="143"/>
        <v>0.3</v>
      </c>
      <c r="AC719" s="48">
        <f t="shared" si="139"/>
        <v>0.3636363636363637</v>
      </c>
    </row>
    <row r="720" spans="1:29" ht="15" customHeight="1" thickBot="1" x14ac:dyDescent="0.4">
      <c r="A720" s="185"/>
      <c r="B720" s="7" t="s">
        <v>15</v>
      </c>
      <c r="C720" s="8" t="s">
        <v>20</v>
      </c>
      <c r="D720" s="8">
        <v>1</v>
      </c>
      <c r="E720" s="7" t="s">
        <v>17</v>
      </c>
      <c r="F720" s="40">
        <f>'GT Input'!C17</f>
        <v>9</v>
      </c>
      <c r="G720" s="40">
        <f>'GT Input'!D17</f>
        <v>20</v>
      </c>
      <c r="H720" s="40">
        <f>'GT Input'!E17</f>
        <v>9</v>
      </c>
      <c r="I720" s="40">
        <f>'GT Input'!F17</f>
        <v>20</v>
      </c>
      <c r="J720" s="41">
        <f>'Detailed Results'!G720</f>
        <v>7</v>
      </c>
      <c r="K720" s="41">
        <f>'Detailed Results'!H720</f>
        <v>7</v>
      </c>
      <c r="L720" s="42">
        <f t="shared" si="132"/>
        <v>1</v>
      </c>
      <c r="M720" s="42">
        <f t="shared" si="140"/>
        <v>0.77777777777777779</v>
      </c>
      <c r="N720" s="42">
        <f t="shared" si="133"/>
        <v>0.87500000000000011</v>
      </c>
      <c r="O720" s="43">
        <f>'Detailed Results'!I720</f>
        <v>13</v>
      </c>
      <c r="P720" s="43">
        <f>'Detailed Results'!J720</f>
        <v>13</v>
      </c>
      <c r="Q720" s="44">
        <f t="shared" si="134"/>
        <v>1</v>
      </c>
      <c r="R720" s="44">
        <f t="shared" si="141"/>
        <v>0.65</v>
      </c>
      <c r="S720" s="44">
        <f t="shared" si="135"/>
        <v>0.78787878787878796</v>
      </c>
      <c r="T720" s="45">
        <f>'Detailed Results'!K720</f>
        <v>7</v>
      </c>
      <c r="U720" s="45">
        <f>'Detailed Results'!L720</f>
        <v>5</v>
      </c>
      <c r="V720" s="46">
        <f t="shared" si="136"/>
        <v>0.7142857142857143</v>
      </c>
      <c r="W720" s="46">
        <f t="shared" si="142"/>
        <v>0.55555555555555558</v>
      </c>
      <c r="X720" s="46">
        <f t="shared" si="137"/>
        <v>0.62500000000000011</v>
      </c>
      <c r="Y720" s="47">
        <f>'Detailed Results'!M720</f>
        <v>13</v>
      </c>
      <c r="Z720" s="47">
        <f>'Detailed Results'!N720</f>
        <v>6</v>
      </c>
      <c r="AA720" s="48">
        <f t="shared" si="138"/>
        <v>0.46153846153846156</v>
      </c>
      <c r="AB720" s="48">
        <f t="shared" si="143"/>
        <v>0.3</v>
      </c>
      <c r="AC720" s="48">
        <f t="shared" si="139"/>
        <v>0.3636363636363637</v>
      </c>
    </row>
    <row r="721" spans="1:29" ht="15" customHeight="1" thickBot="1" x14ac:dyDescent="0.4">
      <c r="A721" s="185"/>
      <c r="B721" s="7" t="s">
        <v>15</v>
      </c>
      <c r="C721" s="8" t="s">
        <v>20</v>
      </c>
      <c r="D721" s="8">
        <v>1</v>
      </c>
      <c r="E721" s="7" t="s">
        <v>109</v>
      </c>
      <c r="F721" s="40">
        <f>'GT Input'!C17</f>
        <v>9</v>
      </c>
      <c r="G721" s="40">
        <f>'GT Input'!D17</f>
        <v>20</v>
      </c>
      <c r="H721" s="40">
        <f>'GT Input'!E17</f>
        <v>9</v>
      </c>
      <c r="I721" s="40">
        <f>'GT Input'!F17</f>
        <v>20</v>
      </c>
      <c r="J721" s="41">
        <f>'Detailed Results'!G721</f>
        <v>9</v>
      </c>
      <c r="K721" s="41">
        <f>'Detailed Results'!H721</f>
        <v>9</v>
      </c>
      <c r="L721" s="42">
        <f t="shared" si="132"/>
        <v>1</v>
      </c>
      <c r="M721" s="42">
        <f t="shared" si="140"/>
        <v>1</v>
      </c>
      <c r="N721" s="42">
        <f t="shared" si="133"/>
        <v>1</v>
      </c>
      <c r="O721" s="43">
        <f>'Detailed Results'!I721</f>
        <v>21</v>
      </c>
      <c r="P721" s="43">
        <f>'Detailed Results'!J721</f>
        <v>21</v>
      </c>
      <c r="Q721" s="44">
        <f t="shared" si="134"/>
        <v>1</v>
      </c>
      <c r="R721" s="44">
        <f t="shared" si="141"/>
        <v>1.05</v>
      </c>
      <c r="S721" s="44">
        <f t="shared" si="135"/>
        <v>1.024390243902439</v>
      </c>
      <c r="T721" s="45">
        <f>'Detailed Results'!K721</f>
        <v>9</v>
      </c>
      <c r="U721" s="45">
        <f>'Detailed Results'!L721</f>
        <v>9</v>
      </c>
      <c r="V721" s="46">
        <f t="shared" si="136"/>
        <v>1</v>
      </c>
      <c r="W721" s="46">
        <f t="shared" si="142"/>
        <v>1</v>
      </c>
      <c r="X721" s="46">
        <f t="shared" si="137"/>
        <v>1</v>
      </c>
      <c r="Y721" s="47">
        <f>'Detailed Results'!M721</f>
        <v>21</v>
      </c>
      <c r="Z721" s="47">
        <f>'Detailed Results'!N721</f>
        <v>21</v>
      </c>
      <c r="AA721" s="48">
        <f t="shared" si="138"/>
        <v>1</v>
      </c>
      <c r="AB721" s="48">
        <f t="shared" si="143"/>
        <v>1.05</v>
      </c>
      <c r="AC721" s="48">
        <f t="shared" si="139"/>
        <v>1.024390243902439</v>
      </c>
    </row>
    <row r="722" spans="1:29" ht="15" customHeight="1" thickBot="1" x14ac:dyDescent="0.4">
      <c r="A722" s="185"/>
      <c r="B722" s="10" t="s">
        <v>15</v>
      </c>
      <c r="C722" s="11" t="s">
        <v>20</v>
      </c>
      <c r="D722" s="11">
        <v>2</v>
      </c>
      <c r="E722" s="10" t="s">
        <v>17</v>
      </c>
      <c r="F722" s="40">
        <f>'GT Input'!C17</f>
        <v>9</v>
      </c>
      <c r="G722" s="40">
        <f>'GT Input'!D17</f>
        <v>20</v>
      </c>
      <c r="H722" s="40">
        <f>'GT Input'!E17</f>
        <v>9</v>
      </c>
      <c r="I722" s="40">
        <f>'GT Input'!F17</f>
        <v>20</v>
      </c>
      <c r="J722" s="41">
        <f>'Detailed Results'!G722</f>
        <v>7</v>
      </c>
      <c r="K722" s="41">
        <f>'Detailed Results'!H722</f>
        <v>7</v>
      </c>
      <c r="L722" s="42">
        <f t="shared" si="132"/>
        <v>1</v>
      </c>
      <c r="M722" s="42">
        <f t="shared" si="140"/>
        <v>0.77777777777777779</v>
      </c>
      <c r="N722" s="42">
        <f t="shared" si="133"/>
        <v>0.87500000000000011</v>
      </c>
      <c r="O722" s="43">
        <f>'Detailed Results'!I722</f>
        <v>13</v>
      </c>
      <c r="P722" s="43">
        <f>'Detailed Results'!J722</f>
        <v>13</v>
      </c>
      <c r="Q722" s="44">
        <f t="shared" si="134"/>
        <v>1</v>
      </c>
      <c r="R722" s="44">
        <f t="shared" si="141"/>
        <v>0.65</v>
      </c>
      <c r="S722" s="44">
        <f t="shared" si="135"/>
        <v>0.78787878787878796</v>
      </c>
      <c r="T722" s="45">
        <f>'Detailed Results'!K722</f>
        <v>7</v>
      </c>
      <c r="U722" s="45">
        <f>'Detailed Results'!L722</f>
        <v>5</v>
      </c>
      <c r="V722" s="46">
        <f t="shared" si="136"/>
        <v>0.7142857142857143</v>
      </c>
      <c r="W722" s="46">
        <f t="shared" si="142"/>
        <v>0.55555555555555558</v>
      </c>
      <c r="X722" s="46">
        <f t="shared" si="137"/>
        <v>0.62500000000000011</v>
      </c>
      <c r="Y722" s="47">
        <f>'Detailed Results'!M722</f>
        <v>13</v>
      </c>
      <c r="Z722" s="47">
        <f>'Detailed Results'!N722</f>
        <v>6</v>
      </c>
      <c r="AA722" s="48">
        <f t="shared" si="138"/>
        <v>0.46153846153846156</v>
      </c>
      <c r="AB722" s="48">
        <f t="shared" si="143"/>
        <v>0.3</v>
      </c>
      <c r="AC722" s="48">
        <f t="shared" si="139"/>
        <v>0.3636363636363637</v>
      </c>
    </row>
    <row r="723" spans="1:29" ht="15" customHeight="1" thickBot="1" x14ac:dyDescent="0.4">
      <c r="A723" s="185"/>
      <c r="B723" s="10" t="s">
        <v>15</v>
      </c>
      <c r="C723" s="11" t="s">
        <v>20</v>
      </c>
      <c r="D723" s="11">
        <v>2</v>
      </c>
      <c r="E723" s="10" t="s">
        <v>109</v>
      </c>
      <c r="F723" s="40">
        <f>'GT Input'!C17</f>
        <v>9</v>
      </c>
      <c r="G723" s="40">
        <f>'GT Input'!D17</f>
        <v>20</v>
      </c>
      <c r="H723" s="40">
        <f>'GT Input'!E17</f>
        <v>9</v>
      </c>
      <c r="I723" s="40">
        <f>'GT Input'!F17</f>
        <v>20</v>
      </c>
      <c r="J723" s="41">
        <f>'Detailed Results'!G723</f>
        <v>9</v>
      </c>
      <c r="K723" s="41">
        <f>'Detailed Results'!H723</f>
        <v>9</v>
      </c>
      <c r="L723" s="42">
        <f t="shared" si="132"/>
        <v>1</v>
      </c>
      <c r="M723" s="42">
        <f t="shared" si="140"/>
        <v>1</v>
      </c>
      <c r="N723" s="42">
        <f t="shared" si="133"/>
        <v>1</v>
      </c>
      <c r="O723" s="43">
        <f>'Detailed Results'!I723</f>
        <v>21</v>
      </c>
      <c r="P723" s="43">
        <f>'Detailed Results'!J723</f>
        <v>21</v>
      </c>
      <c r="Q723" s="44">
        <f t="shared" si="134"/>
        <v>1</v>
      </c>
      <c r="R723" s="44">
        <f t="shared" si="141"/>
        <v>1.05</v>
      </c>
      <c r="S723" s="44">
        <f t="shared" si="135"/>
        <v>1.024390243902439</v>
      </c>
      <c r="T723" s="45">
        <f>'Detailed Results'!K723</f>
        <v>9</v>
      </c>
      <c r="U723" s="45">
        <f>'Detailed Results'!L723</f>
        <v>9</v>
      </c>
      <c r="V723" s="46">
        <f t="shared" si="136"/>
        <v>1</v>
      </c>
      <c r="W723" s="46">
        <f t="shared" si="142"/>
        <v>1</v>
      </c>
      <c r="X723" s="46">
        <f t="shared" si="137"/>
        <v>1</v>
      </c>
      <c r="Y723" s="47">
        <f>'Detailed Results'!M723</f>
        <v>21</v>
      </c>
      <c r="Z723" s="47">
        <f>'Detailed Results'!N723</f>
        <v>21</v>
      </c>
      <c r="AA723" s="48">
        <f t="shared" si="138"/>
        <v>1</v>
      </c>
      <c r="AB723" s="48">
        <f t="shared" si="143"/>
        <v>1.05</v>
      </c>
      <c r="AC723" s="48">
        <f t="shared" si="139"/>
        <v>1.024390243902439</v>
      </c>
    </row>
    <row r="724" spans="1:29" ht="15" customHeight="1" thickBot="1" x14ac:dyDescent="0.4">
      <c r="A724" s="185"/>
      <c r="B724" s="7" t="s">
        <v>15</v>
      </c>
      <c r="C724" s="8" t="s">
        <v>20</v>
      </c>
      <c r="D724" s="8">
        <v>3</v>
      </c>
      <c r="E724" s="7" t="s">
        <v>17</v>
      </c>
      <c r="F724" s="40">
        <f>'GT Input'!C17</f>
        <v>9</v>
      </c>
      <c r="G724" s="40">
        <f>'GT Input'!D17</f>
        <v>20</v>
      </c>
      <c r="H724" s="40">
        <f>'GT Input'!E17</f>
        <v>9</v>
      </c>
      <c r="I724" s="40">
        <f>'GT Input'!F17</f>
        <v>20</v>
      </c>
      <c r="J724" s="41">
        <f>'Detailed Results'!G724</f>
        <v>7</v>
      </c>
      <c r="K724" s="41">
        <f>'Detailed Results'!H724</f>
        <v>7</v>
      </c>
      <c r="L724" s="42">
        <f t="shared" si="132"/>
        <v>1</v>
      </c>
      <c r="M724" s="42">
        <f t="shared" si="140"/>
        <v>0.77777777777777779</v>
      </c>
      <c r="N724" s="42">
        <f t="shared" si="133"/>
        <v>0.87500000000000011</v>
      </c>
      <c r="O724" s="43">
        <f>'Detailed Results'!I724</f>
        <v>13</v>
      </c>
      <c r="P724" s="43">
        <f>'Detailed Results'!J724</f>
        <v>13</v>
      </c>
      <c r="Q724" s="44">
        <f t="shared" si="134"/>
        <v>1</v>
      </c>
      <c r="R724" s="44">
        <f t="shared" si="141"/>
        <v>0.65</v>
      </c>
      <c r="S724" s="44">
        <f t="shared" si="135"/>
        <v>0.78787878787878796</v>
      </c>
      <c r="T724" s="45">
        <f>'Detailed Results'!K724</f>
        <v>7</v>
      </c>
      <c r="U724" s="45">
        <f>'Detailed Results'!L724</f>
        <v>5</v>
      </c>
      <c r="V724" s="46">
        <f t="shared" si="136"/>
        <v>0.7142857142857143</v>
      </c>
      <c r="W724" s="46">
        <f t="shared" si="142"/>
        <v>0.55555555555555558</v>
      </c>
      <c r="X724" s="46">
        <f t="shared" si="137"/>
        <v>0.62500000000000011</v>
      </c>
      <c r="Y724" s="47">
        <f>'Detailed Results'!M724</f>
        <v>13</v>
      </c>
      <c r="Z724" s="47">
        <f>'Detailed Results'!N724</f>
        <v>6</v>
      </c>
      <c r="AA724" s="48">
        <f t="shared" si="138"/>
        <v>0.46153846153846156</v>
      </c>
      <c r="AB724" s="48">
        <f t="shared" si="143"/>
        <v>0.3</v>
      </c>
      <c r="AC724" s="48">
        <f t="shared" si="139"/>
        <v>0.3636363636363637</v>
      </c>
    </row>
    <row r="725" spans="1:29" ht="15" customHeight="1" thickBot="1" x14ac:dyDescent="0.4">
      <c r="A725" s="185"/>
      <c r="B725" s="7" t="s">
        <v>15</v>
      </c>
      <c r="C725" s="8" t="s">
        <v>20</v>
      </c>
      <c r="D725" s="8">
        <v>3</v>
      </c>
      <c r="E725" s="7" t="s">
        <v>109</v>
      </c>
      <c r="F725" s="40">
        <f>'GT Input'!C17</f>
        <v>9</v>
      </c>
      <c r="G725" s="40">
        <f>'GT Input'!D17</f>
        <v>20</v>
      </c>
      <c r="H725" s="40">
        <f>'GT Input'!E17</f>
        <v>9</v>
      </c>
      <c r="I725" s="40">
        <f>'GT Input'!F17</f>
        <v>20</v>
      </c>
      <c r="J725" s="41">
        <f>'Detailed Results'!G725</f>
        <v>7</v>
      </c>
      <c r="K725" s="41">
        <f>'Detailed Results'!H725</f>
        <v>7</v>
      </c>
      <c r="L725" s="42">
        <f t="shared" si="132"/>
        <v>1</v>
      </c>
      <c r="M725" s="42">
        <f t="shared" si="140"/>
        <v>0.77777777777777779</v>
      </c>
      <c r="N725" s="42">
        <f t="shared" si="133"/>
        <v>0.87500000000000011</v>
      </c>
      <c r="O725" s="43">
        <f>'Detailed Results'!I725</f>
        <v>13</v>
      </c>
      <c r="P725" s="43">
        <f>'Detailed Results'!J725</f>
        <v>13</v>
      </c>
      <c r="Q725" s="44">
        <f t="shared" si="134"/>
        <v>1</v>
      </c>
      <c r="R725" s="44">
        <f t="shared" si="141"/>
        <v>0.65</v>
      </c>
      <c r="S725" s="44">
        <f t="shared" si="135"/>
        <v>0.78787878787878796</v>
      </c>
      <c r="T725" s="45">
        <f>'Detailed Results'!K725</f>
        <v>7</v>
      </c>
      <c r="U725" s="45">
        <f>'Detailed Results'!L725</f>
        <v>5</v>
      </c>
      <c r="V725" s="46">
        <f t="shared" si="136"/>
        <v>0.7142857142857143</v>
      </c>
      <c r="W725" s="46">
        <f t="shared" si="142"/>
        <v>0.55555555555555558</v>
      </c>
      <c r="X725" s="46">
        <f t="shared" si="137"/>
        <v>0.62500000000000011</v>
      </c>
      <c r="Y725" s="47">
        <f>'Detailed Results'!M725</f>
        <v>13</v>
      </c>
      <c r="Z725" s="47">
        <f>'Detailed Results'!N725</f>
        <v>6</v>
      </c>
      <c r="AA725" s="48">
        <f t="shared" si="138"/>
        <v>0.46153846153846156</v>
      </c>
      <c r="AB725" s="48">
        <f t="shared" si="143"/>
        <v>0.3</v>
      </c>
      <c r="AC725" s="48">
        <f t="shared" si="139"/>
        <v>0.3636363636363637</v>
      </c>
    </row>
    <row r="726" spans="1:29" ht="15" customHeight="1" thickBot="1" x14ac:dyDescent="0.4">
      <c r="A726" s="185"/>
      <c r="B726" s="12" t="s">
        <v>21</v>
      </c>
      <c r="C726" s="13" t="s">
        <v>16</v>
      </c>
      <c r="D726" s="13">
        <v>1</v>
      </c>
      <c r="E726" s="12" t="s">
        <v>17</v>
      </c>
      <c r="F726" s="40">
        <f>'GT Input'!C17</f>
        <v>9</v>
      </c>
      <c r="G726" s="40">
        <f>'GT Input'!D17</f>
        <v>20</v>
      </c>
      <c r="H726" s="40">
        <f>'GT Input'!E17</f>
        <v>9</v>
      </c>
      <c r="I726" s="40">
        <f>'GT Input'!F17</f>
        <v>20</v>
      </c>
      <c r="J726" s="41">
        <f>'Detailed Results'!G726</f>
        <v>7</v>
      </c>
      <c r="K726" s="41">
        <f>'Detailed Results'!H726</f>
        <v>7</v>
      </c>
      <c r="L726" s="42">
        <f t="shared" si="132"/>
        <v>1</v>
      </c>
      <c r="M726" s="42">
        <f t="shared" si="140"/>
        <v>0.77777777777777779</v>
      </c>
      <c r="N726" s="42">
        <f t="shared" si="133"/>
        <v>0.87500000000000011</v>
      </c>
      <c r="O726" s="43">
        <f>'Detailed Results'!I726</f>
        <v>13</v>
      </c>
      <c r="P726" s="43">
        <f>'Detailed Results'!J726</f>
        <v>13</v>
      </c>
      <c r="Q726" s="44">
        <f t="shared" si="134"/>
        <v>1</v>
      </c>
      <c r="R726" s="44">
        <f t="shared" si="141"/>
        <v>0.65</v>
      </c>
      <c r="S726" s="44">
        <f t="shared" si="135"/>
        <v>0.78787878787878796</v>
      </c>
      <c r="T726" s="45">
        <f>'Detailed Results'!K726</f>
        <v>7</v>
      </c>
      <c r="U726" s="45">
        <f>'Detailed Results'!L726</f>
        <v>5</v>
      </c>
      <c r="V726" s="46">
        <f t="shared" si="136"/>
        <v>0.7142857142857143</v>
      </c>
      <c r="W726" s="46">
        <f t="shared" si="142"/>
        <v>0.55555555555555558</v>
      </c>
      <c r="X726" s="46">
        <f t="shared" si="137"/>
        <v>0.62500000000000011</v>
      </c>
      <c r="Y726" s="47">
        <f>'Detailed Results'!M726</f>
        <v>13</v>
      </c>
      <c r="Z726" s="47">
        <f>'Detailed Results'!N726</f>
        <v>6</v>
      </c>
      <c r="AA726" s="48">
        <f t="shared" si="138"/>
        <v>0.46153846153846156</v>
      </c>
      <c r="AB726" s="48">
        <f t="shared" si="143"/>
        <v>0.3</v>
      </c>
      <c r="AC726" s="48">
        <f t="shared" si="139"/>
        <v>0.3636363636363637</v>
      </c>
    </row>
    <row r="727" spans="1:29" ht="15" customHeight="1" thickBot="1" x14ac:dyDescent="0.4">
      <c r="A727" s="185"/>
      <c r="B727" s="12" t="s">
        <v>21</v>
      </c>
      <c r="C727" s="13" t="s">
        <v>16</v>
      </c>
      <c r="D727" s="13">
        <v>1</v>
      </c>
      <c r="E727" s="12" t="s">
        <v>109</v>
      </c>
      <c r="F727" s="40">
        <f>'GT Input'!C17</f>
        <v>9</v>
      </c>
      <c r="G727" s="40">
        <f>'GT Input'!D17</f>
        <v>20</v>
      </c>
      <c r="H727" s="40">
        <f>'GT Input'!E17</f>
        <v>9</v>
      </c>
      <c r="I727" s="40">
        <f>'GT Input'!F17</f>
        <v>20</v>
      </c>
      <c r="J727" s="41">
        <f>'Detailed Results'!G727</f>
        <v>7</v>
      </c>
      <c r="K727" s="41">
        <f>'Detailed Results'!H727</f>
        <v>7</v>
      </c>
      <c r="L727" s="42">
        <f t="shared" si="132"/>
        <v>1</v>
      </c>
      <c r="M727" s="42">
        <f t="shared" si="140"/>
        <v>0.77777777777777779</v>
      </c>
      <c r="N727" s="42">
        <f t="shared" si="133"/>
        <v>0.87500000000000011</v>
      </c>
      <c r="O727" s="43">
        <f>'Detailed Results'!I727</f>
        <v>12</v>
      </c>
      <c r="P727" s="43">
        <f>'Detailed Results'!J727</f>
        <v>12</v>
      </c>
      <c r="Q727" s="44">
        <f t="shared" si="134"/>
        <v>1</v>
      </c>
      <c r="R727" s="44">
        <f t="shared" si="141"/>
        <v>0.6</v>
      </c>
      <c r="S727" s="44">
        <f t="shared" si="135"/>
        <v>0.74999999999999989</v>
      </c>
      <c r="T727" s="45">
        <f>'Detailed Results'!K727</f>
        <v>7</v>
      </c>
      <c r="U727" s="45">
        <f>'Detailed Results'!L727</f>
        <v>5</v>
      </c>
      <c r="V727" s="46">
        <f t="shared" si="136"/>
        <v>0.7142857142857143</v>
      </c>
      <c r="W727" s="46">
        <f t="shared" si="142"/>
        <v>0.55555555555555558</v>
      </c>
      <c r="X727" s="46">
        <f t="shared" si="137"/>
        <v>0.62500000000000011</v>
      </c>
      <c r="Y727" s="47">
        <f>'Detailed Results'!M727</f>
        <v>12</v>
      </c>
      <c r="Z727" s="47">
        <f>'Detailed Results'!N727</f>
        <v>6</v>
      </c>
      <c r="AA727" s="48">
        <f t="shared" si="138"/>
        <v>0.5</v>
      </c>
      <c r="AB727" s="48">
        <f t="shared" si="143"/>
        <v>0.3</v>
      </c>
      <c r="AC727" s="48">
        <f t="shared" si="139"/>
        <v>0.37499999999999994</v>
      </c>
    </row>
    <row r="728" spans="1:29" ht="15" customHeight="1" thickBot="1" x14ac:dyDescent="0.4">
      <c r="A728" s="185"/>
      <c r="B728" s="14" t="s">
        <v>21</v>
      </c>
      <c r="C728" s="15" t="s">
        <v>16</v>
      </c>
      <c r="D728" s="15">
        <v>2</v>
      </c>
      <c r="E728" s="14" t="s">
        <v>17</v>
      </c>
      <c r="F728" s="40">
        <f>'GT Input'!C17</f>
        <v>9</v>
      </c>
      <c r="G728" s="40">
        <f>'GT Input'!D17</f>
        <v>20</v>
      </c>
      <c r="H728" s="40">
        <f>'GT Input'!E17</f>
        <v>9</v>
      </c>
      <c r="I728" s="40">
        <f>'GT Input'!F17</f>
        <v>20</v>
      </c>
      <c r="J728" s="41">
        <f>'Detailed Results'!G728</f>
        <v>7</v>
      </c>
      <c r="K728" s="41">
        <f>'Detailed Results'!H728</f>
        <v>4</v>
      </c>
      <c r="L728" s="42">
        <f t="shared" si="132"/>
        <v>0.5714285714285714</v>
      </c>
      <c r="M728" s="42">
        <f t="shared" si="140"/>
        <v>0.44444444444444442</v>
      </c>
      <c r="N728" s="42">
        <f t="shared" si="133"/>
        <v>0.5</v>
      </c>
      <c r="O728" s="43">
        <f>'Detailed Results'!I728</f>
        <v>13</v>
      </c>
      <c r="P728" s="43">
        <f>'Detailed Results'!J728</f>
        <v>13</v>
      </c>
      <c r="Q728" s="44">
        <f t="shared" si="134"/>
        <v>1</v>
      </c>
      <c r="R728" s="44">
        <f t="shared" si="141"/>
        <v>0.65</v>
      </c>
      <c r="S728" s="44">
        <f t="shared" si="135"/>
        <v>0.78787878787878796</v>
      </c>
      <c r="T728" s="45">
        <f>'Detailed Results'!K728</f>
        <v>7</v>
      </c>
      <c r="U728" s="45">
        <f>'Detailed Results'!L728</f>
        <v>4</v>
      </c>
      <c r="V728" s="46">
        <f t="shared" si="136"/>
        <v>0.5714285714285714</v>
      </c>
      <c r="W728" s="46">
        <f t="shared" si="142"/>
        <v>0.44444444444444442</v>
      </c>
      <c r="X728" s="46">
        <f t="shared" si="137"/>
        <v>0.5</v>
      </c>
      <c r="Y728" s="47">
        <f>'Detailed Results'!M728</f>
        <v>13</v>
      </c>
      <c r="Z728" s="47">
        <f>'Detailed Results'!N728</f>
        <v>6</v>
      </c>
      <c r="AA728" s="48">
        <f t="shared" si="138"/>
        <v>0.46153846153846156</v>
      </c>
      <c r="AB728" s="48">
        <f t="shared" si="143"/>
        <v>0.3</v>
      </c>
      <c r="AC728" s="48">
        <f t="shared" si="139"/>
        <v>0.3636363636363637</v>
      </c>
    </row>
    <row r="729" spans="1:29" ht="15" customHeight="1" thickBot="1" x14ac:dyDescent="0.4">
      <c r="A729" s="185"/>
      <c r="B729" s="14" t="s">
        <v>21</v>
      </c>
      <c r="C729" s="15" t="s">
        <v>16</v>
      </c>
      <c r="D729" s="15">
        <v>2</v>
      </c>
      <c r="E729" s="14" t="s">
        <v>109</v>
      </c>
      <c r="F729" s="40">
        <f>'GT Input'!C17</f>
        <v>9</v>
      </c>
      <c r="G729" s="40">
        <f>'GT Input'!D17</f>
        <v>20</v>
      </c>
      <c r="H729" s="40">
        <f>'GT Input'!E17</f>
        <v>9</v>
      </c>
      <c r="I729" s="40">
        <f>'GT Input'!F17</f>
        <v>20</v>
      </c>
      <c r="J729" s="41">
        <f>'Detailed Results'!G729</f>
        <v>7</v>
      </c>
      <c r="K729" s="41">
        <f>'Detailed Results'!H729</f>
        <v>7</v>
      </c>
      <c r="L729" s="42">
        <f t="shared" si="132"/>
        <v>1</v>
      </c>
      <c r="M729" s="42">
        <f t="shared" si="140"/>
        <v>0.77777777777777779</v>
      </c>
      <c r="N729" s="42">
        <f t="shared" si="133"/>
        <v>0.87500000000000011</v>
      </c>
      <c r="O729" s="43">
        <f>'Detailed Results'!I729</f>
        <v>14</v>
      </c>
      <c r="P729" s="43">
        <f>'Detailed Results'!J729</f>
        <v>14</v>
      </c>
      <c r="Q729" s="44">
        <f t="shared" si="134"/>
        <v>1</v>
      </c>
      <c r="R729" s="44">
        <f t="shared" si="141"/>
        <v>0.7</v>
      </c>
      <c r="S729" s="44">
        <f t="shared" si="135"/>
        <v>0.82352941176470584</v>
      </c>
      <c r="T729" s="45">
        <f>'Detailed Results'!K729</f>
        <v>7</v>
      </c>
      <c r="U729" s="45">
        <f>'Detailed Results'!L729</f>
        <v>5</v>
      </c>
      <c r="V729" s="46">
        <f t="shared" si="136"/>
        <v>0.7142857142857143</v>
      </c>
      <c r="W729" s="46">
        <f t="shared" si="142"/>
        <v>0.55555555555555558</v>
      </c>
      <c r="X729" s="46">
        <f t="shared" si="137"/>
        <v>0.62500000000000011</v>
      </c>
      <c r="Y729" s="47">
        <f>'Detailed Results'!M729</f>
        <v>14</v>
      </c>
      <c r="Z729" s="47">
        <f>'Detailed Results'!N729</f>
        <v>6</v>
      </c>
      <c r="AA729" s="48">
        <f t="shared" si="138"/>
        <v>0.42857142857142855</v>
      </c>
      <c r="AB729" s="48">
        <f t="shared" si="143"/>
        <v>0.3</v>
      </c>
      <c r="AC729" s="48">
        <f t="shared" si="139"/>
        <v>0.3529411764705882</v>
      </c>
    </row>
    <row r="730" spans="1:29" ht="15" customHeight="1" thickBot="1" x14ac:dyDescent="0.4">
      <c r="A730" s="185"/>
      <c r="B730" s="12" t="s">
        <v>21</v>
      </c>
      <c r="C730" s="13" t="s">
        <v>16</v>
      </c>
      <c r="D730" s="13">
        <v>3</v>
      </c>
      <c r="E730" s="12" t="s">
        <v>17</v>
      </c>
      <c r="F730" s="40">
        <f>'GT Input'!C17</f>
        <v>9</v>
      </c>
      <c r="G730" s="40">
        <f>'GT Input'!D17</f>
        <v>20</v>
      </c>
      <c r="H730" s="40">
        <f>'GT Input'!E17</f>
        <v>9</v>
      </c>
      <c r="I730" s="40">
        <f>'GT Input'!F17</f>
        <v>20</v>
      </c>
      <c r="J730" s="41">
        <f>'Detailed Results'!G730</f>
        <v>7</v>
      </c>
      <c r="K730" s="41">
        <f>'Detailed Results'!H730</f>
        <v>7</v>
      </c>
      <c r="L730" s="42">
        <f t="shared" si="132"/>
        <v>1</v>
      </c>
      <c r="M730" s="42">
        <f t="shared" si="140"/>
        <v>0.77777777777777779</v>
      </c>
      <c r="N730" s="42">
        <f t="shared" si="133"/>
        <v>0.87500000000000011</v>
      </c>
      <c r="O730" s="43">
        <f>'Detailed Results'!I730</f>
        <v>13</v>
      </c>
      <c r="P730" s="43">
        <f>'Detailed Results'!J730</f>
        <v>13</v>
      </c>
      <c r="Q730" s="44">
        <f t="shared" si="134"/>
        <v>1</v>
      </c>
      <c r="R730" s="44">
        <f t="shared" si="141"/>
        <v>0.65</v>
      </c>
      <c r="S730" s="44">
        <f t="shared" si="135"/>
        <v>0.78787878787878796</v>
      </c>
      <c r="T730" s="45">
        <f>'Detailed Results'!K730</f>
        <v>7</v>
      </c>
      <c r="U730" s="45">
        <f>'Detailed Results'!L730</f>
        <v>5</v>
      </c>
      <c r="V730" s="46">
        <f t="shared" si="136"/>
        <v>0.7142857142857143</v>
      </c>
      <c r="W730" s="46">
        <f t="shared" si="142"/>
        <v>0.55555555555555558</v>
      </c>
      <c r="X730" s="46">
        <f t="shared" si="137"/>
        <v>0.62500000000000011</v>
      </c>
      <c r="Y730" s="47">
        <f>'Detailed Results'!M730</f>
        <v>13</v>
      </c>
      <c r="Z730" s="47">
        <f>'Detailed Results'!N730</f>
        <v>6</v>
      </c>
      <c r="AA730" s="48">
        <f t="shared" si="138"/>
        <v>0.46153846153846156</v>
      </c>
      <c r="AB730" s="48">
        <f t="shared" si="143"/>
        <v>0.3</v>
      </c>
      <c r="AC730" s="48">
        <f t="shared" si="139"/>
        <v>0.3636363636363637</v>
      </c>
    </row>
    <row r="731" spans="1:29" ht="15" customHeight="1" thickBot="1" x14ac:dyDescent="0.4">
      <c r="A731" s="185"/>
      <c r="B731" s="12" t="s">
        <v>21</v>
      </c>
      <c r="C731" s="13" t="s">
        <v>16</v>
      </c>
      <c r="D731" s="13">
        <v>3</v>
      </c>
      <c r="E731" s="12" t="s">
        <v>109</v>
      </c>
      <c r="F731" s="40">
        <f>'GT Input'!C17</f>
        <v>9</v>
      </c>
      <c r="G731" s="40">
        <f>'GT Input'!D17</f>
        <v>20</v>
      </c>
      <c r="H731" s="40">
        <f>'GT Input'!E17</f>
        <v>9</v>
      </c>
      <c r="I731" s="40">
        <f>'GT Input'!F17</f>
        <v>20</v>
      </c>
      <c r="J731" s="41">
        <f>'Detailed Results'!G731</f>
        <v>7</v>
      </c>
      <c r="K731" s="41">
        <f>'Detailed Results'!H731</f>
        <v>7</v>
      </c>
      <c r="L731" s="42">
        <f t="shared" si="132"/>
        <v>1</v>
      </c>
      <c r="M731" s="42">
        <f t="shared" si="140"/>
        <v>0.77777777777777779</v>
      </c>
      <c r="N731" s="42">
        <f t="shared" si="133"/>
        <v>0.87500000000000011</v>
      </c>
      <c r="O731" s="43">
        <f>'Detailed Results'!I731</f>
        <v>12</v>
      </c>
      <c r="P731" s="43">
        <f>'Detailed Results'!J731</f>
        <v>12</v>
      </c>
      <c r="Q731" s="44">
        <f t="shared" si="134"/>
        <v>1</v>
      </c>
      <c r="R731" s="44">
        <f t="shared" si="141"/>
        <v>0.6</v>
      </c>
      <c r="S731" s="44">
        <f t="shared" si="135"/>
        <v>0.74999999999999989</v>
      </c>
      <c r="T731" s="45">
        <f>'Detailed Results'!K731</f>
        <v>7</v>
      </c>
      <c r="U731" s="45">
        <f>'Detailed Results'!L731</f>
        <v>5</v>
      </c>
      <c r="V731" s="46">
        <f t="shared" si="136"/>
        <v>0.7142857142857143</v>
      </c>
      <c r="W731" s="46">
        <f t="shared" si="142"/>
        <v>0.55555555555555558</v>
      </c>
      <c r="X731" s="46">
        <f t="shared" si="137"/>
        <v>0.62500000000000011</v>
      </c>
      <c r="Y731" s="47">
        <f>'Detailed Results'!M731</f>
        <v>12</v>
      </c>
      <c r="Z731" s="47">
        <f>'Detailed Results'!N731</f>
        <v>6</v>
      </c>
      <c r="AA731" s="48">
        <f t="shared" si="138"/>
        <v>0.5</v>
      </c>
      <c r="AB731" s="48">
        <f t="shared" si="143"/>
        <v>0.3</v>
      </c>
      <c r="AC731" s="48">
        <f t="shared" si="139"/>
        <v>0.37499999999999994</v>
      </c>
    </row>
    <row r="732" spans="1:29" ht="15" customHeight="1" thickBot="1" x14ac:dyDescent="0.4">
      <c r="A732" s="185"/>
      <c r="B732" s="14" t="s">
        <v>21</v>
      </c>
      <c r="C732" s="15" t="s">
        <v>19</v>
      </c>
      <c r="D732" s="15">
        <v>1</v>
      </c>
      <c r="E732" s="14" t="s">
        <v>17</v>
      </c>
      <c r="F732" s="40">
        <f>'GT Input'!C17</f>
        <v>9</v>
      </c>
      <c r="G732" s="40">
        <f>'GT Input'!D17</f>
        <v>20</v>
      </c>
      <c r="H732" s="40">
        <f>'GT Input'!E17</f>
        <v>9</v>
      </c>
      <c r="I732" s="40">
        <f>'GT Input'!F17</f>
        <v>20</v>
      </c>
      <c r="J732" s="41">
        <f>'Detailed Results'!G732</f>
        <v>7</v>
      </c>
      <c r="K732" s="41">
        <f>'Detailed Results'!H732</f>
        <v>7</v>
      </c>
      <c r="L732" s="42">
        <f t="shared" si="132"/>
        <v>1</v>
      </c>
      <c r="M732" s="42">
        <f t="shared" si="140"/>
        <v>0.77777777777777779</v>
      </c>
      <c r="N732" s="42">
        <f t="shared" si="133"/>
        <v>0.87500000000000011</v>
      </c>
      <c r="O732" s="43">
        <f>'Detailed Results'!I732</f>
        <v>13</v>
      </c>
      <c r="P732" s="43">
        <f>'Detailed Results'!J732</f>
        <v>13</v>
      </c>
      <c r="Q732" s="44">
        <f t="shared" si="134"/>
        <v>1</v>
      </c>
      <c r="R732" s="44">
        <f t="shared" si="141"/>
        <v>0.65</v>
      </c>
      <c r="S732" s="44">
        <f t="shared" si="135"/>
        <v>0.78787878787878796</v>
      </c>
      <c r="T732" s="45">
        <f>'Detailed Results'!K732</f>
        <v>7</v>
      </c>
      <c r="U732" s="45">
        <f>'Detailed Results'!L732</f>
        <v>5</v>
      </c>
      <c r="V732" s="46">
        <f t="shared" si="136"/>
        <v>0.7142857142857143</v>
      </c>
      <c r="W732" s="46">
        <f t="shared" si="142"/>
        <v>0.55555555555555558</v>
      </c>
      <c r="X732" s="46">
        <f t="shared" si="137"/>
        <v>0.62500000000000011</v>
      </c>
      <c r="Y732" s="47">
        <f>'Detailed Results'!M732</f>
        <v>13</v>
      </c>
      <c r="Z732" s="47">
        <f>'Detailed Results'!N732</f>
        <v>6</v>
      </c>
      <c r="AA732" s="48">
        <f t="shared" si="138"/>
        <v>0.46153846153846156</v>
      </c>
      <c r="AB732" s="48">
        <f t="shared" si="143"/>
        <v>0.3</v>
      </c>
      <c r="AC732" s="48">
        <f t="shared" si="139"/>
        <v>0.3636363636363637</v>
      </c>
    </row>
    <row r="733" spans="1:29" ht="15" customHeight="1" thickBot="1" x14ac:dyDescent="0.4">
      <c r="A733" s="185"/>
      <c r="B733" s="14" t="s">
        <v>21</v>
      </c>
      <c r="C733" s="15" t="s">
        <v>19</v>
      </c>
      <c r="D733" s="15">
        <v>1</v>
      </c>
      <c r="E733" s="14" t="s">
        <v>109</v>
      </c>
      <c r="F733" s="40">
        <f>'GT Input'!C17</f>
        <v>9</v>
      </c>
      <c r="G733" s="40">
        <f>'GT Input'!D17</f>
        <v>20</v>
      </c>
      <c r="H733" s="40">
        <f>'GT Input'!E17</f>
        <v>9</v>
      </c>
      <c r="I733" s="40">
        <f>'GT Input'!F17</f>
        <v>20</v>
      </c>
      <c r="J733" s="41">
        <f>'Detailed Results'!G733</f>
        <v>7</v>
      </c>
      <c r="K733" s="41">
        <f>'Detailed Results'!H733</f>
        <v>7</v>
      </c>
      <c r="L733" s="42">
        <f t="shared" si="132"/>
        <v>1</v>
      </c>
      <c r="M733" s="42">
        <f t="shared" si="140"/>
        <v>0.77777777777777779</v>
      </c>
      <c r="N733" s="42">
        <f t="shared" si="133"/>
        <v>0.87500000000000011</v>
      </c>
      <c r="O733" s="43">
        <f>'Detailed Results'!I733</f>
        <v>12</v>
      </c>
      <c r="P733" s="43">
        <f>'Detailed Results'!J733</f>
        <v>12</v>
      </c>
      <c r="Q733" s="44">
        <f t="shared" si="134"/>
        <v>1</v>
      </c>
      <c r="R733" s="44">
        <f t="shared" si="141"/>
        <v>0.6</v>
      </c>
      <c r="S733" s="44">
        <f t="shared" si="135"/>
        <v>0.74999999999999989</v>
      </c>
      <c r="T733" s="45">
        <f>'Detailed Results'!K733</f>
        <v>7</v>
      </c>
      <c r="U733" s="45">
        <f>'Detailed Results'!L733</f>
        <v>5</v>
      </c>
      <c r="V733" s="46">
        <f t="shared" si="136"/>
        <v>0.7142857142857143</v>
      </c>
      <c r="W733" s="46">
        <f t="shared" si="142"/>
        <v>0.55555555555555558</v>
      </c>
      <c r="X733" s="46">
        <f t="shared" si="137"/>
        <v>0.62500000000000011</v>
      </c>
      <c r="Y733" s="47">
        <f>'Detailed Results'!M733</f>
        <v>12</v>
      </c>
      <c r="Z733" s="47">
        <f>'Detailed Results'!N733</f>
        <v>6</v>
      </c>
      <c r="AA733" s="48">
        <f t="shared" si="138"/>
        <v>0.5</v>
      </c>
      <c r="AB733" s="48">
        <f t="shared" si="143"/>
        <v>0.3</v>
      </c>
      <c r="AC733" s="48">
        <f t="shared" si="139"/>
        <v>0.37499999999999994</v>
      </c>
    </row>
    <row r="734" spans="1:29" ht="15" customHeight="1" thickBot="1" x14ac:dyDescent="0.4">
      <c r="A734" s="185"/>
      <c r="B734" s="12" t="s">
        <v>21</v>
      </c>
      <c r="C734" s="13" t="s">
        <v>19</v>
      </c>
      <c r="D734" s="13">
        <v>2</v>
      </c>
      <c r="E734" s="12" t="s">
        <v>17</v>
      </c>
      <c r="F734" s="40">
        <f>'GT Input'!C17</f>
        <v>9</v>
      </c>
      <c r="G734" s="40">
        <f>'GT Input'!D17</f>
        <v>20</v>
      </c>
      <c r="H734" s="40">
        <f>'GT Input'!E17</f>
        <v>9</v>
      </c>
      <c r="I734" s="40">
        <f>'GT Input'!F17</f>
        <v>20</v>
      </c>
      <c r="J734" s="41">
        <f>'Detailed Results'!G734</f>
        <v>7</v>
      </c>
      <c r="K734" s="41">
        <f>'Detailed Results'!H734</f>
        <v>4</v>
      </c>
      <c r="L734" s="42">
        <f t="shared" si="132"/>
        <v>0.5714285714285714</v>
      </c>
      <c r="M734" s="42">
        <f t="shared" si="140"/>
        <v>0.44444444444444442</v>
      </c>
      <c r="N734" s="42">
        <f t="shared" si="133"/>
        <v>0.5</v>
      </c>
      <c r="O734" s="43">
        <f>'Detailed Results'!I734</f>
        <v>13</v>
      </c>
      <c r="P734" s="43">
        <f>'Detailed Results'!J734</f>
        <v>13</v>
      </c>
      <c r="Q734" s="44">
        <f t="shared" si="134"/>
        <v>1</v>
      </c>
      <c r="R734" s="44">
        <f t="shared" si="141"/>
        <v>0.65</v>
      </c>
      <c r="S734" s="44">
        <f t="shared" si="135"/>
        <v>0.78787878787878796</v>
      </c>
      <c r="T734" s="45">
        <f>'Detailed Results'!K734</f>
        <v>7</v>
      </c>
      <c r="U734" s="45">
        <f>'Detailed Results'!L734</f>
        <v>4</v>
      </c>
      <c r="V734" s="46">
        <f t="shared" si="136"/>
        <v>0.5714285714285714</v>
      </c>
      <c r="W734" s="46">
        <f t="shared" si="142"/>
        <v>0.44444444444444442</v>
      </c>
      <c r="X734" s="46">
        <f t="shared" si="137"/>
        <v>0.5</v>
      </c>
      <c r="Y734" s="47">
        <f>'Detailed Results'!M734</f>
        <v>13</v>
      </c>
      <c r="Z734" s="47">
        <f>'Detailed Results'!N734</f>
        <v>6</v>
      </c>
      <c r="AA734" s="48">
        <f t="shared" si="138"/>
        <v>0.46153846153846156</v>
      </c>
      <c r="AB734" s="48">
        <f t="shared" si="143"/>
        <v>0.3</v>
      </c>
      <c r="AC734" s="48">
        <f t="shared" si="139"/>
        <v>0.3636363636363637</v>
      </c>
    </row>
    <row r="735" spans="1:29" ht="15" customHeight="1" thickBot="1" x14ac:dyDescent="0.4">
      <c r="A735" s="185"/>
      <c r="B735" s="12" t="s">
        <v>21</v>
      </c>
      <c r="C735" s="13" t="s">
        <v>19</v>
      </c>
      <c r="D735" s="13">
        <v>2</v>
      </c>
      <c r="E735" s="12" t="s">
        <v>109</v>
      </c>
      <c r="F735" s="40">
        <f>'GT Input'!C17</f>
        <v>9</v>
      </c>
      <c r="G735" s="40">
        <f>'GT Input'!D17</f>
        <v>20</v>
      </c>
      <c r="H735" s="40">
        <f>'GT Input'!E17</f>
        <v>9</v>
      </c>
      <c r="I735" s="40">
        <f>'GT Input'!F17</f>
        <v>20</v>
      </c>
      <c r="J735" s="41">
        <f>'Detailed Results'!G735</f>
        <v>7</v>
      </c>
      <c r="K735" s="41">
        <f>'Detailed Results'!H735</f>
        <v>7</v>
      </c>
      <c r="L735" s="42">
        <f t="shared" si="132"/>
        <v>1</v>
      </c>
      <c r="M735" s="42">
        <f t="shared" si="140"/>
        <v>0.77777777777777779</v>
      </c>
      <c r="N735" s="42">
        <f t="shared" si="133"/>
        <v>0.87500000000000011</v>
      </c>
      <c r="O735" s="43">
        <f>'Detailed Results'!I735</f>
        <v>12</v>
      </c>
      <c r="P735" s="43">
        <f>'Detailed Results'!J735</f>
        <v>12</v>
      </c>
      <c r="Q735" s="44">
        <f t="shared" si="134"/>
        <v>1</v>
      </c>
      <c r="R735" s="44">
        <f t="shared" si="141"/>
        <v>0.6</v>
      </c>
      <c r="S735" s="44">
        <f t="shared" si="135"/>
        <v>0.74999999999999989</v>
      </c>
      <c r="T735" s="45">
        <f>'Detailed Results'!K735</f>
        <v>7</v>
      </c>
      <c r="U735" s="45">
        <f>'Detailed Results'!L735</f>
        <v>5</v>
      </c>
      <c r="V735" s="46">
        <f t="shared" si="136"/>
        <v>0.7142857142857143</v>
      </c>
      <c r="W735" s="46">
        <f t="shared" si="142"/>
        <v>0.55555555555555558</v>
      </c>
      <c r="X735" s="46">
        <f t="shared" si="137"/>
        <v>0.62500000000000011</v>
      </c>
      <c r="Y735" s="47">
        <f>'Detailed Results'!M735</f>
        <v>12</v>
      </c>
      <c r="Z735" s="47">
        <f>'Detailed Results'!N735</f>
        <v>6</v>
      </c>
      <c r="AA735" s="48">
        <f t="shared" si="138"/>
        <v>0.5</v>
      </c>
      <c r="AB735" s="48">
        <f t="shared" si="143"/>
        <v>0.3</v>
      </c>
      <c r="AC735" s="48">
        <f t="shared" si="139"/>
        <v>0.37499999999999994</v>
      </c>
    </row>
    <row r="736" spans="1:29" ht="15" customHeight="1" thickBot="1" x14ac:dyDescent="0.4">
      <c r="A736" s="185"/>
      <c r="B736" s="14" t="s">
        <v>21</v>
      </c>
      <c r="C736" s="15" t="s">
        <v>19</v>
      </c>
      <c r="D736" s="15">
        <v>3</v>
      </c>
      <c r="E736" s="14" t="s">
        <v>17</v>
      </c>
      <c r="F736" s="40">
        <f>'GT Input'!C17</f>
        <v>9</v>
      </c>
      <c r="G736" s="40">
        <f>'GT Input'!D17</f>
        <v>20</v>
      </c>
      <c r="H736" s="40">
        <f>'GT Input'!E17</f>
        <v>9</v>
      </c>
      <c r="I736" s="40">
        <f>'GT Input'!F17</f>
        <v>20</v>
      </c>
      <c r="J736" s="41">
        <f>'Detailed Results'!G736</f>
        <v>7</v>
      </c>
      <c r="K736" s="41">
        <f>'Detailed Results'!H736</f>
        <v>7</v>
      </c>
      <c r="L736" s="42">
        <f t="shared" si="132"/>
        <v>1</v>
      </c>
      <c r="M736" s="42">
        <f t="shared" si="140"/>
        <v>0.77777777777777779</v>
      </c>
      <c r="N736" s="42">
        <f t="shared" si="133"/>
        <v>0.87500000000000011</v>
      </c>
      <c r="O736" s="43">
        <f>'Detailed Results'!I736</f>
        <v>13</v>
      </c>
      <c r="P736" s="43">
        <f>'Detailed Results'!J736</f>
        <v>13</v>
      </c>
      <c r="Q736" s="44">
        <f t="shared" si="134"/>
        <v>1</v>
      </c>
      <c r="R736" s="44">
        <f t="shared" si="141"/>
        <v>0.65</v>
      </c>
      <c r="S736" s="44">
        <f t="shared" si="135"/>
        <v>0.78787878787878796</v>
      </c>
      <c r="T736" s="45">
        <f>'Detailed Results'!K736</f>
        <v>7</v>
      </c>
      <c r="U736" s="45">
        <f>'Detailed Results'!L736</f>
        <v>5</v>
      </c>
      <c r="V736" s="46">
        <f t="shared" si="136"/>
        <v>0.7142857142857143</v>
      </c>
      <c r="W736" s="46">
        <f t="shared" si="142"/>
        <v>0.55555555555555558</v>
      </c>
      <c r="X736" s="46">
        <f t="shared" si="137"/>
        <v>0.62500000000000011</v>
      </c>
      <c r="Y736" s="47">
        <f>'Detailed Results'!M736</f>
        <v>13</v>
      </c>
      <c r="Z736" s="47">
        <f>'Detailed Results'!N736</f>
        <v>6</v>
      </c>
      <c r="AA736" s="48">
        <f t="shared" si="138"/>
        <v>0.46153846153846156</v>
      </c>
      <c r="AB736" s="48">
        <f t="shared" si="143"/>
        <v>0.3</v>
      </c>
      <c r="AC736" s="48">
        <f t="shared" si="139"/>
        <v>0.3636363636363637</v>
      </c>
    </row>
    <row r="737" spans="1:29" ht="15" customHeight="1" thickBot="1" x14ac:dyDescent="0.4">
      <c r="A737" s="185"/>
      <c r="B737" s="14" t="s">
        <v>21</v>
      </c>
      <c r="C737" s="15" t="s">
        <v>19</v>
      </c>
      <c r="D737" s="15">
        <v>3</v>
      </c>
      <c r="E737" s="14" t="s">
        <v>109</v>
      </c>
      <c r="F737" s="40">
        <f>'GT Input'!C17</f>
        <v>9</v>
      </c>
      <c r="G737" s="40">
        <f>'GT Input'!D17</f>
        <v>20</v>
      </c>
      <c r="H737" s="40">
        <f>'GT Input'!E17</f>
        <v>9</v>
      </c>
      <c r="I737" s="40">
        <f>'GT Input'!F17</f>
        <v>20</v>
      </c>
      <c r="J737" s="41">
        <f>'Detailed Results'!G737</f>
        <v>7</v>
      </c>
      <c r="K737" s="41">
        <f>'Detailed Results'!H737</f>
        <v>7</v>
      </c>
      <c r="L737" s="42">
        <f t="shared" si="132"/>
        <v>1</v>
      </c>
      <c r="M737" s="42">
        <f t="shared" si="140"/>
        <v>0.77777777777777779</v>
      </c>
      <c r="N737" s="42">
        <f t="shared" si="133"/>
        <v>0.87500000000000011</v>
      </c>
      <c r="O737" s="43">
        <f>'Detailed Results'!I737</f>
        <v>12</v>
      </c>
      <c r="P737" s="43">
        <f>'Detailed Results'!J737</f>
        <v>12</v>
      </c>
      <c r="Q737" s="44">
        <f t="shared" si="134"/>
        <v>1</v>
      </c>
      <c r="R737" s="44">
        <f t="shared" si="141"/>
        <v>0.6</v>
      </c>
      <c r="S737" s="44">
        <f t="shared" si="135"/>
        <v>0.74999999999999989</v>
      </c>
      <c r="T737" s="45">
        <f>'Detailed Results'!K737</f>
        <v>7</v>
      </c>
      <c r="U737" s="45">
        <f>'Detailed Results'!L737</f>
        <v>5</v>
      </c>
      <c r="V737" s="46">
        <f t="shared" si="136"/>
        <v>0.7142857142857143</v>
      </c>
      <c r="W737" s="46">
        <f t="shared" si="142"/>
        <v>0.55555555555555558</v>
      </c>
      <c r="X737" s="46">
        <f t="shared" si="137"/>
        <v>0.62500000000000011</v>
      </c>
      <c r="Y737" s="47">
        <f>'Detailed Results'!M737</f>
        <v>12</v>
      </c>
      <c r="Z737" s="47">
        <f>'Detailed Results'!N737</f>
        <v>6</v>
      </c>
      <c r="AA737" s="48">
        <f t="shared" si="138"/>
        <v>0.5</v>
      </c>
      <c r="AB737" s="48">
        <f t="shared" si="143"/>
        <v>0.3</v>
      </c>
      <c r="AC737" s="48">
        <f t="shared" si="139"/>
        <v>0.37499999999999994</v>
      </c>
    </row>
    <row r="738" spans="1:29" ht="15" customHeight="1" thickBot="1" x14ac:dyDescent="0.4">
      <c r="A738" s="185"/>
      <c r="B738" s="12" t="s">
        <v>21</v>
      </c>
      <c r="C738" s="13" t="s">
        <v>20</v>
      </c>
      <c r="D738" s="13">
        <v>1</v>
      </c>
      <c r="E738" s="12" t="s">
        <v>17</v>
      </c>
      <c r="F738" s="40">
        <f>'GT Input'!C17</f>
        <v>9</v>
      </c>
      <c r="G738" s="40">
        <f>'GT Input'!D17</f>
        <v>20</v>
      </c>
      <c r="H738" s="40">
        <f>'GT Input'!E17</f>
        <v>9</v>
      </c>
      <c r="I738" s="40">
        <f>'GT Input'!F17</f>
        <v>20</v>
      </c>
      <c r="J738" s="41">
        <f>'Detailed Results'!G738</f>
        <v>7</v>
      </c>
      <c r="K738" s="41">
        <f>'Detailed Results'!H738</f>
        <v>4</v>
      </c>
      <c r="L738" s="42">
        <f t="shared" si="132"/>
        <v>0.5714285714285714</v>
      </c>
      <c r="M738" s="42">
        <f t="shared" si="140"/>
        <v>0.44444444444444442</v>
      </c>
      <c r="N738" s="42">
        <f t="shared" si="133"/>
        <v>0.5</v>
      </c>
      <c r="O738" s="43">
        <f>'Detailed Results'!I738</f>
        <v>11</v>
      </c>
      <c r="P738" s="43">
        <f>'Detailed Results'!J738</f>
        <v>11</v>
      </c>
      <c r="Q738" s="44">
        <f t="shared" si="134"/>
        <v>1</v>
      </c>
      <c r="R738" s="44">
        <f t="shared" si="141"/>
        <v>0.55000000000000004</v>
      </c>
      <c r="S738" s="44">
        <f t="shared" si="135"/>
        <v>0.70967741935483875</v>
      </c>
      <c r="T738" s="45">
        <f>'Detailed Results'!K738</f>
        <v>7</v>
      </c>
      <c r="U738" s="45">
        <f>'Detailed Results'!L738</f>
        <v>4</v>
      </c>
      <c r="V738" s="46">
        <f t="shared" si="136"/>
        <v>0.5714285714285714</v>
      </c>
      <c r="W738" s="46">
        <f t="shared" si="142"/>
        <v>0.44444444444444442</v>
      </c>
      <c r="X738" s="46">
        <f t="shared" si="137"/>
        <v>0.5</v>
      </c>
      <c r="Y738" s="47">
        <f>'Detailed Results'!M738</f>
        <v>11</v>
      </c>
      <c r="Z738" s="47">
        <f>'Detailed Results'!N738</f>
        <v>6</v>
      </c>
      <c r="AA738" s="48">
        <f t="shared" si="138"/>
        <v>0.54545454545454541</v>
      </c>
      <c r="AB738" s="48">
        <f t="shared" si="143"/>
        <v>0.3</v>
      </c>
      <c r="AC738" s="48">
        <f t="shared" si="139"/>
        <v>0.38709677419354832</v>
      </c>
    </row>
    <row r="739" spans="1:29" ht="15" customHeight="1" thickBot="1" x14ac:dyDescent="0.4">
      <c r="A739" s="185"/>
      <c r="B739" s="12" t="s">
        <v>21</v>
      </c>
      <c r="C739" s="13" t="s">
        <v>20</v>
      </c>
      <c r="D739" s="13">
        <v>1</v>
      </c>
      <c r="E739" s="12" t="s">
        <v>109</v>
      </c>
      <c r="F739" s="40">
        <f>'GT Input'!C17</f>
        <v>9</v>
      </c>
      <c r="G739" s="40">
        <f>'GT Input'!D17</f>
        <v>20</v>
      </c>
      <c r="H739" s="40">
        <f>'GT Input'!E17</f>
        <v>9</v>
      </c>
      <c r="I739" s="40">
        <f>'GT Input'!F17</f>
        <v>20</v>
      </c>
      <c r="J739" s="41">
        <f>'Detailed Results'!G739</f>
        <v>7</v>
      </c>
      <c r="K739" s="41">
        <f>'Detailed Results'!H739</f>
        <v>7</v>
      </c>
      <c r="L739" s="42">
        <f t="shared" si="132"/>
        <v>1</v>
      </c>
      <c r="M739" s="42">
        <f t="shared" si="140"/>
        <v>0.77777777777777779</v>
      </c>
      <c r="N739" s="42">
        <f t="shared" si="133"/>
        <v>0.87500000000000011</v>
      </c>
      <c r="O739" s="43">
        <f>'Detailed Results'!I739</f>
        <v>13</v>
      </c>
      <c r="P739" s="43">
        <f>'Detailed Results'!J739</f>
        <v>13</v>
      </c>
      <c r="Q739" s="44">
        <f t="shared" si="134"/>
        <v>1</v>
      </c>
      <c r="R739" s="44">
        <f t="shared" si="141"/>
        <v>0.65</v>
      </c>
      <c r="S739" s="44">
        <f t="shared" si="135"/>
        <v>0.78787878787878796</v>
      </c>
      <c r="T739" s="45">
        <f>'Detailed Results'!K739</f>
        <v>7</v>
      </c>
      <c r="U739" s="45">
        <f>'Detailed Results'!L739</f>
        <v>5</v>
      </c>
      <c r="V739" s="46">
        <f t="shared" si="136"/>
        <v>0.7142857142857143</v>
      </c>
      <c r="W739" s="46">
        <f t="shared" si="142"/>
        <v>0.55555555555555558</v>
      </c>
      <c r="X739" s="46">
        <f t="shared" si="137"/>
        <v>0.62500000000000011</v>
      </c>
      <c r="Y739" s="47">
        <f>'Detailed Results'!M739</f>
        <v>13</v>
      </c>
      <c r="Z739" s="47">
        <f>'Detailed Results'!N739</f>
        <v>6</v>
      </c>
      <c r="AA739" s="48">
        <f t="shared" si="138"/>
        <v>0.46153846153846156</v>
      </c>
      <c r="AB739" s="48">
        <f t="shared" si="143"/>
        <v>0.3</v>
      </c>
      <c r="AC739" s="48">
        <f t="shared" si="139"/>
        <v>0.3636363636363637</v>
      </c>
    </row>
    <row r="740" spans="1:29" ht="15" customHeight="1" thickBot="1" x14ac:dyDescent="0.4">
      <c r="A740" s="185"/>
      <c r="B740" s="14" t="s">
        <v>21</v>
      </c>
      <c r="C740" s="15" t="s">
        <v>20</v>
      </c>
      <c r="D740" s="15">
        <v>2</v>
      </c>
      <c r="E740" s="14" t="s">
        <v>17</v>
      </c>
      <c r="F740" s="40">
        <f>'GT Input'!C17</f>
        <v>9</v>
      </c>
      <c r="G740" s="40">
        <f>'GT Input'!D17</f>
        <v>20</v>
      </c>
      <c r="H740" s="40">
        <f>'GT Input'!E17</f>
        <v>9</v>
      </c>
      <c r="I740" s="40">
        <f>'GT Input'!F17</f>
        <v>20</v>
      </c>
      <c r="J740" s="41">
        <f>'Detailed Results'!G740</f>
        <v>7</v>
      </c>
      <c r="K740" s="41">
        <f>'Detailed Results'!H740</f>
        <v>7</v>
      </c>
      <c r="L740" s="42">
        <f t="shared" si="132"/>
        <v>1</v>
      </c>
      <c r="M740" s="42">
        <f t="shared" si="140"/>
        <v>0.77777777777777779</v>
      </c>
      <c r="N740" s="42">
        <f t="shared" si="133"/>
        <v>0.87500000000000011</v>
      </c>
      <c r="O740" s="43">
        <f>'Detailed Results'!I740</f>
        <v>13</v>
      </c>
      <c r="P740" s="43">
        <f>'Detailed Results'!J740</f>
        <v>13</v>
      </c>
      <c r="Q740" s="44">
        <f t="shared" si="134"/>
        <v>1</v>
      </c>
      <c r="R740" s="44">
        <f t="shared" si="141"/>
        <v>0.65</v>
      </c>
      <c r="S740" s="44">
        <f t="shared" si="135"/>
        <v>0.78787878787878796</v>
      </c>
      <c r="T740" s="45">
        <f>'Detailed Results'!K740</f>
        <v>7</v>
      </c>
      <c r="U740" s="45">
        <f>'Detailed Results'!L740</f>
        <v>5</v>
      </c>
      <c r="V740" s="46">
        <f t="shared" si="136"/>
        <v>0.7142857142857143</v>
      </c>
      <c r="W740" s="46">
        <f t="shared" si="142"/>
        <v>0.55555555555555558</v>
      </c>
      <c r="X740" s="46">
        <f t="shared" si="137"/>
        <v>0.62500000000000011</v>
      </c>
      <c r="Y740" s="47">
        <f>'Detailed Results'!M740</f>
        <v>13</v>
      </c>
      <c r="Z740" s="47">
        <f>'Detailed Results'!N740</f>
        <v>6</v>
      </c>
      <c r="AA740" s="48">
        <f t="shared" si="138"/>
        <v>0.46153846153846156</v>
      </c>
      <c r="AB740" s="48">
        <f t="shared" si="143"/>
        <v>0.3</v>
      </c>
      <c r="AC740" s="48">
        <f t="shared" si="139"/>
        <v>0.3636363636363637</v>
      </c>
    </row>
    <row r="741" spans="1:29" ht="15" customHeight="1" thickBot="1" x14ac:dyDescent="0.4">
      <c r="A741" s="185"/>
      <c r="B741" s="14" t="s">
        <v>21</v>
      </c>
      <c r="C741" s="15" t="s">
        <v>20</v>
      </c>
      <c r="D741" s="15">
        <v>2</v>
      </c>
      <c r="E741" s="14" t="s">
        <v>109</v>
      </c>
      <c r="F741" s="40">
        <f>'GT Input'!C17</f>
        <v>9</v>
      </c>
      <c r="G741" s="40">
        <f>'GT Input'!D17</f>
        <v>20</v>
      </c>
      <c r="H741" s="40">
        <f>'GT Input'!E17</f>
        <v>9</v>
      </c>
      <c r="I741" s="40">
        <f>'GT Input'!F17</f>
        <v>20</v>
      </c>
      <c r="J741" s="41">
        <f>'Detailed Results'!G741</f>
        <v>7</v>
      </c>
      <c r="K741" s="41">
        <f>'Detailed Results'!H741</f>
        <v>7</v>
      </c>
      <c r="L741" s="42">
        <f t="shared" si="132"/>
        <v>1</v>
      </c>
      <c r="M741" s="42">
        <f t="shared" si="140"/>
        <v>0.77777777777777779</v>
      </c>
      <c r="N741" s="42">
        <f t="shared" si="133"/>
        <v>0.87500000000000011</v>
      </c>
      <c r="O741" s="43">
        <f>'Detailed Results'!I741</f>
        <v>12</v>
      </c>
      <c r="P741" s="43">
        <f>'Detailed Results'!J741</f>
        <v>12</v>
      </c>
      <c r="Q741" s="44">
        <f t="shared" si="134"/>
        <v>1</v>
      </c>
      <c r="R741" s="44">
        <f t="shared" si="141"/>
        <v>0.6</v>
      </c>
      <c r="S741" s="44">
        <f t="shared" si="135"/>
        <v>0.74999999999999989</v>
      </c>
      <c r="T741" s="45">
        <f>'Detailed Results'!K741</f>
        <v>7</v>
      </c>
      <c r="U741" s="45">
        <f>'Detailed Results'!L741</f>
        <v>5</v>
      </c>
      <c r="V741" s="46">
        <f t="shared" si="136"/>
        <v>0.7142857142857143</v>
      </c>
      <c r="W741" s="46">
        <f t="shared" si="142"/>
        <v>0.55555555555555558</v>
      </c>
      <c r="X741" s="46">
        <f t="shared" si="137"/>
        <v>0.62500000000000011</v>
      </c>
      <c r="Y741" s="47">
        <f>'Detailed Results'!M741</f>
        <v>12</v>
      </c>
      <c r="Z741" s="47">
        <f>'Detailed Results'!N741</f>
        <v>6</v>
      </c>
      <c r="AA741" s="48">
        <f t="shared" si="138"/>
        <v>0.5</v>
      </c>
      <c r="AB741" s="48">
        <f t="shared" si="143"/>
        <v>0.3</v>
      </c>
      <c r="AC741" s="48">
        <f t="shared" si="139"/>
        <v>0.37499999999999994</v>
      </c>
    </row>
    <row r="742" spans="1:29" ht="15" customHeight="1" thickBot="1" x14ac:dyDescent="0.4">
      <c r="A742" s="185"/>
      <c r="B742" s="12" t="s">
        <v>21</v>
      </c>
      <c r="C742" s="13" t="s">
        <v>20</v>
      </c>
      <c r="D742" s="13">
        <v>3</v>
      </c>
      <c r="E742" s="12" t="s">
        <v>17</v>
      </c>
      <c r="F742" s="40">
        <f>'GT Input'!C17</f>
        <v>9</v>
      </c>
      <c r="G742" s="40">
        <f>'GT Input'!D17</f>
        <v>20</v>
      </c>
      <c r="H742" s="40">
        <f>'GT Input'!E17</f>
        <v>9</v>
      </c>
      <c r="I742" s="40">
        <f>'GT Input'!F17</f>
        <v>20</v>
      </c>
      <c r="J742" s="41">
        <f>'Detailed Results'!G742</f>
        <v>7</v>
      </c>
      <c r="K742" s="41">
        <f>'Detailed Results'!H742</f>
        <v>7</v>
      </c>
      <c r="L742" s="42">
        <f t="shared" si="132"/>
        <v>1</v>
      </c>
      <c r="M742" s="42">
        <f t="shared" si="140"/>
        <v>0.77777777777777779</v>
      </c>
      <c r="N742" s="42">
        <f t="shared" si="133"/>
        <v>0.87500000000000011</v>
      </c>
      <c r="O742" s="43">
        <f>'Detailed Results'!I742</f>
        <v>13</v>
      </c>
      <c r="P742" s="43">
        <f>'Detailed Results'!J742</f>
        <v>13</v>
      </c>
      <c r="Q742" s="44">
        <f t="shared" si="134"/>
        <v>1</v>
      </c>
      <c r="R742" s="44">
        <f t="shared" si="141"/>
        <v>0.65</v>
      </c>
      <c r="S742" s="44">
        <f t="shared" si="135"/>
        <v>0.78787878787878796</v>
      </c>
      <c r="T742" s="45">
        <f>'Detailed Results'!K742</f>
        <v>7</v>
      </c>
      <c r="U742" s="45">
        <f>'Detailed Results'!L742</f>
        <v>5</v>
      </c>
      <c r="V742" s="46">
        <f t="shared" si="136"/>
        <v>0.7142857142857143</v>
      </c>
      <c r="W742" s="46">
        <f t="shared" si="142"/>
        <v>0.55555555555555558</v>
      </c>
      <c r="X742" s="46">
        <f t="shared" si="137"/>
        <v>0.62500000000000011</v>
      </c>
      <c r="Y742" s="47">
        <f>'Detailed Results'!M742</f>
        <v>13</v>
      </c>
      <c r="Z742" s="47">
        <f>'Detailed Results'!N742</f>
        <v>6</v>
      </c>
      <c r="AA742" s="48">
        <f t="shared" si="138"/>
        <v>0.46153846153846156</v>
      </c>
      <c r="AB742" s="48">
        <f t="shared" si="143"/>
        <v>0.3</v>
      </c>
      <c r="AC742" s="48">
        <f t="shared" si="139"/>
        <v>0.3636363636363637</v>
      </c>
    </row>
    <row r="743" spans="1:29" ht="15" customHeight="1" thickBot="1" x14ac:dyDescent="0.4">
      <c r="A743" s="185"/>
      <c r="B743" s="12" t="s">
        <v>21</v>
      </c>
      <c r="C743" s="13" t="s">
        <v>20</v>
      </c>
      <c r="D743" s="13">
        <v>3</v>
      </c>
      <c r="E743" s="12" t="s">
        <v>109</v>
      </c>
      <c r="F743" s="40">
        <f>'GT Input'!C17</f>
        <v>9</v>
      </c>
      <c r="G743" s="40">
        <f>'GT Input'!D17</f>
        <v>20</v>
      </c>
      <c r="H743" s="40">
        <f>'GT Input'!E17</f>
        <v>9</v>
      </c>
      <c r="I743" s="40">
        <f>'GT Input'!F17</f>
        <v>20</v>
      </c>
      <c r="J743" s="41">
        <f>'Detailed Results'!G743</f>
        <v>7</v>
      </c>
      <c r="K743" s="41">
        <f>'Detailed Results'!H743</f>
        <v>7</v>
      </c>
      <c r="L743" s="42">
        <f t="shared" si="132"/>
        <v>1</v>
      </c>
      <c r="M743" s="42">
        <f t="shared" si="140"/>
        <v>0.77777777777777779</v>
      </c>
      <c r="N743" s="42">
        <f t="shared" si="133"/>
        <v>0.87500000000000011</v>
      </c>
      <c r="O743" s="43">
        <f>'Detailed Results'!I743</f>
        <v>13</v>
      </c>
      <c r="P743" s="43">
        <f>'Detailed Results'!J743</f>
        <v>13</v>
      </c>
      <c r="Q743" s="44">
        <f t="shared" si="134"/>
        <v>1</v>
      </c>
      <c r="R743" s="44">
        <f t="shared" si="141"/>
        <v>0.65</v>
      </c>
      <c r="S743" s="44">
        <f t="shared" si="135"/>
        <v>0.78787878787878796</v>
      </c>
      <c r="T743" s="45">
        <f>'Detailed Results'!K743</f>
        <v>7</v>
      </c>
      <c r="U743" s="45">
        <f>'Detailed Results'!L743</f>
        <v>5</v>
      </c>
      <c r="V743" s="46">
        <f t="shared" si="136"/>
        <v>0.7142857142857143</v>
      </c>
      <c r="W743" s="46">
        <f t="shared" si="142"/>
        <v>0.55555555555555558</v>
      </c>
      <c r="X743" s="46">
        <f t="shared" si="137"/>
        <v>0.62500000000000011</v>
      </c>
      <c r="Y743" s="47">
        <f>'Detailed Results'!M743</f>
        <v>13</v>
      </c>
      <c r="Z743" s="47">
        <f>'Detailed Results'!N743</f>
        <v>6</v>
      </c>
      <c r="AA743" s="48">
        <f t="shared" si="138"/>
        <v>0.46153846153846156</v>
      </c>
      <c r="AB743" s="48">
        <f t="shared" si="143"/>
        <v>0.3</v>
      </c>
      <c r="AC743" s="48">
        <f t="shared" si="139"/>
        <v>0.3636363636363637</v>
      </c>
    </row>
    <row r="744" spans="1:29" ht="15" customHeight="1" thickBot="1" x14ac:dyDescent="0.4">
      <c r="A744" s="185"/>
      <c r="B744" s="16" t="s">
        <v>22</v>
      </c>
      <c r="C744" s="17" t="s">
        <v>16</v>
      </c>
      <c r="D744" s="17">
        <v>1</v>
      </c>
      <c r="E744" s="16" t="s">
        <v>17</v>
      </c>
      <c r="F744" s="40">
        <f>'GT Input'!C17</f>
        <v>9</v>
      </c>
      <c r="G744" s="40">
        <f>'GT Input'!D17</f>
        <v>20</v>
      </c>
      <c r="H744" s="40">
        <f>'GT Input'!E17</f>
        <v>9</v>
      </c>
      <c r="I744" s="40">
        <f>'GT Input'!F17</f>
        <v>20</v>
      </c>
      <c r="J744" s="41">
        <f>'Detailed Results'!G744</f>
        <v>9</v>
      </c>
      <c r="K744" s="41">
        <f>'Detailed Results'!H744</f>
        <v>9</v>
      </c>
      <c r="L744" s="42">
        <f t="shared" si="132"/>
        <v>1</v>
      </c>
      <c r="M744" s="42">
        <f t="shared" si="140"/>
        <v>1</v>
      </c>
      <c r="N744" s="42">
        <f t="shared" si="133"/>
        <v>1</v>
      </c>
      <c r="O744" s="43">
        <f>'Detailed Results'!I744</f>
        <v>9</v>
      </c>
      <c r="P744" s="43">
        <f>'Detailed Results'!J744</f>
        <v>9</v>
      </c>
      <c r="Q744" s="44">
        <f t="shared" si="134"/>
        <v>1</v>
      </c>
      <c r="R744" s="44">
        <f t="shared" si="141"/>
        <v>0.45</v>
      </c>
      <c r="S744" s="44">
        <f t="shared" si="135"/>
        <v>0.62068965517241381</v>
      </c>
      <c r="T744" s="45">
        <f>'Detailed Results'!K744</f>
        <v>9</v>
      </c>
      <c r="U744" s="45">
        <f>'Detailed Results'!L744</f>
        <v>9</v>
      </c>
      <c r="V744" s="46">
        <f t="shared" si="136"/>
        <v>1</v>
      </c>
      <c r="W744" s="46">
        <f t="shared" si="142"/>
        <v>1</v>
      </c>
      <c r="X744" s="46">
        <f t="shared" si="137"/>
        <v>1</v>
      </c>
      <c r="Y744" s="47">
        <f>'Detailed Results'!M744</f>
        <v>9</v>
      </c>
      <c r="Z744" s="47">
        <f>'Detailed Results'!N744</f>
        <v>9</v>
      </c>
      <c r="AA744" s="48">
        <f t="shared" si="138"/>
        <v>1</v>
      </c>
      <c r="AB744" s="48">
        <f t="shared" si="143"/>
        <v>0.45</v>
      </c>
      <c r="AC744" s="48">
        <f t="shared" si="139"/>
        <v>0.62068965517241381</v>
      </c>
    </row>
    <row r="745" spans="1:29" ht="15" customHeight="1" thickBot="1" x14ac:dyDescent="0.4">
      <c r="A745" s="185"/>
      <c r="B745" s="16" t="s">
        <v>22</v>
      </c>
      <c r="C745" s="17" t="s">
        <v>16</v>
      </c>
      <c r="D745" s="17">
        <v>1</v>
      </c>
      <c r="E745" s="16" t="s">
        <v>109</v>
      </c>
      <c r="F745" s="40">
        <f>'GT Input'!C17</f>
        <v>9</v>
      </c>
      <c r="G745" s="40">
        <f>'GT Input'!D17</f>
        <v>20</v>
      </c>
      <c r="H745" s="40">
        <f>'GT Input'!E17</f>
        <v>9</v>
      </c>
      <c r="I745" s="40">
        <f>'GT Input'!F17</f>
        <v>20</v>
      </c>
      <c r="J745" s="41">
        <f>'Detailed Results'!G745</f>
        <v>7</v>
      </c>
      <c r="K745" s="41">
        <f>'Detailed Results'!H745</f>
        <v>7</v>
      </c>
      <c r="L745" s="42">
        <f t="shared" si="132"/>
        <v>1</v>
      </c>
      <c r="M745" s="42">
        <f t="shared" si="140"/>
        <v>0.77777777777777779</v>
      </c>
      <c r="N745" s="42">
        <f t="shared" si="133"/>
        <v>0.87500000000000011</v>
      </c>
      <c r="O745" s="43">
        <f>'Detailed Results'!I745</f>
        <v>10</v>
      </c>
      <c r="P745" s="43">
        <f>'Detailed Results'!J745</f>
        <v>10</v>
      </c>
      <c r="Q745" s="44">
        <f t="shared" si="134"/>
        <v>1</v>
      </c>
      <c r="R745" s="44">
        <f t="shared" si="141"/>
        <v>0.5</v>
      </c>
      <c r="S745" s="44">
        <f t="shared" si="135"/>
        <v>0.66666666666666663</v>
      </c>
      <c r="T745" s="45">
        <f>'Detailed Results'!K745</f>
        <v>7</v>
      </c>
      <c r="U745" s="45">
        <f>'Detailed Results'!L745</f>
        <v>5</v>
      </c>
      <c r="V745" s="46">
        <f t="shared" si="136"/>
        <v>0.7142857142857143</v>
      </c>
      <c r="W745" s="46">
        <f t="shared" si="142"/>
        <v>0.55555555555555558</v>
      </c>
      <c r="X745" s="46">
        <f t="shared" si="137"/>
        <v>0.62500000000000011</v>
      </c>
      <c r="Y745" s="47">
        <f>'Detailed Results'!M745</f>
        <v>10</v>
      </c>
      <c r="Z745" s="47">
        <f>'Detailed Results'!N745</f>
        <v>6</v>
      </c>
      <c r="AA745" s="48">
        <f t="shared" si="138"/>
        <v>0.6</v>
      </c>
      <c r="AB745" s="48">
        <f t="shared" si="143"/>
        <v>0.3</v>
      </c>
      <c r="AC745" s="48">
        <f t="shared" si="139"/>
        <v>0.4</v>
      </c>
    </row>
    <row r="746" spans="1:29" ht="15" customHeight="1" thickBot="1" x14ac:dyDescent="0.4">
      <c r="A746" s="185"/>
      <c r="B746" s="18" t="s">
        <v>22</v>
      </c>
      <c r="C746" s="19" t="s">
        <v>16</v>
      </c>
      <c r="D746" s="19">
        <v>2</v>
      </c>
      <c r="E746" s="18" t="s">
        <v>17</v>
      </c>
      <c r="F746" s="40">
        <f>'GT Input'!C17</f>
        <v>9</v>
      </c>
      <c r="G746" s="40">
        <f>'GT Input'!D17</f>
        <v>20</v>
      </c>
      <c r="H746" s="40">
        <f>'GT Input'!E17</f>
        <v>9</v>
      </c>
      <c r="I746" s="40">
        <f>'GT Input'!F17</f>
        <v>20</v>
      </c>
      <c r="J746" s="41">
        <f>'Detailed Results'!G746</f>
        <v>9</v>
      </c>
      <c r="K746" s="41">
        <f>'Detailed Results'!H746</f>
        <v>9</v>
      </c>
      <c r="L746" s="42">
        <f t="shared" si="132"/>
        <v>1</v>
      </c>
      <c r="M746" s="42">
        <f t="shared" si="140"/>
        <v>1</v>
      </c>
      <c r="N746" s="42">
        <f t="shared" si="133"/>
        <v>1</v>
      </c>
      <c r="O746" s="43">
        <f>'Detailed Results'!I746</f>
        <v>6</v>
      </c>
      <c r="P746" s="43">
        <f>'Detailed Results'!J746</f>
        <v>6</v>
      </c>
      <c r="Q746" s="44">
        <f t="shared" si="134"/>
        <v>1</v>
      </c>
      <c r="R746" s="44">
        <f t="shared" si="141"/>
        <v>0.3</v>
      </c>
      <c r="S746" s="44">
        <f t="shared" si="135"/>
        <v>0.46153846153846151</v>
      </c>
      <c r="T746" s="45">
        <f>'Detailed Results'!K746</f>
        <v>9</v>
      </c>
      <c r="U746" s="45">
        <f>'Detailed Results'!L746</f>
        <v>9</v>
      </c>
      <c r="V746" s="46">
        <f t="shared" si="136"/>
        <v>1</v>
      </c>
      <c r="W746" s="46">
        <f t="shared" si="142"/>
        <v>1</v>
      </c>
      <c r="X746" s="46">
        <f t="shared" si="137"/>
        <v>1</v>
      </c>
      <c r="Y746" s="47">
        <f>'Detailed Results'!M746</f>
        <v>6</v>
      </c>
      <c r="Z746" s="47">
        <f>'Detailed Results'!N746</f>
        <v>6</v>
      </c>
      <c r="AA746" s="48">
        <f t="shared" si="138"/>
        <v>1</v>
      </c>
      <c r="AB746" s="48">
        <f t="shared" si="143"/>
        <v>0.3</v>
      </c>
      <c r="AC746" s="48">
        <f t="shared" si="139"/>
        <v>0.46153846153846151</v>
      </c>
    </row>
    <row r="747" spans="1:29" ht="15" customHeight="1" thickBot="1" x14ac:dyDescent="0.4">
      <c r="A747" s="185"/>
      <c r="B747" s="18" t="s">
        <v>22</v>
      </c>
      <c r="C747" s="19" t="s">
        <v>16</v>
      </c>
      <c r="D747" s="19">
        <v>2</v>
      </c>
      <c r="E747" s="18" t="s">
        <v>109</v>
      </c>
      <c r="F747" s="40">
        <f>'GT Input'!C17</f>
        <v>9</v>
      </c>
      <c r="G747" s="40">
        <f>'GT Input'!D17</f>
        <v>20</v>
      </c>
      <c r="H747" s="40">
        <f>'GT Input'!E17</f>
        <v>9</v>
      </c>
      <c r="I747" s="40">
        <f>'GT Input'!F17</f>
        <v>20</v>
      </c>
      <c r="J747" s="41">
        <f>'Detailed Results'!G747</f>
        <v>7</v>
      </c>
      <c r="K747" s="41">
        <f>'Detailed Results'!H747</f>
        <v>7</v>
      </c>
      <c r="L747" s="42">
        <f t="shared" si="132"/>
        <v>1</v>
      </c>
      <c r="M747" s="42">
        <f t="shared" si="140"/>
        <v>0.77777777777777779</v>
      </c>
      <c r="N747" s="42">
        <f t="shared" si="133"/>
        <v>0.87500000000000011</v>
      </c>
      <c r="O747" s="43">
        <f>'Detailed Results'!I747</f>
        <v>10</v>
      </c>
      <c r="P747" s="43">
        <f>'Detailed Results'!J747</f>
        <v>10</v>
      </c>
      <c r="Q747" s="44">
        <f t="shared" si="134"/>
        <v>1</v>
      </c>
      <c r="R747" s="44">
        <f t="shared" si="141"/>
        <v>0.5</v>
      </c>
      <c r="S747" s="44">
        <f t="shared" si="135"/>
        <v>0.66666666666666663</v>
      </c>
      <c r="T747" s="45">
        <f>'Detailed Results'!K747</f>
        <v>7</v>
      </c>
      <c r="U747" s="45">
        <f>'Detailed Results'!L747</f>
        <v>5</v>
      </c>
      <c r="V747" s="46">
        <f t="shared" si="136"/>
        <v>0.7142857142857143</v>
      </c>
      <c r="W747" s="46">
        <f t="shared" si="142"/>
        <v>0.55555555555555558</v>
      </c>
      <c r="X747" s="46">
        <f t="shared" si="137"/>
        <v>0.62500000000000011</v>
      </c>
      <c r="Y747" s="47">
        <f>'Detailed Results'!M747</f>
        <v>10</v>
      </c>
      <c r="Z747" s="47">
        <f>'Detailed Results'!N747</f>
        <v>6</v>
      </c>
      <c r="AA747" s="48">
        <f t="shared" si="138"/>
        <v>0.6</v>
      </c>
      <c r="AB747" s="48">
        <f t="shared" si="143"/>
        <v>0.3</v>
      </c>
      <c r="AC747" s="48">
        <f t="shared" si="139"/>
        <v>0.4</v>
      </c>
    </row>
    <row r="748" spans="1:29" ht="15" customHeight="1" thickBot="1" x14ac:dyDescent="0.4">
      <c r="A748" s="185"/>
      <c r="B748" s="16" t="s">
        <v>22</v>
      </c>
      <c r="C748" s="17" t="s">
        <v>16</v>
      </c>
      <c r="D748" s="17">
        <v>3</v>
      </c>
      <c r="E748" s="16" t="s">
        <v>17</v>
      </c>
      <c r="F748" s="40">
        <f>'GT Input'!C17</f>
        <v>9</v>
      </c>
      <c r="G748" s="40">
        <f>'GT Input'!D17</f>
        <v>20</v>
      </c>
      <c r="H748" s="40">
        <f>'GT Input'!E17</f>
        <v>9</v>
      </c>
      <c r="I748" s="40">
        <f>'GT Input'!F17</f>
        <v>20</v>
      </c>
      <c r="J748" s="41">
        <f>'Detailed Results'!G748</f>
        <v>9</v>
      </c>
      <c r="K748" s="41">
        <f>'Detailed Results'!H748</f>
        <v>9</v>
      </c>
      <c r="L748" s="42">
        <f t="shared" si="132"/>
        <v>1</v>
      </c>
      <c r="M748" s="42">
        <f t="shared" si="140"/>
        <v>1</v>
      </c>
      <c r="N748" s="42">
        <f t="shared" si="133"/>
        <v>1</v>
      </c>
      <c r="O748" s="43">
        <f>'Detailed Results'!I748</f>
        <v>9</v>
      </c>
      <c r="P748" s="43">
        <f>'Detailed Results'!J748</f>
        <v>9</v>
      </c>
      <c r="Q748" s="44">
        <f t="shared" si="134"/>
        <v>1</v>
      </c>
      <c r="R748" s="44">
        <f t="shared" si="141"/>
        <v>0.45</v>
      </c>
      <c r="S748" s="44">
        <f t="shared" si="135"/>
        <v>0.62068965517241381</v>
      </c>
      <c r="T748" s="45">
        <f>'Detailed Results'!K748</f>
        <v>9</v>
      </c>
      <c r="U748" s="45">
        <f>'Detailed Results'!L748</f>
        <v>9</v>
      </c>
      <c r="V748" s="46">
        <f t="shared" si="136"/>
        <v>1</v>
      </c>
      <c r="W748" s="46">
        <f t="shared" si="142"/>
        <v>1</v>
      </c>
      <c r="X748" s="46">
        <f t="shared" si="137"/>
        <v>1</v>
      </c>
      <c r="Y748" s="47">
        <f>'Detailed Results'!M748</f>
        <v>9</v>
      </c>
      <c r="Z748" s="47">
        <f>'Detailed Results'!N748</f>
        <v>9</v>
      </c>
      <c r="AA748" s="48">
        <f t="shared" si="138"/>
        <v>1</v>
      </c>
      <c r="AB748" s="48">
        <f t="shared" si="143"/>
        <v>0.45</v>
      </c>
      <c r="AC748" s="48">
        <f t="shared" si="139"/>
        <v>0.62068965517241381</v>
      </c>
    </row>
    <row r="749" spans="1:29" ht="15" customHeight="1" thickBot="1" x14ac:dyDescent="0.4">
      <c r="A749" s="185"/>
      <c r="B749" s="16" t="s">
        <v>22</v>
      </c>
      <c r="C749" s="17" t="s">
        <v>16</v>
      </c>
      <c r="D749" s="17">
        <v>3</v>
      </c>
      <c r="E749" s="16" t="s">
        <v>109</v>
      </c>
      <c r="F749" s="40">
        <f>'GT Input'!C17</f>
        <v>9</v>
      </c>
      <c r="G749" s="40">
        <f>'GT Input'!D17</f>
        <v>20</v>
      </c>
      <c r="H749" s="40">
        <f>'GT Input'!E17</f>
        <v>9</v>
      </c>
      <c r="I749" s="40">
        <f>'GT Input'!F17</f>
        <v>20</v>
      </c>
      <c r="J749" s="41">
        <f>'Detailed Results'!G749</f>
        <v>7</v>
      </c>
      <c r="K749" s="41">
        <f>'Detailed Results'!H749</f>
        <v>7</v>
      </c>
      <c r="L749" s="42">
        <f t="shared" si="132"/>
        <v>1</v>
      </c>
      <c r="M749" s="42">
        <f t="shared" si="140"/>
        <v>0.77777777777777779</v>
      </c>
      <c r="N749" s="42">
        <f t="shared" si="133"/>
        <v>0.87500000000000011</v>
      </c>
      <c r="O749" s="43">
        <f>'Detailed Results'!I749</f>
        <v>11</v>
      </c>
      <c r="P749" s="43">
        <f>'Detailed Results'!J749</f>
        <v>11</v>
      </c>
      <c r="Q749" s="44">
        <f t="shared" si="134"/>
        <v>1</v>
      </c>
      <c r="R749" s="44">
        <f t="shared" si="141"/>
        <v>0.55000000000000004</v>
      </c>
      <c r="S749" s="44">
        <f t="shared" si="135"/>
        <v>0.70967741935483875</v>
      </c>
      <c r="T749" s="45">
        <f>'Detailed Results'!K749</f>
        <v>7</v>
      </c>
      <c r="U749" s="45">
        <f>'Detailed Results'!L749</f>
        <v>5</v>
      </c>
      <c r="V749" s="46">
        <f t="shared" si="136"/>
        <v>0.7142857142857143</v>
      </c>
      <c r="W749" s="46">
        <f t="shared" si="142"/>
        <v>0.55555555555555558</v>
      </c>
      <c r="X749" s="46">
        <f t="shared" si="137"/>
        <v>0.62500000000000011</v>
      </c>
      <c r="Y749" s="47">
        <f>'Detailed Results'!M749</f>
        <v>11</v>
      </c>
      <c r="Z749" s="47">
        <f>'Detailed Results'!N749</f>
        <v>6</v>
      </c>
      <c r="AA749" s="48">
        <f t="shared" si="138"/>
        <v>0.54545454545454541</v>
      </c>
      <c r="AB749" s="48">
        <f t="shared" si="143"/>
        <v>0.3</v>
      </c>
      <c r="AC749" s="48">
        <f t="shared" si="139"/>
        <v>0.38709677419354832</v>
      </c>
    </row>
    <row r="750" spans="1:29" ht="15" customHeight="1" thickBot="1" x14ac:dyDescent="0.4">
      <c r="A750" s="185"/>
      <c r="B750" s="18" t="s">
        <v>22</v>
      </c>
      <c r="C750" s="19" t="s">
        <v>19</v>
      </c>
      <c r="D750" s="19">
        <v>1</v>
      </c>
      <c r="E750" s="18" t="s">
        <v>17</v>
      </c>
      <c r="F750" s="40">
        <f>'GT Input'!C17</f>
        <v>9</v>
      </c>
      <c r="G750" s="40">
        <f>'GT Input'!D17</f>
        <v>20</v>
      </c>
      <c r="H750" s="40">
        <f>'GT Input'!E17</f>
        <v>9</v>
      </c>
      <c r="I750" s="40">
        <f>'GT Input'!F17</f>
        <v>20</v>
      </c>
      <c r="J750" s="41">
        <f>'Detailed Results'!G750</f>
        <v>9</v>
      </c>
      <c r="K750" s="41">
        <f>'Detailed Results'!H750</f>
        <v>9</v>
      </c>
      <c r="L750" s="42">
        <f t="shared" si="132"/>
        <v>1</v>
      </c>
      <c r="M750" s="42">
        <f t="shared" si="140"/>
        <v>1</v>
      </c>
      <c r="N750" s="42">
        <f t="shared" si="133"/>
        <v>1</v>
      </c>
      <c r="O750" s="43">
        <f>'Detailed Results'!I750</f>
        <v>9</v>
      </c>
      <c r="P750" s="43">
        <f>'Detailed Results'!J750</f>
        <v>9</v>
      </c>
      <c r="Q750" s="44">
        <f t="shared" si="134"/>
        <v>1</v>
      </c>
      <c r="R750" s="44">
        <f t="shared" si="141"/>
        <v>0.45</v>
      </c>
      <c r="S750" s="44">
        <f t="shared" si="135"/>
        <v>0.62068965517241381</v>
      </c>
      <c r="T750" s="45">
        <f>'Detailed Results'!K750</f>
        <v>9</v>
      </c>
      <c r="U750" s="45">
        <f>'Detailed Results'!L750</f>
        <v>9</v>
      </c>
      <c r="V750" s="46">
        <f t="shared" si="136"/>
        <v>1</v>
      </c>
      <c r="W750" s="46">
        <f t="shared" si="142"/>
        <v>1</v>
      </c>
      <c r="X750" s="46">
        <f t="shared" si="137"/>
        <v>1</v>
      </c>
      <c r="Y750" s="47">
        <f>'Detailed Results'!M750</f>
        <v>9</v>
      </c>
      <c r="Z750" s="47">
        <f>'Detailed Results'!N750</f>
        <v>9</v>
      </c>
      <c r="AA750" s="48">
        <f t="shared" si="138"/>
        <v>1</v>
      </c>
      <c r="AB750" s="48">
        <f t="shared" si="143"/>
        <v>0.45</v>
      </c>
      <c r="AC750" s="48">
        <f t="shared" si="139"/>
        <v>0.62068965517241381</v>
      </c>
    </row>
    <row r="751" spans="1:29" ht="15" customHeight="1" thickBot="1" x14ac:dyDescent="0.4">
      <c r="A751" s="185"/>
      <c r="B751" s="18" t="s">
        <v>22</v>
      </c>
      <c r="C751" s="19" t="s">
        <v>19</v>
      </c>
      <c r="D751" s="19">
        <v>1</v>
      </c>
      <c r="E751" s="18" t="s">
        <v>109</v>
      </c>
      <c r="F751" s="40">
        <f>'GT Input'!C17</f>
        <v>9</v>
      </c>
      <c r="G751" s="40">
        <f>'GT Input'!D17</f>
        <v>20</v>
      </c>
      <c r="H751" s="40">
        <f>'GT Input'!E17</f>
        <v>9</v>
      </c>
      <c r="I751" s="40">
        <f>'GT Input'!F17</f>
        <v>20</v>
      </c>
      <c r="J751" s="41">
        <f>'Detailed Results'!G751</f>
        <v>7</v>
      </c>
      <c r="K751" s="41">
        <f>'Detailed Results'!H751</f>
        <v>7</v>
      </c>
      <c r="L751" s="42">
        <f t="shared" si="132"/>
        <v>1</v>
      </c>
      <c r="M751" s="42">
        <f t="shared" si="140"/>
        <v>0.77777777777777779</v>
      </c>
      <c r="N751" s="42">
        <f t="shared" si="133"/>
        <v>0.87500000000000011</v>
      </c>
      <c r="O751" s="43">
        <f>'Detailed Results'!I751</f>
        <v>12</v>
      </c>
      <c r="P751" s="43">
        <f>'Detailed Results'!J751</f>
        <v>12</v>
      </c>
      <c r="Q751" s="44">
        <f t="shared" si="134"/>
        <v>1</v>
      </c>
      <c r="R751" s="44">
        <f t="shared" si="141"/>
        <v>0.6</v>
      </c>
      <c r="S751" s="44">
        <f t="shared" si="135"/>
        <v>0.74999999999999989</v>
      </c>
      <c r="T751" s="45">
        <f>'Detailed Results'!K751</f>
        <v>7</v>
      </c>
      <c r="U751" s="45">
        <f>'Detailed Results'!L751</f>
        <v>5</v>
      </c>
      <c r="V751" s="46">
        <f t="shared" si="136"/>
        <v>0.7142857142857143</v>
      </c>
      <c r="W751" s="46">
        <f t="shared" si="142"/>
        <v>0.55555555555555558</v>
      </c>
      <c r="X751" s="46">
        <f t="shared" si="137"/>
        <v>0.62500000000000011</v>
      </c>
      <c r="Y751" s="47">
        <f>'Detailed Results'!M751</f>
        <v>12</v>
      </c>
      <c r="Z751" s="47">
        <f>'Detailed Results'!N751</f>
        <v>6</v>
      </c>
      <c r="AA751" s="48">
        <f t="shared" si="138"/>
        <v>0.5</v>
      </c>
      <c r="AB751" s="48">
        <f t="shared" si="143"/>
        <v>0.3</v>
      </c>
      <c r="AC751" s="48">
        <f t="shared" si="139"/>
        <v>0.37499999999999994</v>
      </c>
    </row>
    <row r="752" spans="1:29" ht="15" customHeight="1" thickBot="1" x14ac:dyDescent="0.4">
      <c r="A752" s="185"/>
      <c r="B752" s="16" t="s">
        <v>22</v>
      </c>
      <c r="C752" s="17" t="s">
        <v>19</v>
      </c>
      <c r="D752" s="17">
        <v>2</v>
      </c>
      <c r="E752" s="16" t="s">
        <v>17</v>
      </c>
      <c r="F752" s="40">
        <f>'GT Input'!C17</f>
        <v>9</v>
      </c>
      <c r="G752" s="40">
        <f>'GT Input'!D17</f>
        <v>20</v>
      </c>
      <c r="H752" s="40">
        <f>'GT Input'!E17</f>
        <v>9</v>
      </c>
      <c r="I752" s="40">
        <f>'GT Input'!F17</f>
        <v>20</v>
      </c>
      <c r="J752" s="41">
        <f>'Detailed Results'!G752</f>
        <v>9</v>
      </c>
      <c r="K752" s="41">
        <f>'Detailed Results'!H752</f>
        <v>9</v>
      </c>
      <c r="L752" s="42">
        <f t="shared" si="132"/>
        <v>1</v>
      </c>
      <c r="M752" s="42">
        <f t="shared" si="140"/>
        <v>1</v>
      </c>
      <c r="N752" s="42">
        <f t="shared" si="133"/>
        <v>1</v>
      </c>
      <c r="O752" s="43">
        <f>'Detailed Results'!I752</f>
        <v>9</v>
      </c>
      <c r="P752" s="43">
        <f>'Detailed Results'!J752</f>
        <v>9</v>
      </c>
      <c r="Q752" s="44">
        <f t="shared" si="134"/>
        <v>1</v>
      </c>
      <c r="R752" s="44">
        <f t="shared" si="141"/>
        <v>0.45</v>
      </c>
      <c r="S752" s="44">
        <f t="shared" si="135"/>
        <v>0.62068965517241381</v>
      </c>
      <c r="T752" s="45">
        <f>'Detailed Results'!K752</f>
        <v>9</v>
      </c>
      <c r="U752" s="45">
        <f>'Detailed Results'!L752</f>
        <v>9</v>
      </c>
      <c r="V752" s="46">
        <f t="shared" si="136"/>
        <v>1</v>
      </c>
      <c r="W752" s="46">
        <f t="shared" si="142"/>
        <v>1</v>
      </c>
      <c r="X752" s="46">
        <f t="shared" si="137"/>
        <v>1</v>
      </c>
      <c r="Y752" s="47">
        <f>'Detailed Results'!M752</f>
        <v>9</v>
      </c>
      <c r="Z752" s="47">
        <f>'Detailed Results'!N752</f>
        <v>9</v>
      </c>
      <c r="AA752" s="48">
        <f t="shared" si="138"/>
        <v>1</v>
      </c>
      <c r="AB752" s="48">
        <f t="shared" si="143"/>
        <v>0.45</v>
      </c>
      <c r="AC752" s="48">
        <f t="shared" si="139"/>
        <v>0.62068965517241381</v>
      </c>
    </row>
    <row r="753" spans="1:29" ht="15" customHeight="1" thickBot="1" x14ac:dyDescent="0.4">
      <c r="A753" s="185"/>
      <c r="B753" s="16" t="s">
        <v>22</v>
      </c>
      <c r="C753" s="17" t="s">
        <v>19</v>
      </c>
      <c r="D753" s="17">
        <v>2</v>
      </c>
      <c r="E753" s="16" t="s">
        <v>109</v>
      </c>
      <c r="F753" s="40">
        <f>'GT Input'!C17</f>
        <v>9</v>
      </c>
      <c r="G753" s="40">
        <f>'GT Input'!D17</f>
        <v>20</v>
      </c>
      <c r="H753" s="40">
        <f>'GT Input'!E17</f>
        <v>9</v>
      </c>
      <c r="I753" s="40">
        <f>'GT Input'!F17</f>
        <v>20</v>
      </c>
      <c r="J753" s="41">
        <f>'Detailed Results'!G753</f>
        <v>7</v>
      </c>
      <c r="K753" s="41">
        <f>'Detailed Results'!H753</f>
        <v>7</v>
      </c>
      <c r="L753" s="42">
        <f t="shared" si="132"/>
        <v>1</v>
      </c>
      <c r="M753" s="42">
        <f t="shared" si="140"/>
        <v>0.77777777777777779</v>
      </c>
      <c r="N753" s="42">
        <f t="shared" si="133"/>
        <v>0.87500000000000011</v>
      </c>
      <c r="O753" s="43">
        <f>'Detailed Results'!I753</f>
        <v>13</v>
      </c>
      <c r="P753" s="43">
        <f>'Detailed Results'!J753</f>
        <v>13</v>
      </c>
      <c r="Q753" s="44">
        <f t="shared" si="134"/>
        <v>1</v>
      </c>
      <c r="R753" s="44">
        <f t="shared" si="141"/>
        <v>0.65</v>
      </c>
      <c r="S753" s="44">
        <f t="shared" si="135"/>
        <v>0.78787878787878796</v>
      </c>
      <c r="T753" s="45">
        <f>'Detailed Results'!K753</f>
        <v>7</v>
      </c>
      <c r="U753" s="45">
        <f>'Detailed Results'!L753</f>
        <v>5</v>
      </c>
      <c r="V753" s="46">
        <f t="shared" si="136"/>
        <v>0.7142857142857143</v>
      </c>
      <c r="W753" s="46">
        <f t="shared" si="142"/>
        <v>0.55555555555555558</v>
      </c>
      <c r="X753" s="46">
        <f t="shared" si="137"/>
        <v>0.62500000000000011</v>
      </c>
      <c r="Y753" s="47">
        <f>'Detailed Results'!M753</f>
        <v>13</v>
      </c>
      <c r="Z753" s="47">
        <f>'Detailed Results'!N753</f>
        <v>6</v>
      </c>
      <c r="AA753" s="48">
        <f t="shared" si="138"/>
        <v>0.46153846153846156</v>
      </c>
      <c r="AB753" s="48">
        <f t="shared" si="143"/>
        <v>0.3</v>
      </c>
      <c r="AC753" s="48">
        <f t="shared" si="139"/>
        <v>0.3636363636363637</v>
      </c>
    </row>
    <row r="754" spans="1:29" ht="15" customHeight="1" thickBot="1" x14ac:dyDescent="0.4">
      <c r="A754" s="185"/>
      <c r="B754" s="18" t="s">
        <v>22</v>
      </c>
      <c r="C754" s="19" t="s">
        <v>19</v>
      </c>
      <c r="D754" s="19">
        <v>3</v>
      </c>
      <c r="E754" s="18" t="s">
        <v>17</v>
      </c>
      <c r="F754" s="40">
        <f>'GT Input'!C17</f>
        <v>9</v>
      </c>
      <c r="G754" s="40">
        <f>'GT Input'!D17</f>
        <v>20</v>
      </c>
      <c r="H754" s="40">
        <f>'GT Input'!E17</f>
        <v>9</v>
      </c>
      <c r="I754" s="40">
        <f>'GT Input'!F17</f>
        <v>20</v>
      </c>
      <c r="J754" s="41">
        <f>'Detailed Results'!G754</f>
        <v>9</v>
      </c>
      <c r="K754" s="41">
        <f>'Detailed Results'!H754</f>
        <v>9</v>
      </c>
      <c r="L754" s="42">
        <f t="shared" si="132"/>
        <v>1</v>
      </c>
      <c r="M754" s="42">
        <f t="shared" si="140"/>
        <v>1</v>
      </c>
      <c r="N754" s="42">
        <f t="shared" si="133"/>
        <v>1</v>
      </c>
      <c r="O754" s="43">
        <f>'Detailed Results'!I754</f>
        <v>9</v>
      </c>
      <c r="P754" s="43">
        <f>'Detailed Results'!J754</f>
        <v>9</v>
      </c>
      <c r="Q754" s="44">
        <f t="shared" si="134"/>
        <v>1</v>
      </c>
      <c r="R754" s="44">
        <f t="shared" si="141"/>
        <v>0.45</v>
      </c>
      <c r="S754" s="44">
        <f t="shared" si="135"/>
        <v>0.62068965517241381</v>
      </c>
      <c r="T754" s="45">
        <f>'Detailed Results'!K754</f>
        <v>9</v>
      </c>
      <c r="U754" s="45">
        <f>'Detailed Results'!L754</f>
        <v>9</v>
      </c>
      <c r="V754" s="46">
        <f t="shared" si="136"/>
        <v>1</v>
      </c>
      <c r="W754" s="46">
        <f t="shared" si="142"/>
        <v>1</v>
      </c>
      <c r="X754" s="46">
        <f t="shared" si="137"/>
        <v>1</v>
      </c>
      <c r="Y754" s="47">
        <f>'Detailed Results'!M754</f>
        <v>9</v>
      </c>
      <c r="Z754" s="47">
        <f>'Detailed Results'!N754</f>
        <v>9</v>
      </c>
      <c r="AA754" s="48">
        <f t="shared" si="138"/>
        <v>1</v>
      </c>
      <c r="AB754" s="48">
        <f t="shared" si="143"/>
        <v>0.45</v>
      </c>
      <c r="AC754" s="48">
        <f t="shared" si="139"/>
        <v>0.62068965517241381</v>
      </c>
    </row>
    <row r="755" spans="1:29" ht="15" customHeight="1" thickBot="1" x14ac:dyDescent="0.4">
      <c r="A755" s="185"/>
      <c r="B755" s="18" t="s">
        <v>22</v>
      </c>
      <c r="C755" s="19" t="s">
        <v>19</v>
      </c>
      <c r="D755" s="19">
        <v>3</v>
      </c>
      <c r="E755" s="18" t="s">
        <v>109</v>
      </c>
      <c r="F755" s="40">
        <f>'GT Input'!C17</f>
        <v>9</v>
      </c>
      <c r="G755" s="40">
        <f>'GT Input'!D17</f>
        <v>20</v>
      </c>
      <c r="H755" s="40">
        <f>'GT Input'!E17</f>
        <v>9</v>
      </c>
      <c r="I755" s="40">
        <f>'GT Input'!F17</f>
        <v>20</v>
      </c>
      <c r="J755" s="41">
        <f>'Detailed Results'!G755</f>
        <v>7</v>
      </c>
      <c r="K755" s="41">
        <f>'Detailed Results'!H755</f>
        <v>7</v>
      </c>
      <c r="L755" s="42">
        <f t="shared" si="132"/>
        <v>1</v>
      </c>
      <c r="M755" s="42">
        <f t="shared" si="140"/>
        <v>0.77777777777777779</v>
      </c>
      <c r="N755" s="42">
        <f t="shared" si="133"/>
        <v>0.87500000000000011</v>
      </c>
      <c r="O755" s="43">
        <f>'Detailed Results'!I755</f>
        <v>12</v>
      </c>
      <c r="P755" s="43">
        <f>'Detailed Results'!J755</f>
        <v>12</v>
      </c>
      <c r="Q755" s="44">
        <f t="shared" si="134"/>
        <v>1</v>
      </c>
      <c r="R755" s="44">
        <f t="shared" si="141"/>
        <v>0.6</v>
      </c>
      <c r="S755" s="44">
        <f t="shared" si="135"/>
        <v>0.74999999999999989</v>
      </c>
      <c r="T755" s="45">
        <f>'Detailed Results'!K755</f>
        <v>7</v>
      </c>
      <c r="U755" s="45">
        <f>'Detailed Results'!L755</f>
        <v>5</v>
      </c>
      <c r="V755" s="46">
        <f t="shared" si="136"/>
        <v>0.7142857142857143</v>
      </c>
      <c r="W755" s="46">
        <f t="shared" si="142"/>
        <v>0.55555555555555558</v>
      </c>
      <c r="X755" s="46">
        <f t="shared" si="137"/>
        <v>0.62500000000000011</v>
      </c>
      <c r="Y755" s="47">
        <f>'Detailed Results'!M755</f>
        <v>12</v>
      </c>
      <c r="Z755" s="47">
        <f>'Detailed Results'!N755</f>
        <v>6</v>
      </c>
      <c r="AA755" s="48">
        <f t="shared" si="138"/>
        <v>0.5</v>
      </c>
      <c r="AB755" s="48">
        <f t="shared" si="143"/>
        <v>0.3</v>
      </c>
      <c r="AC755" s="48">
        <f t="shared" si="139"/>
        <v>0.37499999999999994</v>
      </c>
    </row>
    <row r="756" spans="1:29" ht="15" customHeight="1" thickBot="1" x14ac:dyDescent="0.4">
      <c r="A756" s="185"/>
      <c r="B756" s="16" t="s">
        <v>22</v>
      </c>
      <c r="C756" s="17" t="s">
        <v>20</v>
      </c>
      <c r="D756" s="17">
        <v>1</v>
      </c>
      <c r="E756" s="16" t="s">
        <v>17</v>
      </c>
      <c r="F756" s="40">
        <f>'GT Input'!C17</f>
        <v>9</v>
      </c>
      <c r="G756" s="40">
        <f>'GT Input'!D17</f>
        <v>20</v>
      </c>
      <c r="H756" s="40">
        <f>'GT Input'!E17</f>
        <v>9</v>
      </c>
      <c r="I756" s="40">
        <f>'GT Input'!F17</f>
        <v>20</v>
      </c>
      <c r="J756" s="41">
        <f>'Detailed Results'!G756</f>
        <v>9</v>
      </c>
      <c r="K756" s="41">
        <f>'Detailed Results'!H756</f>
        <v>9</v>
      </c>
      <c r="L756" s="42">
        <f t="shared" si="132"/>
        <v>1</v>
      </c>
      <c r="M756" s="42">
        <f t="shared" si="140"/>
        <v>1</v>
      </c>
      <c r="N756" s="42">
        <f t="shared" si="133"/>
        <v>1</v>
      </c>
      <c r="O756" s="43">
        <f>'Detailed Results'!I756</f>
        <v>19</v>
      </c>
      <c r="P756" s="43">
        <f>'Detailed Results'!J756</f>
        <v>19</v>
      </c>
      <c r="Q756" s="44">
        <f t="shared" si="134"/>
        <v>1</v>
      </c>
      <c r="R756" s="44">
        <f t="shared" si="141"/>
        <v>0.95</v>
      </c>
      <c r="S756" s="44">
        <f t="shared" si="135"/>
        <v>0.97435897435897434</v>
      </c>
      <c r="T756" s="45">
        <f>'Detailed Results'!K756</f>
        <v>9</v>
      </c>
      <c r="U756" s="45">
        <f>'Detailed Results'!L756</f>
        <v>9</v>
      </c>
      <c r="V756" s="46">
        <f t="shared" si="136"/>
        <v>1</v>
      </c>
      <c r="W756" s="46">
        <f t="shared" si="142"/>
        <v>1</v>
      </c>
      <c r="X756" s="46">
        <f t="shared" si="137"/>
        <v>1</v>
      </c>
      <c r="Y756" s="47">
        <f>'Detailed Results'!M756</f>
        <v>19</v>
      </c>
      <c r="Z756" s="47">
        <f>'Detailed Results'!N756</f>
        <v>19</v>
      </c>
      <c r="AA756" s="48">
        <f t="shared" si="138"/>
        <v>1</v>
      </c>
      <c r="AB756" s="48">
        <f t="shared" si="143"/>
        <v>0.95</v>
      </c>
      <c r="AC756" s="48">
        <f t="shared" si="139"/>
        <v>0.97435897435897434</v>
      </c>
    </row>
    <row r="757" spans="1:29" ht="15" customHeight="1" thickBot="1" x14ac:dyDescent="0.4">
      <c r="A757" s="185"/>
      <c r="B757" s="16" t="s">
        <v>22</v>
      </c>
      <c r="C757" s="17" t="s">
        <v>20</v>
      </c>
      <c r="D757" s="17">
        <v>1</v>
      </c>
      <c r="E757" s="16" t="s">
        <v>109</v>
      </c>
      <c r="F757" s="40">
        <f>'GT Input'!C17</f>
        <v>9</v>
      </c>
      <c r="G757" s="40">
        <f>'GT Input'!D17</f>
        <v>20</v>
      </c>
      <c r="H757" s="40">
        <f>'GT Input'!E17</f>
        <v>9</v>
      </c>
      <c r="I757" s="40">
        <f>'GT Input'!F17</f>
        <v>20</v>
      </c>
      <c r="J757" s="41">
        <f>'Detailed Results'!G757</f>
        <v>7</v>
      </c>
      <c r="K757" s="41">
        <f>'Detailed Results'!H757</f>
        <v>7</v>
      </c>
      <c r="L757" s="42">
        <f t="shared" si="132"/>
        <v>1</v>
      </c>
      <c r="M757" s="42">
        <f t="shared" si="140"/>
        <v>0.77777777777777779</v>
      </c>
      <c r="N757" s="42">
        <f t="shared" si="133"/>
        <v>0.87500000000000011</v>
      </c>
      <c r="O757" s="43">
        <f>'Detailed Results'!I757</f>
        <v>10</v>
      </c>
      <c r="P757" s="43">
        <f>'Detailed Results'!J757</f>
        <v>10</v>
      </c>
      <c r="Q757" s="44">
        <f t="shared" si="134"/>
        <v>1</v>
      </c>
      <c r="R757" s="44">
        <f t="shared" si="141"/>
        <v>0.5</v>
      </c>
      <c r="S757" s="44">
        <f t="shared" si="135"/>
        <v>0.66666666666666663</v>
      </c>
      <c r="T757" s="45">
        <f>'Detailed Results'!K757</f>
        <v>7</v>
      </c>
      <c r="U757" s="45">
        <f>'Detailed Results'!L757</f>
        <v>5</v>
      </c>
      <c r="V757" s="46">
        <f t="shared" si="136"/>
        <v>0.7142857142857143</v>
      </c>
      <c r="W757" s="46">
        <f t="shared" si="142"/>
        <v>0.55555555555555558</v>
      </c>
      <c r="X757" s="46">
        <f t="shared" si="137"/>
        <v>0.62500000000000011</v>
      </c>
      <c r="Y757" s="47">
        <f>'Detailed Results'!M757</f>
        <v>10</v>
      </c>
      <c r="Z757" s="47">
        <f>'Detailed Results'!N757</f>
        <v>6</v>
      </c>
      <c r="AA757" s="48">
        <f t="shared" si="138"/>
        <v>0.6</v>
      </c>
      <c r="AB757" s="48">
        <f t="shared" si="143"/>
        <v>0.3</v>
      </c>
      <c r="AC757" s="48">
        <f t="shared" si="139"/>
        <v>0.4</v>
      </c>
    </row>
    <row r="758" spans="1:29" ht="15" customHeight="1" thickBot="1" x14ac:dyDescent="0.4">
      <c r="A758" s="185"/>
      <c r="B758" s="18" t="s">
        <v>22</v>
      </c>
      <c r="C758" s="19" t="s">
        <v>20</v>
      </c>
      <c r="D758" s="19">
        <v>2</v>
      </c>
      <c r="E758" s="18" t="s">
        <v>17</v>
      </c>
      <c r="F758" s="40">
        <f>'GT Input'!C17</f>
        <v>9</v>
      </c>
      <c r="G758" s="40">
        <f>'GT Input'!D17</f>
        <v>20</v>
      </c>
      <c r="H758" s="40">
        <f>'GT Input'!E17</f>
        <v>9</v>
      </c>
      <c r="I758" s="40">
        <f>'GT Input'!F17</f>
        <v>20</v>
      </c>
      <c r="J758" s="41">
        <f>'Detailed Results'!G758</f>
        <v>9</v>
      </c>
      <c r="K758" s="41">
        <f>'Detailed Results'!H758</f>
        <v>9</v>
      </c>
      <c r="L758" s="42">
        <f t="shared" si="132"/>
        <v>1</v>
      </c>
      <c r="M758" s="42">
        <f t="shared" si="140"/>
        <v>1</v>
      </c>
      <c r="N758" s="42">
        <f t="shared" si="133"/>
        <v>1</v>
      </c>
      <c r="O758" s="43">
        <f>'Detailed Results'!I758</f>
        <v>19</v>
      </c>
      <c r="P758" s="43">
        <f>'Detailed Results'!J758</f>
        <v>19</v>
      </c>
      <c r="Q758" s="44">
        <f t="shared" si="134"/>
        <v>1</v>
      </c>
      <c r="R758" s="44">
        <f t="shared" si="141"/>
        <v>0.95</v>
      </c>
      <c r="S758" s="44">
        <f t="shared" si="135"/>
        <v>0.97435897435897434</v>
      </c>
      <c r="T758" s="45">
        <f>'Detailed Results'!K758</f>
        <v>9</v>
      </c>
      <c r="U758" s="45">
        <f>'Detailed Results'!L758</f>
        <v>9</v>
      </c>
      <c r="V758" s="46">
        <f t="shared" si="136"/>
        <v>1</v>
      </c>
      <c r="W758" s="46">
        <f t="shared" si="142"/>
        <v>1</v>
      </c>
      <c r="X758" s="46">
        <f t="shared" si="137"/>
        <v>1</v>
      </c>
      <c r="Y758" s="47">
        <f>'Detailed Results'!M758</f>
        <v>19</v>
      </c>
      <c r="Z758" s="47">
        <f>'Detailed Results'!N758</f>
        <v>19</v>
      </c>
      <c r="AA758" s="48">
        <f t="shared" si="138"/>
        <v>1</v>
      </c>
      <c r="AB758" s="48">
        <f t="shared" si="143"/>
        <v>0.95</v>
      </c>
      <c r="AC758" s="48">
        <f t="shared" si="139"/>
        <v>0.97435897435897434</v>
      </c>
    </row>
    <row r="759" spans="1:29" ht="15" customHeight="1" thickBot="1" x14ac:dyDescent="0.4">
      <c r="A759" s="185"/>
      <c r="B759" s="18" t="s">
        <v>22</v>
      </c>
      <c r="C759" s="19" t="s">
        <v>20</v>
      </c>
      <c r="D759" s="19">
        <v>2</v>
      </c>
      <c r="E759" s="18" t="s">
        <v>109</v>
      </c>
      <c r="F759" s="40">
        <f>'GT Input'!C17</f>
        <v>9</v>
      </c>
      <c r="G759" s="40">
        <f>'GT Input'!D17</f>
        <v>20</v>
      </c>
      <c r="H759" s="40">
        <f>'GT Input'!E17</f>
        <v>9</v>
      </c>
      <c r="I759" s="40">
        <f>'GT Input'!F17</f>
        <v>20</v>
      </c>
      <c r="J759" s="41">
        <f>'Detailed Results'!G759</f>
        <v>7</v>
      </c>
      <c r="K759" s="41">
        <f>'Detailed Results'!H759</f>
        <v>7</v>
      </c>
      <c r="L759" s="42">
        <f t="shared" si="132"/>
        <v>1</v>
      </c>
      <c r="M759" s="42">
        <f t="shared" si="140"/>
        <v>0.77777777777777779</v>
      </c>
      <c r="N759" s="42">
        <f t="shared" si="133"/>
        <v>0.87500000000000011</v>
      </c>
      <c r="O759" s="43">
        <f>'Detailed Results'!I759</f>
        <v>12</v>
      </c>
      <c r="P759" s="43">
        <f>'Detailed Results'!J759</f>
        <v>12</v>
      </c>
      <c r="Q759" s="44">
        <f t="shared" si="134"/>
        <v>1</v>
      </c>
      <c r="R759" s="44">
        <f t="shared" si="141"/>
        <v>0.6</v>
      </c>
      <c r="S759" s="44">
        <f t="shared" si="135"/>
        <v>0.74999999999999989</v>
      </c>
      <c r="T759" s="45">
        <f>'Detailed Results'!K759</f>
        <v>7</v>
      </c>
      <c r="U759" s="45">
        <f>'Detailed Results'!L759</f>
        <v>5</v>
      </c>
      <c r="V759" s="46">
        <f t="shared" si="136"/>
        <v>0.7142857142857143</v>
      </c>
      <c r="W759" s="46">
        <f t="shared" si="142"/>
        <v>0.55555555555555558</v>
      </c>
      <c r="X759" s="46">
        <f t="shared" si="137"/>
        <v>0.62500000000000011</v>
      </c>
      <c r="Y759" s="47">
        <f>'Detailed Results'!M759</f>
        <v>12</v>
      </c>
      <c r="Z759" s="47">
        <f>'Detailed Results'!N759</f>
        <v>6</v>
      </c>
      <c r="AA759" s="48">
        <f t="shared" si="138"/>
        <v>0.5</v>
      </c>
      <c r="AB759" s="48">
        <f t="shared" si="143"/>
        <v>0.3</v>
      </c>
      <c r="AC759" s="48">
        <f t="shared" si="139"/>
        <v>0.37499999999999994</v>
      </c>
    </row>
    <row r="760" spans="1:29" ht="15" customHeight="1" thickBot="1" x14ac:dyDescent="0.4">
      <c r="A760" s="185"/>
      <c r="B760" s="16" t="s">
        <v>22</v>
      </c>
      <c r="C760" s="17" t="s">
        <v>20</v>
      </c>
      <c r="D760" s="17">
        <v>3</v>
      </c>
      <c r="E760" s="16" t="s">
        <v>17</v>
      </c>
      <c r="F760" s="40">
        <f>'GT Input'!C17</f>
        <v>9</v>
      </c>
      <c r="G760" s="40">
        <f>'GT Input'!D17</f>
        <v>20</v>
      </c>
      <c r="H760" s="40">
        <f>'GT Input'!E17</f>
        <v>9</v>
      </c>
      <c r="I760" s="40">
        <f>'GT Input'!F17</f>
        <v>20</v>
      </c>
      <c r="J760" s="41">
        <f>'Detailed Results'!G760</f>
        <v>9</v>
      </c>
      <c r="K760" s="41">
        <f>'Detailed Results'!H760</f>
        <v>9</v>
      </c>
      <c r="L760" s="42">
        <f t="shared" si="132"/>
        <v>1</v>
      </c>
      <c r="M760" s="42">
        <f t="shared" si="140"/>
        <v>1</v>
      </c>
      <c r="N760" s="42">
        <f t="shared" si="133"/>
        <v>1</v>
      </c>
      <c r="O760" s="43">
        <f>'Detailed Results'!I760</f>
        <v>9</v>
      </c>
      <c r="P760" s="43">
        <f>'Detailed Results'!J760</f>
        <v>9</v>
      </c>
      <c r="Q760" s="44">
        <f t="shared" si="134"/>
        <v>1</v>
      </c>
      <c r="R760" s="44">
        <f t="shared" si="141"/>
        <v>0.45</v>
      </c>
      <c r="S760" s="44">
        <f t="shared" si="135"/>
        <v>0.62068965517241381</v>
      </c>
      <c r="T760" s="45">
        <f>'Detailed Results'!K760</f>
        <v>9</v>
      </c>
      <c r="U760" s="45">
        <f>'Detailed Results'!L760</f>
        <v>9</v>
      </c>
      <c r="V760" s="46">
        <f t="shared" si="136"/>
        <v>1</v>
      </c>
      <c r="W760" s="46">
        <f t="shared" si="142"/>
        <v>1</v>
      </c>
      <c r="X760" s="46">
        <f t="shared" si="137"/>
        <v>1</v>
      </c>
      <c r="Y760" s="47">
        <f>'Detailed Results'!M760</f>
        <v>9</v>
      </c>
      <c r="Z760" s="47">
        <f>'Detailed Results'!N760</f>
        <v>9</v>
      </c>
      <c r="AA760" s="48">
        <f t="shared" si="138"/>
        <v>1</v>
      </c>
      <c r="AB760" s="48">
        <f t="shared" si="143"/>
        <v>0.45</v>
      </c>
      <c r="AC760" s="48">
        <f t="shared" si="139"/>
        <v>0.62068965517241381</v>
      </c>
    </row>
    <row r="761" spans="1:29" s="64" customFormat="1" ht="15" customHeight="1" thickBot="1" x14ac:dyDescent="0.4">
      <c r="A761" s="185"/>
      <c r="B761" s="53" t="s">
        <v>22</v>
      </c>
      <c r="C761" s="54" t="s">
        <v>20</v>
      </c>
      <c r="D761" s="54">
        <v>3</v>
      </c>
      <c r="E761" s="53" t="s">
        <v>109</v>
      </c>
      <c r="F761" s="55">
        <f>'GT Input'!C17</f>
        <v>9</v>
      </c>
      <c r="G761" s="55">
        <f>'GT Input'!D17</f>
        <v>20</v>
      </c>
      <c r="H761" s="55">
        <f>'GT Input'!E17</f>
        <v>9</v>
      </c>
      <c r="I761" s="55">
        <f>'GT Input'!F17</f>
        <v>20</v>
      </c>
      <c r="J761" s="56">
        <f>'Detailed Results'!G761</f>
        <v>7</v>
      </c>
      <c r="K761" s="56">
        <f>'Detailed Results'!H761</f>
        <v>7</v>
      </c>
      <c r="L761" s="57">
        <f t="shared" si="132"/>
        <v>1</v>
      </c>
      <c r="M761" s="57">
        <f t="shared" si="140"/>
        <v>0.77777777777777779</v>
      </c>
      <c r="N761" s="57">
        <f t="shared" si="133"/>
        <v>0.87500000000000011</v>
      </c>
      <c r="O761" s="58">
        <f>'Detailed Results'!I761</f>
        <v>12</v>
      </c>
      <c r="P761" s="58">
        <f>'Detailed Results'!J761</f>
        <v>12</v>
      </c>
      <c r="Q761" s="59">
        <f t="shared" si="134"/>
        <v>1</v>
      </c>
      <c r="R761" s="59">
        <f t="shared" si="141"/>
        <v>0.6</v>
      </c>
      <c r="S761" s="59">
        <f t="shared" si="135"/>
        <v>0.74999999999999989</v>
      </c>
      <c r="T761" s="60">
        <f>'Detailed Results'!K761</f>
        <v>7</v>
      </c>
      <c r="U761" s="60">
        <f>'Detailed Results'!L761</f>
        <v>5</v>
      </c>
      <c r="V761" s="61">
        <f t="shared" si="136"/>
        <v>0.7142857142857143</v>
      </c>
      <c r="W761" s="61">
        <f t="shared" si="142"/>
        <v>0.55555555555555558</v>
      </c>
      <c r="X761" s="61">
        <f t="shared" si="137"/>
        <v>0.62500000000000011</v>
      </c>
      <c r="Y761" s="62">
        <f>'Detailed Results'!M761</f>
        <v>12</v>
      </c>
      <c r="Z761" s="62">
        <f>'Detailed Results'!N761</f>
        <v>6</v>
      </c>
      <c r="AA761" s="63">
        <f t="shared" si="138"/>
        <v>0.5</v>
      </c>
      <c r="AB761" s="63">
        <f t="shared" si="143"/>
        <v>0.3</v>
      </c>
      <c r="AC761" s="63">
        <f t="shared" si="139"/>
        <v>0.37499999999999994</v>
      </c>
    </row>
    <row r="763" spans="1:29" ht="15.75" customHeight="1" x14ac:dyDescent="0.35">
      <c r="A763" s="188" t="s">
        <v>65</v>
      </c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</row>
    <row r="764" spans="1:29" ht="13.5" customHeight="1" x14ac:dyDescent="0.35">
      <c r="A764" s="23"/>
      <c r="B764" s="187" t="s">
        <v>66</v>
      </c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</row>
    <row r="765" spans="1:29" ht="13.5" customHeight="1" x14ac:dyDescent="0.35">
      <c r="A765" s="35"/>
      <c r="B765" s="187" t="s">
        <v>67</v>
      </c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</row>
    <row r="766" spans="1:29" ht="13.5" customHeight="1" x14ac:dyDescent="0.35">
      <c r="A766" s="49"/>
      <c r="B766" s="187" t="s">
        <v>68</v>
      </c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</row>
    <row r="767" spans="1:29" ht="13.5" customHeight="1" x14ac:dyDescent="0.35">
      <c r="A767" s="50"/>
      <c r="B767" s="187" t="s">
        <v>69</v>
      </c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</row>
    <row r="768" spans="1:29" ht="13.5" customHeight="1" x14ac:dyDescent="0.35">
      <c r="A768" s="51"/>
      <c r="B768" s="187" t="s">
        <v>70</v>
      </c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</row>
  </sheetData>
  <autoFilter ref="A1:AC761" xr:uid="{00000000-0001-0000-02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</autoFilter>
  <mergeCells count="34">
    <mergeCell ref="B765:AC765"/>
    <mergeCell ref="B766:AC766"/>
    <mergeCell ref="B767:AC767"/>
    <mergeCell ref="B768:AC768"/>
    <mergeCell ref="A654:A707"/>
    <mergeCell ref="A708:A761"/>
    <mergeCell ref="A763:AC763"/>
    <mergeCell ref="B764:AC764"/>
    <mergeCell ref="A384:A437"/>
    <mergeCell ref="A438:A491"/>
    <mergeCell ref="A492:A545"/>
    <mergeCell ref="A546:A599"/>
    <mergeCell ref="A600:A653"/>
    <mergeCell ref="A114:A167"/>
    <mergeCell ref="A168:A221"/>
    <mergeCell ref="A222:A275"/>
    <mergeCell ref="A276:A329"/>
    <mergeCell ref="A330:A383"/>
    <mergeCell ref="A6:A59"/>
    <mergeCell ref="A60:A113"/>
    <mergeCell ref="A4:E4"/>
    <mergeCell ref="J4:N4"/>
    <mergeCell ref="O4:S4"/>
    <mergeCell ref="T4:X4"/>
    <mergeCell ref="Y4:AC4"/>
    <mergeCell ref="A1:AC1"/>
    <mergeCell ref="A2:AC2"/>
    <mergeCell ref="A3:E3"/>
    <mergeCell ref="J3:N3"/>
    <mergeCell ref="O3:S3"/>
    <mergeCell ref="T3:X3"/>
    <mergeCell ref="Y3:AC3"/>
    <mergeCell ref="F3:G3"/>
    <mergeCell ref="H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5"/>
  <sheetViews>
    <sheetView zoomScale="78" zoomScaleNormal="90" workbookViewId="0">
      <pane xSplit="2" ySplit="4" topLeftCell="E94" activePane="bottomRight" state="frozen"/>
      <selection pane="topRight" activeCell="C1" sqref="C1"/>
      <selection pane="bottomLeft" activeCell="A5" sqref="A5"/>
      <selection pane="bottomRight" activeCell="A98" sqref="A98"/>
    </sheetView>
  </sheetViews>
  <sheetFormatPr defaultColWidth="8.6328125" defaultRowHeight="14.5" x14ac:dyDescent="0.35"/>
  <cols>
    <col min="1" max="1" width="91.26953125" bestFit="1" customWidth="1"/>
    <col min="2" max="2" width="7.6328125" bestFit="1" customWidth="1"/>
    <col min="3" max="3" width="11" bestFit="1" customWidth="1"/>
    <col min="4" max="4" width="9.453125" bestFit="1" customWidth="1"/>
    <col min="5" max="5" width="11.7265625" bestFit="1" customWidth="1"/>
    <col min="6" max="6" width="10.1796875" bestFit="1" customWidth="1"/>
    <col min="7" max="7" width="13.453125" bestFit="1" customWidth="1"/>
    <col min="8" max="14" width="9" customWidth="1"/>
  </cols>
  <sheetData>
    <row r="1" spans="1:30" ht="24" customHeight="1" x14ac:dyDescent="0.35">
      <c r="A1" s="189" t="s">
        <v>71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30" ht="15.75" customHeight="1" x14ac:dyDescent="0.35">
      <c r="A2" s="203" t="s">
        <v>72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30" ht="21.75" customHeight="1" x14ac:dyDescent="0.35">
      <c r="A3" s="180"/>
      <c r="B3" s="180"/>
      <c r="C3" s="204" t="s">
        <v>73</v>
      </c>
      <c r="D3" s="204"/>
      <c r="E3" s="204"/>
      <c r="F3" s="207" t="s">
        <v>74</v>
      </c>
      <c r="G3" s="207"/>
      <c r="H3" s="207"/>
      <c r="I3" s="206" t="s">
        <v>75</v>
      </c>
      <c r="J3" s="206"/>
      <c r="K3" s="206"/>
      <c r="L3" s="205" t="s">
        <v>76</v>
      </c>
      <c r="M3" s="205"/>
      <c r="N3" s="205"/>
    </row>
    <row r="4" spans="1:30" ht="27.75" customHeight="1" x14ac:dyDescent="0.35">
      <c r="A4" s="4" t="s">
        <v>6</v>
      </c>
      <c r="B4" s="4" t="s">
        <v>7</v>
      </c>
      <c r="C4" s="5" t="s">
        <v>77</v>
      </c>
      <c r="D4" s="5" t="s">
        <v>78</v>
      </c>
      <c r="E4" s="5" t="s">
        <v>79</v>
      </c>
      <c r="F4" s="5" t="s">
        <v>77</v>
      </c>
      <c r="G4" s="5" t="s">
        <v>78</v>
      </c>
      <c r="H4" s="5" t="s">
        <v>79</v>
      </c>
      <c r="I4" s="100" t="s">
        <v>77</v>
      </c>
      <c r="J4" s="100" t="s">
        <v>78</v>
      </c>
      <c r="K4" s="100" t="s">
        <v>79</v>
      </c>
      <c r="L4" s="6" t="s">
        <v>77</v>
      </c>
      <c r="M4" s="6" t="s">
        <v>78</v>
      </c>
      <c r="N4" s="6" t="s">
        <v>79</v>
      </c>
      <c r="S4" s="207"/>
      <c r="T4" s="207"/>
      <c r="U4" s="207"/>
      <c r="V4" s="207"/>
      <c r="W4" s="207"/>
      <c r="X4" s="207"/>
      <c r="Y4" s="206"/>
      <c r="Z4" s="206"/>
      <c r="AA4" s="206"/>
      <c r="AB4" s="208"/>
      <c r="AC4" s="208"/>
      <c r="AD4" s="208"/>
    </row>
    <row r="5" spans="1:30" ht="15.75" customHeight="1" thickBot="1" x14ac:dyDescent="0.4">
      <c r="A5" s="185" t="s">
        <v>14</v>
      </c>
      <c r="B5" s="7" t="s">
        <v>15</v>
      </c>
      <c r="C5" s="130">
        <f>AVERAGE('GT Comparison'!L6:L23)</f>
        <v>0.85101131328773605</v>
      </c>
      <c r="D5" s="130">
        <f>AVERAGE('GT Comparison'!M6:M23)</f>
        <v>0.61111111111111116</v>
      </c>
      <c r="E5" s="138">
        <f>AVERAGE('GT Comparison'!N6:N23)</f>
        <v>0.72200257144616908</v>
      </c>
      <c r="F5" s="130">
        <f>AVERAGE('GT Comparison'!Q6:Q23)</f>
        <v>1</v>
      </c>
      <c r="G5" s="130">
        <f>AVERAGE('GT Comparison'!R6:R23)</f>
        <v>0.66666666666666652</v>
      </c>
      <c r="H5" s="138">
        <f>AVERAGE('GT Comparison'!S6:S23)</f>
        <v>0.80000000000000027</v>
      </c>
      <c r="I5" s="130">
        <f>AVERAGE('GT Comparison'!V6:V23)</f>
        <v>0.78095238095238084</v>
      </c>
      <c r="J5" s="130">
        <f>AVERAGE('GT Comparison'!W6:W23)</f>
        <v>0.53086419753086411</v>
      </c>
      <c r="K5" s="138">
        <f>AVERAGE('GT Comparison'!X6:X23)</f>
        <v>0.62797619047619047</v>
      </c>
      <c r="L5" s="130">
        <f>AVERAGE('GT Comparison'!AA6:AA23)</f>
        <v>1</v>
      </c>
      <c r="M5" s="130">
        <f>AVERAGE('GT Comparison'!AB6:AB23)</f>
        <v>0.66666666666666652</v>
      </c>
      <c r="N5" s="138">
        <f>AVERAGE('GT Comparison'!AC6:AC23)</f>
        <v>0.80000000000000027</v>
      </c>
    </row>
    <row r="6" spans="1:30" ht="15.75" customHeight="1" thickBot="1" x14ac:dyDescent="0.4">
      <c r="A6" s="185"/>
      <c r="B6" s="14" t="s">
        <v>21</v>
      </c>
      <c r="C6" s="130">
        <f>AVERAGE('GT Comparison'!L24:L41)</f>
        <v>0.89682539682539675</v>
      </c>
      <c r="D6" s="130">
        <f>AVERAGE('GT Comparison'!M24:M41)</f>
        <v>0.74691358024691379</v>
      </c>
      <c r="E6" s="138">
        <f>AVERAGE('GT Comparison'!N24:N41)</f>
        <v>0.8125</v>
      </c>
      <c r="F6" s="130">
        <f>AVERAGE('GT Comparison'!Q24:Q41)</f>
        <v>0.99074074074074092</v>
      </c>
      <c r="G6" s="130">
        <f>AVERAGE('GT Comparison'!R24:R41)</f>
        <v>0.54629629629629628</v>
      </c>
      <c r="H6" s="138">
        <f>AVERAGE('GT Comparison'!S24:S41)</f>
        <v>0.66442912056516545</v>
      </c>
      <c r="I6" s="130">
        <f>AVERAGE('GT Comparison'!V24:V41)</f>
        <v>0.77777777777777746</v>
      </c>
      <c r="J6" s="130">
        <f>AVERAGE('GT Comparison'!W24:W41)</f>
        <v>0.65432098765432078</v>
      </c>
      <c r="K6" s="138">
        <f>AVERAGE('GT Comparison'!X24:X41)</f>
        <v>0.70833333333333337</v>
      </c>
      <c r="L6" s="130">
        <f>AVERAGE('GT Comparison'!AA24:AA41)</f>
        <v>1</v>
      </c>
      <c r="M6" s="130">
        <f>AVERAGE('GT Comparison'!AB24:AB41)</f>
        <v>0.54938271604938271</v>
      </c>
      <c r="N6" s="138">
        <f>AVERAGE('GT Comparison'!AC24:AC41)</f>
        <v>0.66905875019479499</v>
      </c>
    </row>
    <row r="7" spans="1:30" ht="15.75" customHeight="1" thickBot="1" x14ac:dyDescent="0.4">
      <c r="A7" s="185"/>
      <c r="B7" s="20" t="s">
        <v>22</v>
      </c>
      <c r="C7" s="131">
        <f>AVERAGE('GT Comparison'!L42:L59)</f>
        <v>0.93125701459034793</v>
      </c>
      <c r="D7" s="131">
        <f>AVERAGE('GT Comparison'!M42:M59)</f>
        <v>0.82098765432098775</v>
      </c>
      <c r="E7" s="139">
        <f>AVERAGE('GT Comparison'!N42:N59)</f>
        <v>0.8630433654943459</v>
      </c>
      <c r="F7" s="131">
        <f>AVERAGE('GT Comparison'!Q42:Q59)</f>
        <v>1</v>
      </c>
      <c r="G7" s="131">
        <f>AVERAGE('GT Comparison'!R42:R59)</f>
        <v>0.75308641975308632</v>
      </c>
      <c r="H7" s="139">
        <f>AVERAGE('GT Comparison'!S42:S59)</f>
        <v>0.85095785440613037</v>
      </c>
      <c r="I7" s="131">
        <f>AVERAGE('GT Comparison'!V42:V59)</f>
        <v>0.75571989738656409</v>
      </c>
      <c r="J7" s="131">
        <f>AVERAGE('GT Comparison'!W42:W59)</f>
        <v>0.68518518518518534</v>
      </c>
      <c r="K7" s="139">
        <f>AVERAGE('GT Comparison'!X42:X59)</f>
        <v>0.71189827782965043</v>
      </c>
      <c r="L7" s="131">
        <f>AVERAGE('GT Comparison'!AA42:AA59)</f>
        <v>0.97222222222222221</v>
      </c>
      <c r="M7" s="131">
        <f>AVERAGE('GT Comparison'!AB42:AB59)</f>
        <v>0.72530864197530853</v>
      </c>
      <c r="N7" s="139">
        <f>AVERAGE('GT Comparison'!AC42:AC59)</f>
        <v>0.82318007662835257</v>
      </c>
    </row>
    <row r="8" spans="1:30" ht="15.75" customHeight="1" thickBot="1" x14ac:dyDescent="0.4">
      <c r="A8" s="185" t="s">
        <v>23</v>
      </c>
      <c r="B8" s="7" t="s">
        <v>15</v>
      </c>
      <c r="C8" s="130">
        <f>AVERAGE('GT Comparison'!L60:L77)</f>
        <v>1</v>
      </c>
      <c r="D8" s="132">
        <f>AVERAGE('GT Comparison'!M60:M77)</f>
        <v>1</v>
      </c>
      <c r="E8" s="138">
        <f>AVERAGE('GT Comparison'!N60:N77)</f>
        <v>1</v>
      </c>
      <c r="F8" s="130">
        <f>AVERAGE('GT Comparison'!Q60:Q77)</f>
        <v>1</v>
      </c>
      <c r="G8" s="142">
        <f>AVERAGE('GT Comparison'!R60:R77)</f>
        <v>1.24074074074074</v>
      </c>
      <c r="H8" s="142">
        <f>AVERAGE('GT Comparison'!S60:S77)</f>
        <v>1.1062823956562093</v>
      </c>
      <c r="I8" s="130">
        <f>AVERAGE('GT Comparison'!V60:V77)</f>
        <v>1</v>
      </c>
      <c r="J8" s="130">
        <f>AVERAGE('GT Comparison'!W60:W77)</f>
        <v>1</v>
      </c>
      <c r="K8" s="138">
        <f>AVERAGE('GT Comparison'!X60:X77)</f>
        <v>1</v>
      </c>
      <c r="L8" s="130">
        <f>AVERAGE('GT Comparison'!AA60:AA77)</f>
        <v>0.91218323586744632</v>
      </c>
      <c r="M8" s="142">
        <f>AVERAGE('GT Comparison'!AB60:AB77)</f>
        <v>1.1370370370370366</v>
      </c>
      <c r="N8" s="142">
        <f>AVERAGE('GT Comparison'!AC60:AC77)</f>
        <v>1.0114288269885992</v>
      </c>
    </row>
    <row r="9" spans="1:30" ht="15.75" customHeight="1" thickBot="1" x14ac:dyDescent="0.4">
      <c r="A9" s="185"/>
      <c r="B9" s="14" t="s">
        <v>21</v>
      </c>
      <c r="C9" s="130">
        <f>AVERAGE('GT Comparison'!L78:L95)</f>
        <v>1</v>
      </c>
      <c r="D9" s="133">
        <f>AVERAGE('GT Comparison'!M78:M95)</f>
        <v>1</v>
      </c>
      <c r="E9" s="138">
        <f>AVERAGE('GT Comparison'!N78:N95)</f>
        <v>1</v>
      </c>
      <c r="F9" s="130">
        <f>AVERAGE('GT Comparison'!Q78:Q95)</f>
        <v>1</v>
      </c>
      <c r="G9" s="142">
        <f>AVERAGE('GT Comparison'!R78:R95)</f>
        <v>1.0074074074074073</v>
      </c>
      <c r="H9" s="142">
        <f>AVERAGE('GT Comparison'!S78:S95)</f>
        <v>1.0029778457545422</v>
      </c>
      <c r="I9" s="130">
        <f>AVERAGE('GT Comparison'!V78:V95)</f>
        <v>1</v>
      </c>
      <c r="J9" s="130">
        <f>AVERAGE('GT Comparison'!W78:W95)</f>
        <v>1</v>
      </c>
      <c r="K9" s="138">
        <f>AVERAGE('GT Comparison'!X78:X95)</f>
        <v>1</v>
      </c>
      <c r="L9" s="130">
        <f>AVERAGE('GT Comparison'!AA78:AA95)</f>
        <v>0.876890756302521</v>
      </c>
      <c r="M9" s="130">
        <f>AVERAGE('GT Comparison'!AB78:AB95)</f>
        <v>0.88518518518518519</v>
      </c>
      <c r="N9" s="138">
        <f>AVERAGE('GT Comparison'!AC78:AC95)</f>
        <v>0.88041033246817435</v>
      </c>
    </row>
    <row r="10" spans="1:30" ht="15.75" customHeight="1" thickBot="1" x14ac:dyDescent="0.4">
      <c r="A10" s="185"/>
      <c r="B10" s="20" t="s">
        <v>22</v>
      </c>
      <c r="C10" s="131">
        <f>AVERAGE('GT Comparison'!L96:L113)</f>
        <v>1</v>
      </c>
      <c r="D10" s="131">
        <f>AVERAGE('GT Comparison'!M96:M113)</f>
        <v>0.99382716049382713</v>
      </c>
      <c r="E10" s="139">
        <f>AVERAGE('GT Comparison'!N96:N113)</f>
        <v>0.99673202614379086</v>
      </c>
      <c r="F10" s="131">
        <f>AVERAGE('GT Comparison'!Q96:Q113)</f>
        <v>0.99603174603174616</v>
      </c>
      <c r="G10" s="131">
        <f>AVERAGE('GT Comparison'!R96:R113)</f>
        <v>0.99259259259259258</v>
      </c>
      <c r="H10" s="139">
        <f>AVERAGE('GT Comparison'!S96:S113)</f>
        <v>0.99339930169323942</v>
      </c>
      <c r="I10" s="131">
        <f>AVERAGE('GT Comparison'!V96:V113)</f>
        <v>1</v>
      </c>
      <c r="J10" s="131">
        <f>AVERAGE('GT Comparison'!W96:W113)</f>
        <v>0.99382716049382713</v>
      </c>
      <c r="K10" s="139">
        <f>AVERAGE('GT Comparison'!X96:X113)</f>
        <v>0.99673202614379086</v>
      </c>
      <c r="L10" s="131">
        <f>AVERAGE('GT Comparison'!AA96:AA113)</f>
        <v>0.93683862433862453</v>
      </c>
      <c r="M10" s="131">
        <f>AVERAGE('GT Comparison'!AB96:AB113)</f>
        <v>0.93333333333333357</v>
      </c>
      <c r="N10" s="139">
        <f>AVERAGE('GT Comparison'!AC96:AC113)</f>
        <v>0.9342183187080294</v>
      </c>
    </row>
    <row r="11" spans="1:30" ht="15.75" customHeight="1" thickBot="1" x14ac:dyDescent="0.4">
      <c r="A11" s="185" t="s">
        <v>24</v>
      </c>
      <c r="B11" s="7" t="s">
        <v>15</v>
      </c>
      <c r="C11" s="130">
        <f>AVERAGE('GT Comparison'!L114:L131)</f>
        <v>0.99851851851851847</v>
      </c>
      <c r="D11" s="130">
        <f>AVERAGE('GT Comparison'!M114:M131)</f>
        <v>0.86868686868686873</v>
      </c>
      <c r="E11" s="138">
        <f>AVERAGE('GT Comparison'!N114:N131)</f>
        <v>0.92798325517075542</v>
      </c>
      <c r="F11" s="130">
        <f>AVERAGE('GT Comparison'!Q114:Q131)</f>
        <v>1</v>
      </c>
      <c r="G11" s="130">
        <f>AVERAGE('GT Comparison'!R114:R131)</f>
        <v>1.002923976608187</v>
      </c>
      <c r="H11" s="138">
        <f>AVERAGE('GT Comparison'!S114:S131)</f>
        <v>0.99790615643328828</v>
      </c>
      <c r="I11" s="130">
        <f>AVERAGE('GT Comparison'!V114:V131)</f>
        <v>0.83950617283950646</v>
      </c>
      <c r="J11" s="130">
        <f>AVERAGE('GT Comparison'!W114:W131)</f>
        <v>0.73737373737373746</v>
      </c>
      <c r="K11" s="138">
        <f>AVERAGE('GT Comparison'!X114:X131)</f>
        <v>0.7833333333333331</v>
      </c>
      <c r="L11" s="130">
        <f>AVERAGE('GT Comparison'!AA114:AA131)</f>
        <v>0.56312349501203984</v>
      </c>
      <c r="M11" s="130">
        <f>AVERAGE('GT Comparison'!AB114:AB131)</f>
        <v>0.59356725146198819</v>
      </c>
      <c r="N11" s="138">
        <f>AVERAGE('GT Comparison'!AC114:AC131)</f>
        <v>0.57555397969514666</v>
      </c>
    </row>
    <row r="12" spans="1:30" ht="15.75" customHeight="1" thickBot="1" x14ac:dyDescent="0.4">
      <c r="A12" s="185"/>
      <c r="B12" s="14" t="s">
        <v>21</v>
      </c>
      <c r="C12" s="130">
        <f>AVERAGE('GT Comparison'!L132:L149)</f>
        <v>0.98877665544332216</v>
      </c>
      <c r="D12" s="130">
        <f>AVERAGE('GT Comparison'!M132:M149)</f>
        <v>0.77272727272727271</v>
      </c>
      <c r="E12" s="138">
        <f>AVERAGE('GT Comparison'!N132:N149)</f>
        <v>0.86564475160966425</v>
      </c>
      <c r="F12" s="130">
        <f>AVERAGE('GT Comparison'!Q132:Q149)</f>
        <v>1</v>
      </c>
      <c r="G12" s="130">
        <f>AVERAGE('GT Comparison'!R132:R149)</f>
        <v>0.6929824561403507</v>
      </c>
      <c r="H12" s="138">
        <f>AVERAGE('GT Comparison'!S132:S149)</f>
        <v>0.8080312933254109</v>
      </c>
      <c r="I12" s="130">
        <f>AVERAGE('GT Comparison'!V132:V149)</f>
        <v>0.75951980118646789</v>
      </c>
      <c r="J12" s="130">
        <f>AVERAGE('GT Comparison'!W132:W149)</f>
        <v>0.59595959595959591</v>
      </c>
      <c r="K12" s="138">
        <f>AVERAGE('GT Comparison'!X132:X149)</f>
        <v>0.66637722251757336</v>
      </c>
      <c r="L12" s="130">
        <f>AVERAGE('GT Comparison'!AA132:AA149)</f>
        <v>0.56310541310541307</v>
      </c>
      <c r="M12" s="130">
        <f>AVERAGE('GT Comparison'!AB132:AB149)</f>
        <v>0.37426900584795308</v>
      </c>
      <c r="N12" s="138">
        <f>AVERAGE('GT Comparison'!AC132:AC149)</f>
        <v>0.43977767874826695</v>
      </c>
    </row>
    <row r="13" spans="1:30" ht="15.75" customHeight="1" thickBot="1" x14ac:dyDescent="0.4">
      <c r="A13" s="185"/>
      <c r="B13" s="20" t="s">
        <v>22</v>
      </c>
      <c r="C13" s="131">
        <f>AVERAGE('GT Comparison'!L150:L167)</f>
        <v>0.96296296296296313</v>
      </c>
      <c r="D13" s="131">
        <f>AVERAGE('GT Comparison'!M150:M167)</f>
        <v>0.80808080808080807</v>
      </c>
      <c r="E13" s="139">
        <f>AVERAGE('GT Comparison'!N150:N167)</f>
        <v>0.87777777777777799</v>
      </c>
      <c r="F13" s="131">
        <f>AVERAGE('GT Comparison'!Q150:Q167)</f>
        <v>1</v>
      </c>
      <c r="G13" s="131">
        <f>AVERAGE('GT Comparison'!R150:R167)</f>
        <v>0.71052631578947356</v>
      </c>
      <c r="H13" s="139">
        <f>AVERAGE('GT Comparison'!S150:S167)</f>
        <v>0.82158427621887375</v>
      </c>
      <c r="I13" s="131">
        <f>AVERAGE('GT Comparison'!V150:V167)</f>
        <v>0.76543209876543217</v>
      </c>
      <c r="J13" s="131">
        <f>AVERAGE('GT Comparison'!W150:W167)</f>
        <v>0.64646464646464652</v>
      </c>
      <c r="K13" s="139">
        <f>AVERAGE('GT Comparison'!X150:X167)</f>
        <v>0.69999999999999984</v>
      </c>
      <c r="L13" s="131">
        <f>AVERAGE('GT Comparison'!AA150:AA167)</f>
        <v>0.61303043934622881</v>
      </c>
      <c r="M13" s="131">
        <f>AVERAGE('GT Comparison'!AB150:AB167)</f>
        <v>0.43567251461988293</v>
      </c>
      <c r="N13" s="139">
        <f>AVERAGE('GT Comparison'!AC150:AC167)</f>
        <v>0.5014046233813505</v>
      </c>
    </row>
    <row r="14" spans="1:30" ht="15.75" customHeight="1" thickBot="1" x14ac:dyDescent="0.4">
      <c r="A14" s="185" t="s">
        <v>25</v>
      </c>
      <c r="B14" s="7" t="s">
        <v>15</v>
      </c>
      <c r="C14" s="130">
        <f>AVERAGE('GT Comparison'!L168:L185)</f>
        <v>1</v>
      </c>
      <c r="D14" s="130">
        <f>AVERAGE('GT Comparison'!M168:M185)</f>
        <v>1</v>
      </c>
      <c r="E14" s="138">
        <f>AVERAGE('GT Comparison'!N168:N185)</f>
        <v>1</v>
      </c>
      <c r="F14" s="130">
        <f>AVERAGE('GT Comparison'!Q168:Q185)</f>
        <v>1</v>
      </c>
      <c r="G14" s="130">
        <f>AVERAGE('GT Comparison'!R168:R185)</f>
        <v>0.62426900584795308</v>
      </c>
      <c r="H14" s="138">
        <f>AVERAGE('GT Comparison'!S168:S185)</f>
        <v>0.76329764606600781</v>
      </c>
      <c r="I14" s="130">
        <f>AVERAGE('GT Comparison'!V168:V185)</f>
        <v>1</v>
      </c>
      <c r="J14" s="130">
        <f>AVERAGE('GT Comparison'!W168:W185)</f>
        <v>1</v>
      </c>
      <c r="K14" s="138">
        <f>AVERAGE('GT Comparison'!X168:X185)</f>
        <v>1</v>
      </c>
      <c r="L14" s="130">
        <f>AVERAGE('GT Comparison'!AA168:AA185)</f>
        <v>1</v>
      </c>
      <c r="M14" s="130">
        <f>AVERAGE('GT Comparison'!AB168:AB185)</f>
        <v>0.62426900584795308</v>
      </c>
      <c r="N14" s="138">
        <f>AVERAGE('GT Comparison'!AC168:AC185)</f>
        <v>0.76329764606600781</v>
      </c>
    </row>
    <row r="15" spans="1:30" ht="15.75" customHeight="1" thickBot="1" x14ac:dyDescent="0.4">
      <c r="A15" s="185"/>
      <c r="B15" s="14" t="s">
        <v>21</v>
      </c>
      <c r="C15" s="130">
        <f>AVERAGE('GT Comparison'!L186:L203)</f>
        <v>1</v>
      </c>
      <c r="D15" s="130">
        <f>AVERAGE('GT Comparison'!M186:M203)</f>
        <v>1</v>
      </c>
      <c r="E15" s="138">
        <f>AVERAGE('GT Comparison'!N186:N203)</f>
        <v>1</v>
      </c>
      <c r="F15" s="130">
        <f>AVERAGE('GT Comparison'!Q186:Q203)</f>
        <v>1</v>
      </c>
      <c r="G15" s="130">
        <f>AVERAGE('GT Comparison'!R186:R203)</f>
        <v>0.466374269005848</v>
      </c>
      <c r="H15" s="138">
        <f>AVERAGE('GT Comparison'!S186:S203)</f>
        <v>0.6331189906379231</v>
      </c>
      <c r="I15" s="130">
        <f>AVERAGE('GT Comparison'!V186:V203)</f>
        <v>1</v>
      </c>
      <c r="J15" s="130">
        <f>AVERAGE('GT Comparison'!W186:W203)</f>
        <v>1</v>
      </c>
      <c r="K15" s="138">
        <f>AVERAGE('GT Comparison'!X186:X203)</f>
        <v>1</v>
      </c>
      <c r="L15" s="130">
        <f>AVERAGE('GT Comparison'!AA186:AA203)</f>
        <v>0.96031746031746024</v>
      </c>
      <c r="M15" s="130">
        <f>AVERAGE('GT Comparison'!AB186:AB203)</f>
        <v>0.44444444444444442</v>
      </c>
      <c r="N15" s="138">
        <f>AVERAGE('GT Comparison'!AC186:AC203)</f>
        <v>0.60487040306730167</v>
      </c>
    </row>
    <row r="16" spans="1:30" ht="15.75" customHeight="1" thickBot="1" x14ac:dyDescent="0.4">
      <c r="A16" s="185"/>
      <c r="B16" s="20" t="s">
        <v>22</v>
      </c>
      <c r="C16" s="131">
        <f>AVERAGE('GT Comparison'!L204:L221)</f>
        <v>1</v>
      </c>
      <c r="D16" s="131">
        <f>AVERAGE('GT Comparison'!M204:M221)</f>
        <v>1</v>
      </c>
      <c r="E16" s="139">
        <f>AVERAGE('GT Comparison'!N204:N221)</f>
        <v>1</v>
      </c>
      <c r="F16" s="131">
        <f>AVERAGE('GT Comparison'!Q204:Q221)</f>
        <v>1</v>
      </c>
      <c r="G16" s="131">
        <f>AVERAGE('GT Comparison'!R204:R221)</f>
        <v>0.44444444444444453</v>
      </c>
      <c r="H16" s="139">
        <f>AVERAGE('GT Comparison'!S204:S221)</f>
        <v>0.61198739919913925</v>
      </c>
      <c r="I16" s="131">
        <f>AVERAGE('GT Comparison'!V204:V221)</f>
        <v>1</v>
      </c>
      <c r="J16" s="131">
        <f>AVERAGE('GT Comparison'!W204:W221)</f>
        <v>1</v>
      </c>
      <c r="K16" s="139">
        <f>AVERAGE('GT Comparison'!X204:X221)</f>
        <v>1</v>
      </c>
      <c r="L16" s="131">
        <f>AVERAGE('GT Comparison'!AA204:AA221)</f>
        <v>1</v>
      </c>
      <c r="M16" s="131">
        <f>AVERAGE('GT Comparison'!AB204:AB221)</f>
        <v>0.44444444444444453</v>
      </c>
      <c r="N16" s="139">
        <f>AVERAGE('GT Comparison'!AC204:AC221)</f>
        <v>0.61198739919913925</v>
      </c>
    </row>
    <row r="17" spans="1:14" ht="15.75" customHeight="1" thickBot="1" x14ac:dyDescent="0.4">
      <c r="A17" s="185" t="s">
        <v>26</v>
      </c>
      <c r="B17" s="7" t="s">
        <v>15</v>
      </c>
      <c r="C17" s="130">
        <f>AVERAGE('GT Comparison'!L222:L239)</f>
        <v>1</v>
      </c>
      <c r="D17" s="130">
        <f>AVERAGE('GT Comparison'!M222:M239)</f>
        <v>1</v>
      </c>
      <c r="E17" s="138">
        <f>AVERAGE('GT Comparison'!N222:N239)</f>
        <v>1</v>
      </c>
      <c r="F17" s="130">
        <f>AVERAGE('GT Comparison'!Q222:Q239)</f>
        <v>1</v>
      </c>
      <c r="G17" s="130">
        <f>AVERAGE('GT Comparison'!R222:R239)</f>
        <v>0.77160493827160515</v>
      </c>
      <c r="H17" s="138">
        <f>AVERAGE('GT Comparison'!S222:S239)</f>
        <v>0.87083333333333346</v>
      </c>
      <c r="I17" s="130">
        <f>AVERAGE('GT Comparison'!V222:V239)</f>
        <v>1</v>
      </c>
      <c r="J17" s="130">
        <f>AVERAGE('GT Comparison'!W222:W239)</f>
        <v>1</v>
      </c>
      <c r="K17" s="138">
        <f>AVERAGE('GT Comparison'!X222:X239)</f>
        <v>1</v>
      </c>
      <c r="L17" s="130">
        <f>AVERAGE('GT Comparison'!AA222:AA239)</f>
        <v>0.57671957671957652</v>
      </c>
      <c r="M17" s="130">
        <f>AVERAGE('GT Comparison'!AB222:AB239)</f>
        <v>0.44444444444444453</v>
      </c>
      <c r="N17" s="138">
        <f>AVERAGE('GT Comparison'!AC222:AC239)</f>
        <v>0.50185185185185188</v>
      </c>
    </row>
    <row r="18" spans="1:14" ht="15.75" customHeight="1" thickBot="1" x14ac:dyDescent="0.4">
      <c r="A18" s="185"/>
      <c r="B18" s="14" t="s">
        <v>21</v>
      </c>
      <c r="C18" s="130">
        <f>AVERAGE('GT Comparison'!L240:L257)</f>
        <v>1</v>
      </c>
      <c r="D18" s="142">
        <f>AVERAGE('GT Comparison'!M240:M257)</f>
        <v>1.2592592592592593</v>
      </c>
      <c r="E18" s="144">
        <f>AVERAGE('GT Comparison'!N240:N257)</f>
        <v>1.0972222222222223</v>
      </c>
      <c r="F18" s="130">
        <f>AVERAGE('GT Comparison'!Q240:Q257)</f>
        <v>1</v>
      </c>
      <c r="G18" s="130">
        <f>AVERAGE('GT Comparison'!R240:R257)</f>
        <v>0.85185185185185197</v>
      </c>
      <c r="H18" s="138">
        <f>AVERAGE('GT Comparison'!S240:S257)</f>
        <v>0.91309585237603796</v>
      </c>
      <c r="I18" s="130">
        <f>AVERAGE('GT Comparison'!V240:V257)</f>
        <v>0.84444444444444433</v>
      </c>
      <c r="J18" s="130">
        <f>AVERAGE('GT Comparison'!W240:W257)</f>
        <v>1</v>
      </c>
      <c r="K18" s="138">
        <f>AVERAGE('GT Comparison'!X240:X257)</f>
        <v>0.90277777777777779</v>
      </c>
      <c r="L18" s="130">
        <f>AVERAGE('GT Comparison'!AA240:AA257)</f>
        <v>0.50643738977072317</v>
      </c>
      <c r="M18" s="130">
        <f>AVERAGE('GT Comparison'!AB240:AB257)</f>
        <v>0.41975308641975312</v>
      </c>
      <c r="N18" s="138">
        <f>AVERAGE('GT Comparison'!AC240:AC257)</f>
        <v>0.45529073227731637</v>
      </c>
    </row>
    <row r="19" spans="1:14" ht="15.75" customHeight="1" thickBot="1" x14ac:dyDescent="0.4">
      <c r="A19" s="185"/>
      <c r="B19" s="20" t="s">
        <v>22</v>
      </c>
      <c r="C19" s="131">
        <f>AVERAGE('GT Comparison'!L258:L275)</f>
        <v>1</v>
      </c>
      <c r="D19" s="143">
        <f>AVERAGE('GT Comparison'!M258:M275)</f>
        <v>1.074074074074074</v>
      </c>
      <c r="E19" s="143">
        <f>AVERAGE('GT Comparison'!N258:N275)</f>
        <v>1.0277777777777777</v>
      </c>
      <c r="F19" s="131">
        <f>AVERAGE('GT Comparison'!Q258:Q275)</f>
        <v>1</v>
      </c>
      <c r="G19" s="131">
        <f>AVERAGE('GT Comparison'!R258:R275)</f>
        <v>0.9197530864197534</v>
      </c>
      <c r="H19" s="139">
        <f>AVERAGE('GT Comparison'!S258:S275)</f>
        <v>0.95039428815004279</v>
      </c>
      <c r="I19" s="131">
        <f>AVERAGE('GT Comparison'!V258:V275)</f>
        <v>0.95555555555555571</v>
      </c>
      <c r="J19" s="131">
        <f>AVERAGE('GT Comparison'!W258:W275)</f>
        <v>1</v>
      </c>
      <c r="K19" s="139">
        <f>AVERAGE('GT Comparison'!X258:X275)</f>
        <v>0.97222222222222221</v>
      </c>
      <c r="L19" s="131">
        <f>AVERAGE('GT Comparison'!AA258:AA275)</f>
        <v>0.49735449735449738</v>
      </c>
      <c r="M19" s="131">
        <f>AVERAGE('GT Comparison'!AB258:AB275)</f>
        <v>0.44444444444444453</v>
      </c>
      <c r="N19" s="139">
        <f>AVERAGE('GT Comparison'!AC258:AC275)</f>
        <v>0.4664914274888699</v>
      </c>
    </row>
    <row r="20" spans="1:14" ht="15.75" customHeight="1" thickBot="1" x14ac:dyDescent="0.4">
      <c r="A20" s="185" t="s">
        <v>27</v>
      </c>
      <c r="B20" s="7" t="s">
        <v>15</v>
      </c>
      <c r="C20" s="130">
        <f>AVERAGE('GT Comparison'!L276:L293)</f>
        <v>1</v>
      </c>
      <c r="D20" s="130">
        <f>AVERAGE('GT Comparison'!M276:M293)</f>
        <v>0.55555555555555547</v>
      </c>
      <c r="E20" s="138">
        <f>AVERAGE('GT Comparison'!N276:N293)</f>
        <v>0.71428571428571397</v>
      </c>
      <c r="F20" s="130">
        <f>AVERAGE('GT Comparison'!Q276:Q293)</f>
        <v>1</v>
      </c>
      <c r="G20" s="130">
        <f>AVERAGE('GT Comparison'!R276:R293)</f>
        <v>0.6153846153846152</v>
      </c>
      <c r="H20" s="138">
        <f>AVERAGE('GT Comparison'!S276:S293)</f>
        <v>0.76190476190476231</v>
      </c>
      <c r="I20" s="130">
        <f>AVERAGE('GT Comparison'!V276:V293)</f>
        <v>0.59999999999999987</v>
      </c>
      <c r="J20" s="130">
        <f>AVERAGE('GT Comparison'!W276:W293)</f>
        <v>0.33333333333333326</v>
      </c>
      <c r="K20" s="138">
        <f>AVERAGE('GT Comparison'!X276:X293)</f>
        <v>0.4285714285714286</v>
      </c>
      <c r="L20" s="130">
        <f>AVERAGE('GT Comparison'!AA276:AA293)</f>
        <v>0.625</v>
      </c>
      <c r="M20" s="130">
        <f>AVERAGE('GT Comparison'!AB276:AB293)</f>
        <v>0.3846153846153848</v>
      </c>
      <c r="N20" s="138">
        <f>AVERAGE('GT Comparison'!AC276:AC293)</f>
        <v>0.47619047619047616</v>
      </c>
    </row>
    <row r="21" spans="1:14" ht="15.75" customHeight="1" thickBot="1" x14ac:dyDescent="0.4">
      <c r="A21" s="185"/>
      <c r="B21" s="14" t="s">
        <v>21</v>
      </c>
      <c r="C21" s="130">
        <f>AVERAGE('GT Comparison'!L294:L311)</f>
        <v>0.85555555555555551</v>
      </c>
      <c r="D21" s="130">
        <f>AVERAGE('GT Comparison'!M294:M311)</f>
        <v>0.47530864197530864</v>
      </c>
      <c r="E21" s="138">
        <f>AVERAGE('GT Comparison'!N294:N311)</f>
        <v>0.61111111111111105</v>
      </c>
      <c r="F21" s="130">
        <f>AVERAGE('GT Comparison'!Q294:Q311)</f>
        <v>1</v>
      </c>
      <c r="G21" s="130">
        <f>AVERAGE('GT Comparison'!R294:R311)</f>
        <v>0.6367521367521366</v>
      </c>
      <c r="H21" s="138">
        <f>AVERAGE('GT Comparison'!S294:S311)</f>
        <v>0.77753727753727775</v>
      </c>
      <c r="I21" s="130">
        <f>AVERAGE('GT Comparison'!V294:V311)</f>
        <v>0.59999999999999987</v>
      </c>
      <c r="J21" s="130">
        <f>AVERAGE('GT Comparison'!W294:W311)</f>
        <v>0.33333333333333326</v>
      </c>
      <c r="K21" s="138">
        <f>AVERAGE('GT Comparison'!X294:X311)</f>
        <v>0.4285714285714286</v>
      </c>
      <c r="L21" s="130">
        <f>AVERAGE('GT Comparison'!AA294:AA311)</f>
        <v>0.60570987654320985</v>
      </c>
      <c r="M21" s="130">
        <f>AVERAGE('GT Comparison'!AB294:AB311)</f>
        <v>0.3846153846153848</v>
      </c>
      <c r="N21" s="138">
        <f>AVERAGE('GT Comparison'!AC294:AC311)</f>
        <v>0.47017797017797025</v>
      </c>
    </row>
    <row r="22" spans="1:14" ht="15.75" customHeight="1" thickBot="1" x14ac:dyDescent="0.4">
      <c r="A22" s="185"/>
      <c r="B22" s="20" t="s">
        <v>22</v>
      </c>
      <c r="C22" s="131">
        <f>AVERAGE('GT Comparison'!L312:L329)</f>
        <v>1</v>
      </c>
      <c r="D22" s="131">
        <f>AVERAGE('GT Comparison'!M312:M329)</f>
        <v>0.55555555555555547</v>
      </c>
      <c r="E22" s="139">
        <f>AVERAGE('GT Comparison'!N312:N329)</f>
        <v>0.71428571428571397</v>
      </c>
      <c r="F22" s="131">
        <f>AVERAGE('GT Comparison'!Q312:Q329)</f>
        <v>1</v>
      </c>
      <c r="G22" s="131">
        <f>AVERAGE('GT Comparison'!R312:R329)</f>
        <v>0.6153846153846152</v>
      </c>
      <c r="H22" s="139">
        <f>AVERAGE('GT Comparison'!S312:S329)</f>
        <v>0.76190476190476231</v>
      </c>
      <c r="I22" s="131">
        <f>AVERAGE('GT Comparison'!V312:V329)</f>
        <v>0.59999999999999987</v>
      </c>
      <c r="J22" s="131">
        <f>AVERAGE('GT Comparison'!W312:W329)</f>
        <v>0.33333333333333326</v>
      </c>
      <c r="K22" s="139">
        <f>AVERAGE('GT Comparison'!X312:X329)</f>
        <v>0.4285714285714286</v>
      </c>
      <c r="L22" s="131">
        <f>AVERAGE('GT Comparison'!AA312:AA329)</f>
        <v>0.625</v>
      </c>
      <c r="M22" s="131">
        <f>AVERAGE('GT Comparison'!AB312:AB329)</f>
        <v>0.3846153846153848</v>
      </c>
      <c r="N22" s="139">
        <f>AVERAGE('GT Comparison'!AC312:AC329)</f>
        <v>0.47619047619047616</v>
      </c>
    </row>
    <row r="23" spans="1:14" ht="15.75" customHeight="1" thickBot="1" x14ac:dyDescent="0.4">
      <c r="A23" s="185" t="s">
        <v>28</v>
      </c>
      <c r="B23" s="7" t="s">
        <v>15</v>
      </c>
      <c r="C23" s="130">
        <f>AVERAGE('GT Comparison'!L330:L347)</f>
        <v>1</v>
      </c>
      <c r="D23" s="130">
        <f>AVERAGE('GT Comparison'!M330:M347)</f>
        <v>1</v>
      </c>
      <c r="E23" s="138">
        <f>AVERAGE('GT Comparison'!N330:N347)</f>
        <v>1</v>
      </c>
      <c r="F23" s="130">
        <f>AVERAGE('GT Comparison'!Q330:Q347)</f>
        <v>1</v>
      </c>
      <c r="G23" s="130">
        <f>AVERAGE('GT Comparison'!R330:R347)</f>
        <v>0.83333333333333337</v>
      </c>
      <c r="H23" s="138">
        <f>AVERAGE('GT Comparison'!S330:S347)</f>
        <v>0.9042141049968373</v>
      </c>
      <c r="I23" s="130">
        <f>AVERAGE('GT Comparison'!V330:V347)</f>
        <v>1</v>
      </c>
      <c r="J23" s="130">
        <f>AVERAGE('GT Comparison'!W330:W347)</f>
        <v>1</v>
      </c>
      <c r="K23" s="138">
        <f>AVERAGE('GT Comparison'!X330:X347)</f>
        <v>1</v>
      </c>
      <c r="L23" s="130">
        <f>AVERAGE('GT Comparison'!AA330:AA347)</f>
        <v>1</v>
      </c>
      <c r="M23" s="130">
        <f>AVERAGE('GT Comparison'!AB330:AB347)</f>
        <v>0.83333333333333337</v>
      </c>
      <c r="N23" s="138">
        <f>AVERAGE('GT Comparison'!AC330:AC347)</f>
        <v>0.9042141049968373</v>
      </c>
    </row>
    <row r="24" spans="1:14" ht="15.75" customHeight="1" thickBot="1" x14ac:dyDescent="0.4">
      <c r="A24" s="185"/>
      <c r="B24" s="14" t="s">
        <v>21</v>
      </c>
      <c r="C24" s="130">
        <f>AVERAGE('GT Comparison'!L348:L365)</f>
        <v>1</v>
      </c>
      <c r="D24" s="130">
        <f>AVERAGE('GT Comparison'!M348:M365)</f>
        <v>1</v>
      </c>
      <c r="E24" s="138">
        <f>AVERAGE('GT Comparison'!N348:N365)</f>
        <v>1</v>
      </c>
      <c r="F24" s="130">
        <f>AVERAGE('GT Comparison'!Q348:Q365)</f>
        <v>1</v>
      </c>
      <c r="G24" s="130">
        <f>AVERAGE('GT Comparison'!R348:R365)</f>
        <v>0.6080246913580245</v>
      </c>
      <c r="H24" s="138">
        <f>AVERAGE('GT Comparison'!S348:S365)</f>
        <v>0.75615763546798043</v>
      </c>
      <c r="I24" s="130">
        <f>AVERAGE('GT Comparison'!V348:V365)</f>
        <v>1</v>
      </c>
      <c r="J24" s="130">
        <f>AVERAGE('GT Comparison'!W348:W365)</f>
        <v>1</v>
      </c>
      <c r="K24" s="138">
        <f>AVERAGE('GT Comparison'!X348:X365)</f>
        <v>1</v>
      </c>
      <c r="L24" s="130">
        <f>AVERAGE('GT Comparison'!AA348:AA365)</f>
        <v>0.81767676767676767</v>
      </c>
      <c r="M24" s="130">
        <f>AVERAGE('GT Comparison'!AB348:AB365)</f>
        <v>0.49691358024691357</v>
      </c>
      <c r="N24" s="138">
        <f>AVERAGE('GT Comparison'!AC348:AC365)</f>
        <v>0.61808976464148857</v>
      </c>
    </row>
    <row r="25" spans="1:14" ht="15.75" customHeight="1" thickBot="1" x14ac:dyDescent="0.4">
      <c r="A25" s="185"/>
      <c r="B25" s="20" t="s">
        <v>22</v>
      </c>
      <c r="C25" s="131">
        <f>AVERAGE('GT Comparison'!L366:L383)</f>
        <v>1</v>
      </c>
      <c r="D25" s="131">
        <f>AVERAGE('GT Comparison'!M366:M383)</f>
        <v>1</v>
      </c>
      <c r="E25" s="139">
        <f>AVERAGE('GT Comparison'!N366:N383)</f>
        <v>1</v>
      </c>
      <c r="F25" s="131">
        <f>AVERAGE('GT Comparison'!Q366:Q383)</f>
        <v>1</v>
      </c>
      <c r="G25" s="131">
        <f>AVERAGE('GT Comparison'!R366:R383)</f>
        <v>0.62654320987654311</v>
      </c>
      <c r="H25" s="139">
        <f>AVERAGE('GT Comparison'!S366:S383)</f>
        <v>0.76911479325272447</v>
      </c>
      <c r="I25" s="131">
        <f>AVERAGE('GT Comparison'!V366:V383)</f>
        <v>1</v>
      </c>
      <c r="J25" s="131">
        <f>AVERAGE('GT Comparison'!W366:W383)</f>
        <v>1</v>
      </c>
      <c r="K25" s="139">
        <f>AVERAGE('GT Comparison'!X366:X383)</f>
        <v>1</v>
      </c>
      <c r="L25" s="131">
        <f>AVERAGE('GT Comparison'!AA366:AA383)</f>
        <v>0.8382154882154883</v>
      </c>
      <c r="M25" s="131">
        <f>AVERAGE('GT Comparison'!AB366:AB383)</f>
        <v>0.52777777777777779</v>
      </c>
      <c r="N25" s="139">
        <f>AVERAGE('GT Comparison'!AC366:AC383)</f>
        <v>0.64649118442221853</v>
      </c>
    </row>
    <row r="26" spans="1:14" ht="15.75" customHeight="1" thickBot="1" x14ac:dyDescent="0.4">
      <c r="A26" s="185" t="s">
        <v>29</v>
      </c>
      <c r="B26" s="7" t="s">
        <v>15</v>
      </c>
      <c r="C26" s="130">
        <f>AVERAGE('GT Comparison'!L384:L401)</f>
        <v>1</v>
      </c>
      <c r="D26" s="142">
        <f>AVERAGE('GT Comparison'!M384:M401)</f>
        <v>1.0158730158730158</v>
      </c>
      <c r="E26" s="142">
        <f>AVERAGE('GT Comparison'!N384:N401)</f>
        <v>1.0069444444444444</v>
      </c>
      <c r="F26" s="130">
        <f>AVERAGE('GT Comparison'!Q384:Q401)</f>
        <v>1</v>
      </c>
      <c r="G26" s="130">
        <f>AVERAGE('GT Comparison'!R384:R401)</f>
        <v>0.95454545454545447</v>
      </c>
      <c r="H26" s="138">
        <f>AVERAGE('GT Comparison'!S384:S401)</f>
        <v>0.97492063492063508</v>
      </c>
      <c r="I26" s="130">
        <f>AVERAGE('GT Comparison'!V384:V401)</f>
        <v>0.94797178130511461</v>
      </c>
      <c r="J26" s="130">
        <f>AVERAGE('GT Comparison'!W384:W401)</f>
        <v>0.96031746031746024</v>
      </c>
      <c r="K26" s="138">
        <f>AVERAGE('GT Comparison'!X384:X401)</f>
        <v>0.95337301587301582</v>
      </c>
      <c r="L26" s="130">
        <f>AVERAGE('GT Comparison'!AA384:AA401)</f>
        <v>0.82936507936507942</v>
      </c>
      <c r="M26" s="130">
        <f>AVERAGE('GT Comparison'!AB384:AB401)</f>
        <v>0.78787878787878762</v>
      </c>
      <c r="N26" s="138">
        <f>AVERAGE('GT Comparison'!AC384:AC401)</f>
        <v>0.80708994708994719</v>
      </c>
    </row>
    <row r="27" spans="1:14" ht="15.75" customHeight="1" thickBot="1" x14ac:dyDescent="0.4">
      <c r="A27" s="185"/>
      <c r="B27" s="14" t="s">
        <v>21</v>
      </c>
      <c r="C27" s="130">
        <f>AVERAGE('GT Comparison'!L402:L419)</f>
        <v>0.87469937469937475</v>
      </c>
      <c r="D27" s="130">
        <f>AVERAGE('GT Comparison'!M402:M419)</f>
        <v>0.93650793650793629</v>
      </c>
      <c r="E27" s="138">
        <f>AVERAGE('GT Comparison'!N402:N419)</f>
        <v>0.90141093474426803</v>
      </c>
      <c r="F27" s="130">
        <f>AVERAGE('GT Comparison'!Q402:Q419)</f>
        <v>0.99494949494949503</v>
      </c>
      <c r="G27" s="130">
        <f>AVERAGE('GT Comparison'!R402:R419)</f>
        <v>0.89898989898989867</v>
      </c>
      <c r="H27" s="138">
        <f>AVERAGE('GT Comparison'!S402:S419)</f>
        <v>0.93387289039462951</v>
      </c>
      <c r="I27" s="130">
        <f>AVERAGE('GT Comparison'!V402:V419)</f>
        <v>0.73481842231842232</v>
      </c>
      <c r="J27" s="130">
        <f>AVERAGE('GT Comparison'!W402:W419)</f>
        <v>0.77777777777777779</v>
      </c>
      <c r="K27" s="138">
        <f>AVERAGE('GT Comparison'!X402:X419)</f>
        <v>0.7531966490299824</v>
      </c>
      <c r="L27" s="130">
        <f>AVERAGE('GT Comparison'!AA402:AA419)</f>
        <v>0.83232323232323235</v>
      </c>
      <c r="M27" s="130">
        <f>AVERAGE('GT Comparison'!AB402:AB419)</f>
        <v>0.73737373737373724</v>
      </c>
      <c r="N27" s="138">
        <f>AVERAGE('GT Comparison'!AC402:AC419)</f>
        <v>0.77189075015161979</v>
      </c>
    </row>
    <row r="28" spans="1:14" ht="15.75" customHeight="1" thickBot="1" x14ac:dyDescent="0.4">
      <c r="A28" s="185"/>
      <c r="B28" s="20" t="s">
        <v>22</v>
      </c>
      <c r="C28" s="131">
        <f>AVERAGE('GT Comparison'!L420:L437)</f>
        <v>1</v>
      </c>
      <c r="D28" s="143">
        <f>AVERAGE('GT Comparison'!M420:M437)</f>
        <v>1.0317460317460316</v>
      </c>
      <c r="E28" s="143">
        <f>AVERAGE('GT Comparison'!N420:N437)</f>
        <v>1.0148148148148148</v>
      </c>
      <c r="F28" s="131">
        <f>AVERAGE('GT Comparison'!Q420:Q437)</f>
        <v>1</v>
      </c>
      <c r="G28" s="131">
        <f>AVERAGE('GT Comparison'!R420:R437)</f>
        <v>0.92929292929292906</v>
      </c>
      <c r="H28" s="139">
        <f>AVERAGE('GT Comparison'!S420:S437)</f>
        <v>0.9621275410749095</v>
      </c>
      <c r="I28" s="131">
        <f>AVERAGE('GT Comparison'!V420:V437)</f>
        <v>0.97222222222222221</v>
      </c>
      <c r="J28" s="131">
        <f>AVERAGE('GT Comparison'!W420:W437)</f>
        <v>1</v>
      </c>
      <c r="K28" s="139">
        <f>AVERAGE('GT Comparison'!X420:X437)</f>
        <v>0.98518518518518527</v>
      </c>
      <c r="L28" s="131">
        <f>AVERAGE('GT Comparison'!AA420:AA437)</f>
        <v>0.94949494949494939</v>
      </c>
      <c r="M28" s="131">
        <f>AVERAGE('GT Comparison'!AB420:AB437)</f>
        <v>0.87878787878787845</v>
      </c>
      <c r="N28" s="139">
        <f>AVERAGE('GT Comparison'!AC420:AC437)</f>
        <v>0.911622490569859</v>
      </c>
    </row>
    <row r="29" spans="1:14" ht="15.75" customHeight="1" thickBot="1" x14ac:dyDescent="0.4">
      <c r="A29" s="185" t="s">
        <v>30</v>
      </c>
      <c r="B29" s="7" t="s">
        <v>15</v>
      </c>
      <c r="C29" s="130">
        <f>AVERAGE('GT Comparison'!L438:L455)</f>
        <v>1</v>
      </c>
      <c r="D29" s="130">
        <f>AVERAGE('GT Comparison'!M438:M455)</f>
        <v>1</v>
      </c>
      <c r="E29" s="138">
        <f>AVERAGE('GT Comparison'!N438:N455)</f>
        <v>1</v>
      </c>
      <c r="F29" s="130">
        <f>AVERAGE('GT Comparison'!Q438:Q455)</f>
        <v>1</v>
      </c>
      <c r="G29" s="142">
        <f>AVERAGE('GT Comparison'!R438:R455)</f>
        <v>1.0370370370370372</v>
      </c>
      <c r="H29" s="142">
        <f>AVERAGE('GT Comparison'!S438:S455)</f>
        <v>1.0158730158730158</v>
      </c>
      <c r="I29" s="130">
        <f>AVERAGE('GT Comparison'!V438:V455)</f>
        <v>1</v>
      </c>
      <c r="J29" s="130">
        <f>AVERAGE('GT Comparison'!W438:W455)</f>
        <v>1</v>
      </c>
      <c r="K29" s="138">
        <f>AVERAGE('GT Comparison'!X438:X455)</f>
        <v>1</v>
      </c>
      <c r="L29" s="130">
        <f>AVERAGE('GT Comparison'!AA438:AA455)</f>
        <v>0.7372685185185186</v>
      </c>
      <c r="M29" s="130">
        <f>AVERAGE('GT Comparison'!AB438:AB455)</f>
        <v>0.75925925925925919</v>
      </c>
      <c r="N29" s="138">
        <f>AVERAGE('GT Comparison'!AC438:AC455)</f>
        <v>0.74669312169312174</v>
      </c>
    </row>
    <row r="30" spans="1:14" ht="15.75" customHeight="1" thickBot="1" x14ac:dyDescent="0.4">
      <c r="A30" s="185"/>
      <c r="B30" s="14" t="s">
        <v>21</v>
      </c>
      <c r="C30" s="130">
        <f>AVERAGE('GT Comparison'!L456:L473)</f>
        <v>0.95061728395061729</v>
      </c>
      <c r="D30" s="130">
        <f>AVERAGE('GT Comparison'!M456:M473)</f>
        <v>0.95061728395061729</v>
      </c>
      <c r="E30" s="138">
        <f>AVERAGE('GT Comparison'!N456:N473)</f>
        <v>0.95061728395061729</v>
      </c>
      <c r="F30" s="130">
        <f>AVERAGE('GT Comparison'!Q456:Q473)</f>
        <v>1</v>
      </c>
      <c r="G30" s="130">
        <f>AVERAGE('GT Comparison'!R456:R473)</f>
        <v>0.97685185185185175</v>
      </c>
      <c r="H30" s="138">
        <f>AVERAGE('GT Comparison'!S456:S473)</f>
        <v>0.96658312447786132</v>
      </c>
      <c r="I30" s="130">
        <f>AVERAGE('GT Comparison'!V456:V473)</f>
        <v>0.95061728395061729</v>
      </c>
      <c r="J30" s="130">
        <f>AVERAGE('GT Comparison'!W456:W473)</f>
        <v>0.95061728395061729</v>
      </c>
      <c r="K30" s="138">
        <f>AVERAGE('GT Comparison'!X456:X473)</f>
        <v>0.95061728395061729</v>
      </c>
      <c r="L30" s="130">
        <f>AVERAGE('GT Comparison'!AA456:AA473)</f>
        <v>0.71990740740740733</v>
      </c>
      <c r="M30" s="130">
        <f>AVERAGE('GT Comparison'!AB456:AB473)</f>
        <v>0.65277777777777768</v>
      </c>
      <c r="N30" s="138">
        <f>AVERAGE('GT Comparison'!AC456:AC473)</f>
        <v>0.66764132553606226</v>
      </c>
    </row>
    <row r="31" spans="1:14" ht="15.75" customHeight="1" thickBot="1" x14ac:dyDescent="0.4">
      <c r="A31" s="185"/>
      <c r="B31" s="20" t="s">
        <v>22</v>
      </c>
      <c r="C31" s="131">
        <f>AVERAGE('GT Comparison'!L474:L491)</f>
        <v>1</v>
      </c>
      <c r="D31" s="131">
        <f>AVERAGE('GT Comparison'!M474:M491)</f>
        <v>1</v>
      </c>
      <c r="E31" s="139">
        <f>AVERAGE('GT Comparison'!N474:N491)</f>
        <v>1</v>
      </c>
      <c r="F31" s="131">
        <f>AVERAGE('GT Comparison'!Q474:Q491)</f>
        <v>1</v>
      </c>
      <c r="G31" s="143">
        <f>AVERAGE('GT Comparison'!R474:R491)</f>
        <v>1.0833333333333333</v>
      </c>
      <c r="H31" s="143">
        <f>AVERAGE('GT Comparison'!S474:S491)</f>
        <v>1.0316770186335404</v>
      </c>
      <c r="I31" s="131">
        <f>AVERAGE('GT Comparison'!V474:V491)</f>
        <v>1</v>
      </c>
      <c r="J31" s="131">
        <f>AVERAGE('GT Comparison'!W474:W491)</f>
        <v>1</v>
      </c>
      <c r="K31" s="139">
        <f>AVERAGE('GT Comparison'!X474:X491)</f>
        <v>1</v>
      </c>
      <c r="L31" s="131">
        <f>AVERAGE('GT Comparison'!AA474:AA491)</f>
        <v>0.6571969696969695</v>
      </c>
      <c r="M31" s="131">
        <f>AVERAGE('GT Comparison'!AB474:AB491)</f>
        <v>0.6944444444444442</v>
      </c>
      <c r="N31" s="139">
        <f>AVERAGE('GT Comparison'!AC474:AC491)</f>
        <v>0.66935817805383013</v>
      </c>
    </row>
    <row r="32" spans="1:14" ht="15.75" customHeight="1" thickBot="1" x14ac:dyDescent="0.4">
      <c r="A32" s="185" t="s">
        <v>31</v>
      </c>
      <c r="B32" s="7" t="s">
        <v>15</v>
      </c>
      <c r="C32" s="130">
        <f>AVERAGE('GT Comparison'!L492:L509)</f>
        <v>1</v>
      </c>
      <c r="D32" s="142">
        <f>AVERAGE('GT Comparison'!M492:M509)</f>
        <v>1.0793650793650795</v>
      </c>
      <c r="E32" s="142">
        <f>AVERAGE('GT Comparison'!N492:N509)</f>
        <v>1.0347222222222223</v>
      </c>
      <c r="F32" s="130">
        <f>AVERAGE('GT Comparison'!Q492:Q509)</f>
        <v>1</v>
      </c>
      <c r="G32" s="130">
        <f>AVERAGE('GT Comparison'!R492:R509)</f>
        <v>0.8134920634920636</v>
      </c>
      <c r="H32" s="138">
        <f>AVERAGE('GT Comparison'!S492:S509)</f>
        <v>0.8937828426717318</v>
      </c>
      <c r="I32" s="130">
        <f>AVERAGE('GT Comparison'!V492:V509)</f>
        <v>0.90740740740740733</v>
      </c>
      <c r="J32" s="130">
        <f>AVERAGE('GT Comparison'!W492:W509)</f>
        <v>0.96031746031746024</v>
      </c>
      <c r="K32" s="138">
        <f>AVERAGE('GT Comparison'!X492:X509)</f>
        <v>0.93055555555555558</v>
      </c>
      <c r="L32" s="130">
        <f>AVERAGE('GT Comparison'!AA492:AA509)</f>
        <v>0.79630439005439002</v>
      </c>
      <c r="M32" s="130">
        <f>AVERAGE('GT Comparison'!AB492:AB509)</f>
        <v>0.62698412698412698</v>
      </c>
      <c r="N32" s="138">
        <f>AVERAGE('GT Comparison'!AC492:AC509)</f>
        <v>0.6997784108895222</v>
      </c>
    </row>
    <row r="33" spans="1:14" ht="15.75" customHeight="1" thickBot="1" x14ac:dyDescent="0.4">
      <c r="A33" s="185"/>
      <c r="B33" s="14" t="s">
        <v>21</v>
      </c>
      <c r="C33" s="130">
        <f>AVERAGE('GT Comparison'!L510:L527)</f>
        <v>0.98765432098765438</v>
      </c>
      <c r="D33" s="142">
        <f>AVERAGE('GT Comparison'!M510:M527)</f>
        <v>1.1587301587301586</v>
      </c>
      <c r="E33" s="142">
        <f>AVERAGE('GT Comparison'!N510:N527)</f>
        <v>1.0625</v>
      </c>
      <c r="F33" s="130">
        <f>AVERAGE('GT Comparison'!Q510:Q527)</f>
        <v>1</v>
      </c>
      <c r="G33" s="130">
        <f>AVERAGE('GT Comparison'!R510:R527)</f>
        <v>0.80952380952380976</v>
      </c>
      <c r="H33" s="138">
        <f>AVERAGE('GT Comparison'!S510:S527)</f>
        <v>0.89418170307059219</v>
      </c>
      <c r="I33" s="130">
        <f>AVERAGE('GT Comparison'!V510:V527)</f>
        <v>0.8086419753086419</v>
      </c>
      <c r="J33" s="130">
        <f>AVERAGE('GT Comparison'!W510:W527)</f>
        <v>0.9285714285714286</v>
      </c>
      <c r="K33" s="138">
        <f>AVERAGE('GT Comparison'!X510:X527)</f>
        <v>0.86111111111111116</v>
      </c>
      <c r="L33" s="130">
        <f>AVERAGE('GT Comparison'!AA510:AA527)</f>
        <v>0.62406112406112402</v>
      </c>
      <c r="M33" s="130">
        <f>AVERAGE('GT Comparison'!AB510:AB527)</f>
        <v>0.5</v>
      </c>
      <c r="N33" s="138">
        <f>AVERAGE('GT Comparison'!AC510:AC527)</f>
        <v>0.55493510604621721</v>
      </c>
    </row>
    <row r="34" spans="1:14" ht="15.75" customHeight="1" thickBot="1" x14ac:dyDescent="0.4">
      <c r="A34" s="185"/>
      <c r="B34" s="20" t="s">
        <v>22</v>
      </c>
      <c r="C34" s="131">
        <f>AVERAGE('GT Comparison'!L528:L545)</f>
        <v>1</v>
      </c>
      <c r="D34" s="143">
        <f>AVERAGE('GT Comparison'!M528:M545)</f>
        <v>1.0079365079365079</v>
      </c>
      <c r="E34" s="143">
        <f>AVERAGE('GT Comparison'!N528:N545)</f>
        <v>1.0037037037037038</v>
      </c>
      <c r="F34" s="131">
        <f>AVERAGE('GT Comparison'!Q528:Q545)</f>
        <v>1</v>
      </c>
      <c r="G34" s="131">
        <f>AVERAGE('GT Comparison'!R528:R545)</f>
        <v>0.78174603174603208</v>
      </c>
      <c r="H34" s="139">
        <f>AVERAGE('GT Comparison'!S528:S545)</f>
        <v>0.87678310417440875</v>
      </c>
      <c r="I34" s="131">
        <f>AVERAGE('GT Comparison'!V528:V545)</f>
        <v>0.98611111111111116</v>
      </c>
      <c r="J34" s="131">
        <f>AVERAGE('GT Comparison'!W528:W545)</f>
        <v>0.99206349206349209</v>
      </c>
      <c r="K34" s="139">
        <f>AVERAGE('GT Comparison'!X528:X545)</f>
        <v>0.98888888888888893</v>
      </c>
      <c r="L34" s="131">
        <f>AVERAGE('GT Comparison'!AA528:AA545)</f>
        <v>0.85990460157126813</v>
      </c>
      <c r="M34" s="131">
        <f>AVERAGE('GT Comparison'!AB528:AB545)</f>
        <v>0.67063492063492069</v>
      </c>
      <c r="N34" s="139">
        <f>AVERAGE('GT Comparison'!AC528:AC545)</f>
        <v>0.7529635823114087</v>
      </c>
    </row>
    <row r="35" spans="1:14" ht="15.75" customHeight="1" thickBot="1" x14ac:dyDescent="0.4">
      <c r="A35" s="185" t="s">
        <v>32</v>
      </c>
      <c r="B35" s="7" t="s">
        <v>15</v>
      </c>
      <c r="C35" s="130">
        <f>AVERAGE('GT Comparison'!L546:L563)</f>
        <v>0.74514991181657864</v>
      </c>
      <c r="D35" s="130">
        <f>AVERAGE('GT Comparison'!M546:M563)</f>
        <v>0.42592592592592593</v>
      </c>
      <c r="E35" s="138">
        <f>AVERAGE('GT Comparison'!N546:N563)</f>
        <v>0.54082491582491576</v>
      </c>
      <c r="F35" s="130">
        <f>AVERAGE('GT Comparison'!Q546:Q563)</f>
        <v>0.87037037037037057</v>
      </c>
      <c r="G35" s="130">
        <f>AVERAGE('GT Comparison'!R546:R563)</f>
        <v>0.3125</v>
      </c>
      <c r="H35" s="138">
        <f>AVERAGE('GT Comparison'!S546:S563)</f>
        <v>0.45935545935545924</v>
      </c>
      <c r="I35" s="130">
        <f>AVERAGE('GT Comparison'!V546:V563)</f>
        <v>0.87213403880070528</v>
      </c>
      <c r="J35" s="130">
        <f>AVERAGE('GT Comparison'!W546:W563)</f>
        <v>0.49999999999999989</v>
      </c>
      <c r="K35" s="138">
        <f>AVERAGE('GT Comparison'!X546:X563)</f>
        <v>0.63425925925925919</v>
      </c>
      <c r="L35" s="130">
        <f>AVERAGE('GT Comparison'!AA546:AA563)</f>
        <v>0.51388888888888884</v>
      </c>
      <c r="M35" s="130">
        <f>AVERAGE('GT Comparison'!AB546:AB563)</f>
        <v>0.18055555555555555</v>
      </c>
      <c r="N35" s="138">
        <f>AVERAGE('GT Comparison'!AC546:AC563)</f>
        <v>0.26683501683501676</v>
      </c>
    </row>
    <row r="36" spans="1:14" ht="15.75" customHeight="1" thickBot="1" x14ac:dyDescent="0.4">
      <c r="A36" s="185"/>
      <c r="B36" s="14" t="s">
        <v>21</v>
      </c>
      <c r="C36" s="130">
        <f>AVERAGE('GT Comparison'!L564:L581)</f>
        <v>0.7546342546342546</v>
      </c>
      <c r="D36" s="130">
        <f>AVERAGE('GT Comparison'!M564:M581)</f>
        <v>0.52222222222222214</v>
      </c>
      <c r="E36" s="138">
        <f>AVERAGE('GT Comparison'!N564:N581)</f>
        <v>0.61183261183261173</v>
      </c>
      <c r="F36" s="130">
        <f>AVERAGE('GT Comparison'!Q564:Q581)</f>
        <v>0.85846560846560838</v>
      </c>
      <c r="G36" s="130">
        <f>AVERAGE('GT Comparison'!R564:R581)</f>
        <v>0.4079861111111111</v>
      </c>
      <c r="H36" s="138">
        <f>AVERAGE('GT Comparison'!S564:S581)</f>
        <v>0.55167053494792362</v>
      </c>
      <c r="I36" s="130">
        <f>AVERAGE('GT Comparison'!V564:V581)</f>
        <v>0.65122531789198457</v>
      </c>
      <c r="J36" s="130">
        <f>AVERAGE('GT Comparison'!W564:W581)</f>
        <v>0.43703703703703711</v>
      </c>
      <c r="K36" s="138">
        <f>AVERAGE('GT Comparison'!X564:X581)</f>
        <v>0.51894401894401887</v>
      </c>
      <c r="L36" s="130">
        <f>AVERAGE('GT Comparison'!AA564:AA581)</f>
        <v>0.48571687934433033</v>
      </c>
      <c r="M36" s="130">
        <f>AVERAGE('GT Comparison'!AB564:AB581)</f>
        <v>0.23090277777777779</v>
      </c>
      <c r="N36" s="138">
        <f>AVERAGE('GT Comparison'!AC564:AC581)</f>
        <v>0.31224914477326265</v>
      </c>
    </row>
    <row r="37" spans="1:14" ht="15.75" customHeight="1" thickBot="1" x14ac:dyDescent="0.4">
      <c r="A37" s="185"/>
      <c r="B37" s="20" t="s">
        <v>22</v>
      </c>
      <c r="C37" s="131">
        <f>AVERAGE('GT Comparison'!L582:L599)</f>
        <v>0.82849866183199528</v>
      </c>
      <c r="D37" s="131">
        <f>AVERAGE('GT Comparison'!M582:M599)</f>
        <v>0.64814814814814825</v>
      </c>
      <c r="E37" s="139">
        <f>AVERAGE('GT Comparison'!N582:N599)</f>
        <v>0.72502035002034992</v>
      </c>
      <c r="F37" s="131">
        <f>AVERAGE('GT Comparison'!Q582:Q599)</f>
        <v>0.94111111111111101</v>
      </c>
      <c r="G37" s="131">
        <f>AVERAGE('GT Comparison'!R582:R599)</f>
        <v>0.53645833333333337</v>
      </c>
      <c r="H37" s="139">
        <f>AVERAGE('GT Comparison'!S582:S599)</f>
        <v>0.66616789929483433</v>
      </c>
      <c r="I37" s="131">
        <f>AVERAGE('GT Comparison'!V582:V599)</f>
        <v>0.64106880773547437</v>
      </c>
      <c r="J37" s="131">
        <f>AVERAGE('GT Comparison'!W582:W599)</f>
        <v>0.50740740740740742</v>
      </c>
      <c r="K37" s="139">
        <f>AVERAGE('GT Comparison'!X582:X599)</f>
        <v>0.56481481481481477</v>
      </c>
      <c r="L37" s="131">
        <f>AVERAGE('GT Comparison'!AA582:AA599)</f>
        <v>0.617333642076205</v>
      </c>
      <c r="M37" s="131">
        <f>AVERAGE('GT Comparison'!AB582:AB599)</f>
        <v>0.35243055555555558</v>
      </c>
      <c r="N37" s="139">
        <f>AVERAGE('GT Comparison'!AC582:AC599)</f>
        <v>0.43549102829288588</v>
      </c>
    </row>
    <row r="38" spans="1:14" ht="15.75" customHeight="1" thickBot="1" x14ac:dyDescent="0.4">
      <c r="A38" s="185" t="s">
        <v>33</v>
      </c>
      <c r="B38" s="7" t="s">
        <v>15</v>
      </c>
      <c r="C38" s="130">
        <f>AVERAGE('GT Comparison'!L600:L617)</f>
        <v>1</v>
      </c>
      <c r="D38" s="130">
        <f>AVERAGE('GT Comparison'!M600:M617)</f>
        <v>0.76923076923076916</v>
      </c>
      <c r="E38" s="138">
        <f>AVERAGE('GT Comparison'!N600:N617)</f>
        <v>0.86742424242424232</v>
      </c>
      <c r="F38" s="130">
        <f>AVERAGE('GT Comparison'!Q600:Q617)</f>
        <v>1</v>
      </c>
      <c r="G38" s="130">
        <f>AVERAGE('GT Comparison'!R600:R617)</f>
        <v>0.75</v>
      </c>
      <c r="H38" s="138">
        <f>AVERAGE('GT Comparison'!S600:S617)</f>
        <v>0.8545454545454545</v>
      </c>
      <c r="I38" s="130">
        <f>AVERAGE('GT Comparison'!V600:V617)</f>
        <v>0.95454545454545447</v>
      </c>
      <c r="J38" s="130">
        <f>AVERAGE('GT Comparison'!W600:W617)</f>
        <v>0.73076923076923084</v>
      </c>
      <c r="K38" s="138">
        <f>AVERAGE('GT Comparison'!X600:X617)</f>
        <v>0.82575757575757591</v>
      </c>
      <c r="L38" s="130">
        <f>AVERAGE('GT Comparison'!AA600:AA617)</f>
        <v>1</v>
      </c>
      <c r="M38" s="130">
        <f>AVERAGE('GT Comparison'!AB600:AB617)</f>
        <v>0.75</v>
      </c>
      <c r="N38" s="138">
        <f>AVERAGE('GT Comparison'!AC600:AC617)</f>
        <v>0.8545454545454545</v>
      </c>
    </row>
    <row r="39" spans="1:14" ht="15.75" customHeight="1" thickBot="1" x14ac:dyDescent="0.4">
      <c r="A39" s="185"/>
      <c r="B39" s="14" t="s">
        <v>21</v>
      </c>
      <c r="C39" s="130">
        <f>AVERAGE('GT Comparison'!L618:L635)</f>
        <v>0.90909090909090906</v>
      </c>
      <c r="D39" s="130">
        <f>AVERAGE('GT Comparison'!M618:M635)</f>
        <v>0.76923076923076916</v>
      </c>
      <c r="E39" s="138">
        <f>AVERAGE('GT Comparison'!N618:N635)</f>
        <v>0.83333333333333326</v>
      </c>
      <c r="F39" s="130">
        <f>AVERAGE('GT Comparison'!Q618:Q635)</f>
        <v>0.95454545454545447</v>
      </c>
      <c r="G39" s="130">
        <f>AVERAGE('GT Comparison'!R618:R635)</f>
        <v>0.5586419753086419</v>
      </c>
      <c r="H39" s="138">
        <f>AVERAGE('GT Comparison'!S618:S635)</f>
        <v>0.69786535303776698</v>
      </c>
      <c r="I39" s="130">
        <f>AVERAGE('GT Comparison'!V618:V635)</f>
        <v>0.86363636363636354</v>
      </c>
      <c r="J39" s="130">
        <f>AVERAGE('GT Comparison'!W618:W635)</f>
        <v>0.73076923076923084</v>
      </c>
      <c r="K39" s="138">
        <f>AVERAGE('GT Comparison'!X618:X635)</f>
        <v>0.79166666666666674</v>
      </c>
      <c r="L39" s="130">
        <f>AVERAGE('GT Comparison'!AA618:AA635)</f>
        <v>0.71212121212121215</v>
      </c>
      <c r="M39" s="130">
        <f>AVERAGE('GT Comparison'!AB618:AB635)</f>
        <v>0.41049382716049393</v>
      </c>
      <c r="N39" s="138">
        <f>AVERAGE('GT Comparison'!AC618:AC635)</f>
        <v>0.51395730706075538</v>
      </c>
    </row>
    <row r="40" spans="1:14" ht="15.75" customHeight="1" thickBot="1" x14ac:dyDescent="0.4">
      <c r="A40" s="185"/>
      <c r="B40" s="20" t="s">
        <v>22</v>
      </c>
      <c r="C40" s="131">
        <f>AVERAGE('GT Comparison'!L636:L653)</f>
        <v>0.97755331088664432</v>
      </c>
      <c r="D40" s="131">
        <f>AVERAGE('GT Comparison'!M636:M653)</f>
        <v>0.79487179487179493</v>
      </c>
      <c r="E40" s="139">
        <f>AVERAGE('GT Comparison'!N636:N653)</f>
        <v>0.87542087542087521</v>
      </c>
      <c r="F40" s="131">
        <f>AVERAGE('GT Comparison'!Q636:Q653)</f>
        <v>0.97619047619047628</v>
      </c>
      <c r="G40" s="131">
        <f>AVERAGE('GT Comparison'!R636:R653)</f>
        <v>0.63580246913580241</v>
      </c>
      <c r="H40" s="139">
        <f>AVERAGE('GT Comparison'!S636:S653)</f>
        <v>0.76867816091954033</v>
      </c>
      <c r="I40" s="131">
        <f>AVERAGE('GT Comparison'!V636:V653)</f>
        <v>0.62794612794612803</v>
      </c>
      <c r="J40" s="131">
        <f>AVERAGE('GT Comparison'!W636:W653)</f>
        <v>0.50854700854700852</v>
      </c>
      <c r="K40" s="139">
        <f>AVERAGE('GT Comparison'!X636:X653)</f>
        <v>0.5610269360269361</v>
      </c>
      <c r="L40" s="131">
        <f>AVERAGE('GT Comparison'!AA636:AA653)</f>
        <v>0.78354978354978355</v>
      </c>
      <c r="M40" s="131">
        <f>AVERAGE('GT Comparison'!AB636:AB653)</f>
        <v>0.50308641975308643</v>
      </c>
      <c r="N40" s="139">
        <f>AVERAGE('GT Comparison'!AC636:AC653)</f>
        <v>0.6119252873563219</v>
      </c>
    </row>
    <row r="41" spans="1:14" ht="15.75" customHeight="1" thickBot="1" x14ac:dyDescent="0.4">
      <c r="A41" s="185" t="s">
        <v>34</v>
      </c>
      <c r="B41" s="7" t="s">
        <v>15</v>
      </c>
      <c r="C41" s="130">
        <f>AVERAGE('GT Comparison'!L654:L671)</f>
        <v>1</v>
      </c>
      <c r="D41" s="130">
        <f>AVERAGE('GT Comparison'!M654:M671)</f>
        <v>0.71428571428571397</v>
      </c>
      <c r="E41" s="138">
        <f>AVERAGE('GT Comparison'!N654:N671)</f>
        <v>0.83333333333333348</v>
      </c>
      <c r="F41" s="130">
        <f>AVERAGE('GT Comparison'!Q654:Q671)</f>
        <v>1</v>
      </c>
      <c r="G41" s="130">
        <f>AVERAGE('GT Comparison'!R654:R671)</f>
        <v>0.65277777777777779</v>
      </c>
      <c r="H41" s="138">
        <f>AVERAGE('GT Comparison'!S654:S671)</f>
        <v>0.78831818387373953</v>
      </c>
      <c r="I41" s="130">
        <f>AVERAGE('GT Comparison'!V654:V671)</f>
        <v>0.6</v>
      </c>
      <c r="J41" s="130">
        <f>AVERAGE('GT Comparison'!W654:W671)</f>
        <v>0.42857142857142871</v>
      </c>
      <c r="K41" s="138">
        <f>AVERAGE('GT Comparison'!X654:X671)</f>
        <v>0.5</v>
      </c>
      <c r="L41" s="130">
        <f>AVERAGE('GT Comparison'!AA654:AA671)</f>
        <v>0.8891133557800226</v>
      </c>
      <c r="M41" s="130">
        <f>AVERAGE('GT Comparison'!AB654:AB671)</f>
        <v>0.57986111111111116</v>
      </c>
      <c r="N41" s="138">
        <f>AVERAGE('GT Comparison'!AC654:AC671)</f>
        <v>0.70053633609189148</v>
      </c>
    </row>
    <row r="42" spans="1:14" ht="15.75" customHeight="1" thickBot="1" x14ac:dyDescent="0.4">
      <c r="A42" s="185"/>
      <c r="B42" s="14" t="s">
        <v>21</v>
      </c>
      <c r="C42" s="130">
        <f>AVERAGE('GT Comparison'!L672:L689)</f>
        <v>0.94074074074074077</v>
      </c>
      <c r="D42" s="130">
        <f>AVERAGE('GT Comparison'!M672:M689)</f>
        <v>0.57142857142857151</v>
      </c>
      <c r="E42" s="138">
        <f>AVERAGE('GT Comparison'!N672:N689)</f>
        <v>0.69191919191919193</v>
      </c>
      <c r="F42" s="130">
        <f>AVERAGE('GT Comparison'!Q672:Q689)</f>
        <v>0.8174382716049382</v>
      </c>
      <c r="G42" s="130">
        <f>AVERAGE('GT Comparison'!R672:R689)</f>
        <v>0.40277777777777779</v>
      </c>
      <c r="H42" s="138">
        <f>AVERAGE('GT Comparison'!S672:S689)</f>
        <v>0.53281913992440311</v>
      </c>
      <c r="I42" s="130">
        <f>AVERAGE('GT Comparison'!V672:V689)</f>
        <v>0.12645502645502646</v>
      </c>
      <c r="J42" s="130">
        <f>AVERAGE('GT Comparison'!W672:W689)</f>
        <v>7.1428571428571411E-2</v>
      </c>
      <c r="K42" s="138">
        <f>AVERAGE('GT Comparison'!X672:X689)</f>
        <v>0.17883597883597882</v>
      </c>
      <c r="L42" s="130">
        <f>AVERAGE('GT Comparison'!AA672:AA689)</f>
        <v>0.36126543209876538</v>
      </c>
      <c r="M42" s="130">
        <f>AVERAGE('GT Comparison'!AB672:AB689)</f>
        <v>0.1701388888888889</v>
      </c>
      <c r="N42" s="138">
        <f>AVERAGE('GT Comparison'!AC672:AC689)</f>
        <v>0.22721242694926908</v>
      </c>
    </row>
    <row r="43" spans="1:14" ht="15.75" customHeight="1" thickBot="1" x14ac:dyDescent="0.4">
      <c r="A43" s="185"/>
      <c r="B43" s="20" t="s">
        <v>22</v>
      </c>
      <c r="C43" s="131">
        <f>AVERAGE('GT Comparison'!L690:L707)</f>
        <v>1</v>
      </c>
      <c r="D43" s="131">
        <f>AVERAGE('GT Comparison'!M690:M707)</f>
        <v>0.6507936507936507</v>
      </c>
      <c r="E43" s="139">
        <f>AVERAGE('GT Comparison'!N690:N707)</f>
        <v>0.78148148148148167</v>
      </c>
      <c r="F43" s="131">
        <f>AVERAGE('GT Comparison'!Q690:Q707)</f>
        <v>1</v>
      </c>
      <c r="G43" s="131">
        <f>AVERAGE('GT Comparison'!R690:R707)</f>
        <v>0.63541666666666663</v>
      </c>
      <c r="H43" s="139">
        <f>AVERAGE('GT Comparison'!S690:S707)</f>
        <v>0.77228195937873356</v>
      </c>
      <c r="I43" s="131">
        <f>AVERAGE('GT Comparison'!V690:V707)</f>
        <v>0.79999999999999993</v>
      </c>
      <c r="J43" s="131">
        <f>AVERAGE('GT Comparison'!W690:W707)</f>
        <v>0.50793650793650791</v>
      </c>
      <c r="K43" s="139">
        <f>AVERAGE('GT Comparison'!X690:X707)</f>
        <v>0.61481481481481481</v>
      </c>
      <c r="L43" s="131">
        <f>AVERAGE('GT Comparison'!AA690:AA707)</f>
        <v>0.5511223344556675</v>
      </c>
      <c r="M43" s="131">
        <f>AVERAGE('GT Comparison'!AB690:AB707)</f>
        <v>0.35416666666666669</v>
      </c>
      <c r="N43" s="139">
        <f>AVERAGE('GT Comparison'!AC690:AC707)</f>
        <v>0.42831541218637992</v>
      </c>
    </row>
    <row r="44" spans="1:14" ht="15.75" customHeight="1" thickBot="1" x14ac:dyDescent="0.4">
      <c r="A44" s="185" t="s">
        <v>35</v>
      </c>
      <c r="B44" s="7" t="s">
        <v>15</v>
      </c>
      <c r="C44" s="130">
        <f>AVERAGE('GT Comparison'!L708:L725)</f>
        <v>1</v>
      </c>
      <c r="D44" s="130">
        <f>AVERAGE('GT Comparison'!M708:M725)</f>
        <v>0.80246913580246937</v>
      </c>
      <c r="E44" s="138">
        <f>AVERAGE('GT Comparison'!N708:N725)</f>
        <v>0.88888888888888906</v>
      </c>
      <c r="F44" s="130">
        <f>AVERAGE('GT Comparison'!Q708:Q725)</f>
        <v>1</v>
      </c>
      <c r="G44" s="130">
        <f>AVERAGE('GT Comparison'!R708:R725)</f>
        <v>0.69166666666666687</v>
      </c>
      <c r="H44" s="138">
        <f>AVERAGE('GT Comparison'!S708:S725)</f>
        <v>0.81205346144370516</v>
      </c>
      <c r="I44" s="130">
        <f>AVERAGE('GT Comparison'!V708:V725)</f>
        <v>0.74603174603174582</v>
      </c>
      <c r="J44" s="130">
        <f>AVERAGE('GT Comparison'!W708:W725)</f>
        <v>0.60493827160493818</v>
      </c>
      <c r="K44" s="138">
        <f>AVERAGE('GT Comparison'!X708:X725)</f>
        <v>0.66666666666666674</v>
      </c>
      <c r="L44" s="130">
        <f>AVERAGE('GT Comparison'!AA708:AA725)</f>
        <v>0.52350427350427353</v>
      </c>
      <c r="M44" s="130">
        <f>AVERAGE('GT Comparison'!AB708:AB725)</f>
        <v>0.38333333333333325</v>
      </c>
      <c r="N44" s="138">
        <f>AVERAGE('GT Comparison'!AC708:AC725)</f>
        <v>0.43768477457501842</v>
      </c>
    </row>
    <row r="45" spans="1:14" ht="15.75" customHeight="1" thickBot="1" x14ac:dyDescent="0.4">
      <c r="A45" s="185"/>
      <c r="B45" s="14" t="s">
        <v>21</v>
      </c>
      <c r="C45" s="130">
        <f>AVERAGE('GT Comparison'!L726:L743)</f>
        <v>0.9285714285714286</v>
      </c>
      <c r="D45" s="130">
        <f>AVERAGE('GT Comparison'!M726:M743)</f>
        <v>0.72222222222222243</v>
      </c>
      <c r="E45" s="138">
        <f>AVERAGE('GT Comparison'!N726:N743)</f>
        <v>0.8125</v>
      </c>
      <c r="F45" s="130">
        <f>AVERAGE('GT Comparison'!Q726:Q743)</f>
        <v>1</v>
      </c>
      <c r="G45" s="130">
        <f>AVERAGE('GT Comparison'!R726:R743)</f>
        <v>0.63055555555555565</v>
      </c>
      <c r="H45" s="138">
        <f>AVERAGE('GT Comparison'!S726:S743)</f>
        <v>0.77288859499485663</v>
      </c>
      <c r="I45" s="130">
        <f>AVERAGE('GT Comparison'!V726:V743)</f>
        <v>0.69047619047619024</v>
      </c>
      <c r="J45" s="130">
        <f>AVERAGE('GT Comparison'!W726:W743)</f>
        <v>0.53703703703703698</v>
      </c>
      <c r="K45" s="138">
        <f>AVERAGE('GT Comparison'!X726:X743)</f>
        <v>0.60416666666666674</v>
      </c>
      <c r="L45" s="130">
        <f>AVERAGE('GT Comparison'!AA726:AA743)</f>
        <v>0.47718947718947724</v>
      </c>
      <c r="M45" s="130">
        <f>AVERAGE('GT Comparison'!AB726:AB743)</f>
        <v>0.29999999999999993</v>
      </c>
      <c r="N45" s="138">
        <f>AVERAGE('GT Comparison'!AC726:AC743)</f>
        <v>0.36813342150154288</v>
      </c>
    </row>
    <row r="46" spans="1:14" ht="15.75" customHeight="1" thickBot="1" x14ac:dyDescent="0.4">
      <c r="A46" s="185"/>
      <c r="B46" s="20" t="s">
        <v>22</v>
      </c>
      <c r="C46" s="131">
        <f>AVERAGE('GT Comparison'!L744:L761)</f>
        <v>1</v>
      </c>
      <c r="D46" s="131">
        <f>AVERAGE('GT Comparison'!M744:M761)</f>
        <v>0.88888888888888906</v>
      </c>
      <c r="E46" s="139">
        <f>AVERAGE('GT Comparison'!N744:N761)</f>
        <v>0.9375</v>
      </c>
      <c r="F46" s="131">
        <f>AVERAGE('GT Comparison'!Q744:Q761)</f>
        <v>1</v>
      </c>
      <c r="G46" s="131">
        <f>AVERAGE('GT Comparison'!R744:R761)</f>
        <v>0.55555555555555547</v>
      </c>
      <c r="H46" s="141">
        <f>AVERAGE('GT Comparison'!S744:S761)</f>
        <v>0.70177503047358447</v>
      </c>
      <c r="I46" s="131">
        <f>AVERAGE('GT Comparison'!V744:V761)</f>
        <v>0.85714285714285698</v>
      </c>
      <c r="J46" s="131">
        <f>AVERAGE('GT Comparison'!W744:W761)</f>
        <v>0.77777777777777768</v>
      </c>
      <c r="K46" s="141">
        <f>AVERAGE('GT Comparison'!X744:X761)</f>
        <v>0.8125</v>
      </c>
      <c r="L46" s="131">
        <f>AVERAGE('GT Comparison'!AA744:AA761)</f>
        <v>0.76705516705516708</v>
      </c>
      <c r="M46" s="131">
        <f>AVERAGE('GT Comparison'!AB744:AB761)</f>
        <v>0.42222222222222222</v>
      </c>
      <c r="N46" s="141">
        <f>AVERAGE('GT Comparison'!AC744:AC761)</f>
        <v>0.53250708217337805</v>
      </c>
    </row>
    <row r="47" spans="1:14" x14ac:dyDescent="0.35">
      <c r="A47" t="s">
        <v>80</v>
      </c>
      <c r="C47" s="134">
        <f t="shared" ref="C47:N47" si="0">AVERAGE(C5:C46)</f>
        <v>0.96147899081890575</v>
      </c>
      <c r="D47" s="134">
        <f t="shared" si="0"/>
        <v>0.85720431831542943</v>
      </c>
      <c r="E47" s="140">
        <f t="shared" si="0"/>
        <v>0.89534664084962701</v>
      </c>
      <c r="F47" s="134">
        <f t="shared" si="0"/>
        <v>0.98571055414309361</v>
      </c>
      <c r="G47" s="134">
        <f t="shared" si="0"/>
        <v>0.73052129449111491</v>
      </c>
      <c r="H47" s="140">
        <f t="shared" si="0"/>
        <v>0.82017500467526205</v>
      </c>
      <c r="I47" s="134">
        <f t="shared" si="0"/>
        <v>0.83374667293318083</v>
      </c>
      <c r="J47" s="134">
        <f t="shared" si="0"/>
        <v>0.756092379108252</v>
      </c>
      <c r="K47" s="140">
        <f t="shared" si="0"/>
        <v>0.78694632755704541</v>
      </c>
      <c r="L47" s="134">
        <f t="shared" si="0"/>
        <v>0.74232171336545116</v>
      </c>
      <c r="M47" s="134">
        <f t="shared" si="0"/>
        <v>0.54951012758552442</v>
      </c>
      <c r="N47" s="140">
        <f t="shared" si="0"/>
        <v>0.61670337209679593</v>
      </c>
    </row>
    <row r="49" spans="1:20" ht="27.75" customHeight="1" x14ac:dyDescent="0.35">
      <c r="A49" s="210" t="s">
        <v>81</v>
      </c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</row>
    <row r="50" spans="1:20" x14ac:dyDescent="0.35">
      <c r="A50" s="209" t="s">
        <v>108</v>
      </c>
      <c r="C50" s="207" t="s">
        <v>73</v>
      </c>
      <c r="D50" s="207"/>
      <c r="E50" s="207"/>
      <c r="F50" s="207" t="s">
        <v>74</v>
      </c>
      <c r="G50" s="207"/>
      <c r="H50" s="207"/>
      <c r="I50" s="206" t="s">
        <v>75</v>
      </c>
      <c r="J50" s="206"/>
      <c r="K50" s="206"/>
      <c r="L50" s="208" t="s">
        <v>76</v>
      </c>
      <c r="M50" s="208"/>
      <c r="N50" s="208"/>
      <c r="R50" t="s">
        <v>77</v>
      </c>
      <c r="S50" t="s">
        <v>78</v>
      </c>
      <c r="T50" t="s">
        <v>79</v>
      </c>
    </row>
    <row r="51" spans="1:20" x14ac:dyDescent="0.35">
      <c r="A51" s="209"/>
      <c r="B51" t="s">
        <v>15</v>
      </c>
      <c r="C51" s="135">
        <f>AVERAGEIFS('GT Comparison'!L:L,'GT Comparison'!B:B,"Gemini")</f>
        <v>0.97104855311591631</v>
      </c>
      <c r="D51" s="135">
        <f>AVERAGEIFS('GT Comparison'!M:M,'GT Comparison'!B:B,"Gemini")</f>
        <v>0.84589308398832186</v>
      </c>
      <c r="E51" s="136">
        <f>AVERAGEIFS('GT Comparison'!N:N,'GT Comparison'!B:B,"Gemini")</f>
        <v>0.89545782771719218</v>
      </c>
      <c r="F51" s="135">
        <f>AVERAGEIFS('GT Comparison'!Q:Q,'GT Comparison'!B:B,"Gemini")</f>
        <v>0.99074074074074125</v>
      </c>
      <c r="G51" s="135">
        <f>AVERAGEIFS('GT Comparison'!R:R,'GT Comparison'!B:B,"Gemini")</f>
        <v>0.78335301974086413</v>
      </c>
      <c r="H51" s="136">
        <f>AVERAGEIFS('GT Comparison'!S:S,'GT Comparison'!B:B,"Gemini")</f>
        <v>0.85737767507672791</v>
      </c>
      <c r="I51" s="135">
        <f>AVERAGEIFS('GT Comparison'!V:V,'GT Comparison'!B:B,"Gemini")</f>
        <v>0.87489635584873626</v>
      </c>
      <c r="J51" s="135">
        <f>AVERAGEIFS('GT Comparison'!W:W,'GT Comparison'!B:B,"Gemini")</f>
        <v>0.7704632228441739</v>
      </c>
      <c r="K51" s="136">
        <f>AVERAGEIFS('GT Comparison'!X:X,'GT Comparison'!B:B,"Gemini")</f>
        <v>0.81074950182093097</v>
      </c>
      <c r="L51" s="135">
        <f>AVERAGEIFS('GT Comparison'!AA:AA,'GT Comparison'!B:B,"Gemini")</f>
        <v>0.78331934383644453</v>
      </c>
      <c r="M51" s="135">
        <f>AVERAGEIFS('GT Comparison'!AB:AB,'GT Comparison'!B:B,"Gemini")</f>
        <v>0.62512894982349954</v>
      </c>
      <c r="N51" s="136">
        <f>AVERAGEIFS('GT Comparison'!AC:AC,'GT Comparison'!B:B,"Gemini")</f>
        <v>0.6818357105363495</v>
      </c>
      <c r="O51" s="134">
        <f>AVERAGE(E51,H51,K51,N51)</f>
        <v>0.81135517878780017</v>
      </c>
      <c r="Q51" t="s">
        <v>57</v>
      </c>
      <c r="R51">
        <f>AVERAGE(C51:C53)</f>
        <v>0.9614789908189052</v>
      </c>
      <c r="S51">
        <f>AVERAGE(D51:D53)</f>
        <v>0.85720431831542865</v>
      </c>
      <c r="T51">
        <f>AVERAGE(E51:E53)</f>
        <v>0.89534664084962634</v>
      </c>
    </row>
    <row r="52" spans="1:20" x14ac:dyDescent="0.35">
      <c r="A52" s="209"/>
      <c r="B52" t="s">
        <v>21</v>
      </c>
      <c r="C52" s="135">
        <f>AVERAGEIFS('GT Comparison'!L:L,'GT Comparison'!B:B,"Llama 3")</f>
        <v>0.93479756574994588</v>
      </c>
      <c r="D52" s="135">
        <f>AVERAGEIFS('GT Comparison'!M:M,'GT Comparison'!B:B,"Llama 3")</f>
        <v>0.84894056560723063</v>
      </c>
      <c r="E52" s="136">
        <f>AVERAGEIFS('GT Comparison'!N:N,'GT Comparison'!B:B,"Llama 3")</f>
        <v>0.87504224576592882</v>
      </c>
      <c r="F52" s="135">
        <f>AVERAGEIFS('GT Comparison'!Q:Q,'GT Comparison'!B:B,"Llama 3")</f>
        <v>0.97258139787901676</v>
      </c>
      <c r="G52" s="135">
        <f>AVERAGEIFS('GT Comparison'!R:R,'GT Comparison'!B:B,"Llama 3")</f>
        <v>0.67821543492361103</v>
      </c>
      <c r="H52" s="136">
        <f>AVERAGEIFS('GT Comparison'!S:S,'GT Comparison'!B:B,"Llama 3")</f>
        <v>0.77894495403659703</v>
      </c>
      <c r="I52" s="135">
        <f>AVERAGEIFS('GT Comparison'!V:V,'GT Comparison'!B:B,"Llama 3")</f>
        <v>0.77197232881756628</v>
      </c>
      <c r="J52" s="135">
        <f>AVERAGEIFS('GT Comparison'!W:W,'GT Comparison'!B:B,"Llama 3")</f>
        <v>0.71548944882278098</v>
      </c>
      <c r="K52" s="136">
        <f>AVERAGEIFS('GT Comparison'!X:X,'GT Comparison'!B:B,"Llama 3")</f>
        <v>0.76112445540645723</v>
      </c>
      <c r="L52" s="135">
        <f>AVERAGEIFS('GT Comparison'!AA:AA,'GT Comparison'!B:B,"Llama 3")</f>
        <v>0.68162303059011653</v>
      </c>
      <c r="M52" s="135">
        <f>AVERAGEIFS('GT Comparison'!AB:AB,'GT Comparison'!B:B,"Llama 3")</f>
        <v>0.4683036008419777</v>
      </c>
      <c r="N52" s="136">
        <f>AVERAGEIFS('GT Comparison'!AC:AC,'GT Comparison'!B:B,"Llama 3")</f>
        <v>0.53954965097100338</v>
      </c>
      <c r="O52" s="134">
        <f>AVERAGE(E52,H52,K52,N52)</f>
        <v>0.73866532654499661</v>
      </c>
      <c r="Q52" t="s">
        <v>58</v>
      </c>
      <c r="R52">
        <f>AVERAGE(F51:F53)</f>
        <v>0.98571055414309405</v>
      </c>
      <c r="S52">
        <f>AVERAGE(G51:G53)</f>
        <v>0.73052129449111425</v>
      </c>
      <c r="T52">
        <f>AVERAGE(H51:H53)</f>
        <v>0.82017500467526194</v>
      </c>
    </row>
    <row r="53" spans="1:20" x14ac:dyDescent="0.35">
      <c r="A53" s="209"/>
      <c r="B53" t="s">
        <v>22</v>
      </c>
      <c r="C53" s="135">
        <f>AVERAGEIFS('GT Comparison'!L:L,'GT Comparison'!B:B,"Mistral")</f>
        <v>0.97859085359085329</v>
      </c>
      <c r="D53" s="135">
        <f>AVERAGEIFS('GT Comparison'!M:M,'GT Comparison'!B:B,"Mistral")</f>
        <v>0.87677930535073345</v>
      </c>
      <c r="E53" s="136">
        <f>AVERAGEIFS('GT Comparison'!N:N,'GT Comparison'!B:B,"Mistral")</f>
        <v>0.91553984906575825</v>
      </c>
      <c r="F53" s="135">
        <f>AVERAGEIFS('GT Comparison'!Q:Q,'GT Comparison'!B:B,"Mistral")</f>
        <v>0.99380952380952392</v>
      </c>
      <c r="G53" s="135">
        <f>AVERAGEIFS('GT Comparison'!R:R,'GT Comparison'!B:B,"Mistral")</f>
        <v>0.72999542880886759</v>
      </c>
      <c r="H53" s="136">
        <f>AVERAGEIFS('GT Comparison'!S:S,'GT Comparison'!B:B,"Mistral")</f>
        <v>0.82420238491246123</v>
      </c>
      <c r="I53" s="135">
        <f>AVERAGEIFS('GT Comparison'!V:V,'GT Comparison'!B:B,"Mistral")</f>
        <v>0.85437133413323718</v>
      </c>
      <c r="J53" s="135">
        <f>AVERAGEIFS('GT Comparison'!W:W,'GT Comparison'!B:B,"Mistral")</f>
        <v>0.78232446565779801</v>
      </c>
      <c r="K53" s="136">
        <f>AVERAGEIFS('GT Comparison'!X:X,'GT Comparison'!B:B,"Mistral")</f>
        <v>0.80976104246412473</v>
      </c>
      <c r="L53" s="135">
        <f>AVERAGEIFS('GT Comparison'!AA:AA,'GT Comparison'!B:B,"Mistral")</f>
        <v>0.76202276566978944</v>
      </c>
      <c r="M53" s="135">
        <f>AVERAGEIFS('GT Comparison'!AB:AB,'GT Comparison'!B:B,"Mistral")</f>
        <v>0.55509783209109675</v>
      </c>
      <c r="N53" s="136">
        <f>AVERAGEIFS('GT Comparison'!AC:AC,'GT Comparison'!B:B,"Mistral")</f>
        <v>0.62872475478303624</v>
      </c>
      <c r="O53" s="134">
        <f>AVERAGE(E53,H53,K53,N53)</f>
        <v>0.79455700780634508</v>
      </c>
      <c r="Q53" t="s">
        <v>59</v>
      </c>
      <c r="R53">
        <f>AVERAGE(I51:I53)</f>
        <v>0.83374667293317994</v>
      </c>
      <c r="S53">
        <f>AVERAGE(J51:J53)</f>
        <v>0.75609237910825089</v>
      </c>
      <c r="T53">
        <f>AVERAGE(K51:K53)</f>
        <v>0.79387833323050427</v>
      </c>
    </row>
    <row r="54" spans="1:20" x14ac:dyDescent="0.35">
      <c r="E54" s="134">
        <f>AVERAGE(E51:E53)</f>
        <v>0.89534664084962634</v>
      </c>
      <c r="H54" s="134">
        <f>AVERAGE(H51:H53)</f>
        <v>0.82017500467526194</v>
      </c>
      <c r="K54" s="134">
        <f>AVERAGE(K51:K53)</f>
        <v>0.79387833323050427</v>
      </c>
      <c r="N54" s="134">
        <f>AVERAGE(N51:N53)</f>
        <v>0.61670337209679638</v>
      </c>
      <c r="Q54" t="s">
        <v>60</v>
      </c>
      <c r="R54">
        <f>AVERAGE(L51:L53)</f>
        <v>0.74232171336545016</v>
      </c>
      <c r="S54">
        <f>AVERAGE(M51:M53)</f>
        <v>0.54951012758552464</v>
      </c>
      <c r="T54">
        <f>AVERAGE(N51:N53)</f>
        <v>0.61670337209679638</v>
      </c>
    </row>
    <row r="57" spans="1:20" x14ac:dyDescent="0.35">
      <c r="A57" s="151" t="s">
        <v>116</v>
      </c>
      <c r="Q57" t="s">
        <v>84</v>
      </c>
      <c r="R57" t="s">
        <v>77</v>
      </c>
      <c r="S57" t="s">
        <v>78</v>
      </c>
      <c r="T57" t="s">
        <v>79</v>
      </c>
    </row>
    <row r="58" spans="1:20" x14ac:dyDescent="0.35">
      <c r="Q58" t="s">
        <v>15</v>
      </c>
      <c r="R58">
        <f t="shared" ref="R58:T60" si="1">C51</f>
        <v>0.97104855311591631</v>
      </c>
      <c r="S58">
        <f t="shared" si="1"/>
        <v>0.84589308398832186</v>
      </c>
      <c r="T58">
        <f t="shared" si="1"/>
        <v>0.89545782771719218</v>
      </c>
    </row>
    <row r="59" spans="1:20" x14ac:dyDescent="0.35">
      <c r="A59" s="152" t="s">
        <v>117</v>
      </c>
      <c r="B59" s="152" t="s">
        <v>84</v>
      </c>
      <c r="C59" s="153" t="s">
        <v>103</v>
      </c>
      <c r="D59" s="153" t="s">
        <v>104</v>
      </c>
      <c r="E59" s="153" t="s">
        <v>105</v>
      </c>
      <c r="F59" s="153" t="s">
        <v>106</v>
      </c>
      <c r="G59" s="153" t="s">
        <v>107</v>
      </c>
      <c r="Q59" t="s">
        <v>21</v>
      </c>
      <c r="R59">
        <f t="shared" si="1"/>
        <v>0.93479756574994588</v>
      </c>
      <c r="S59">
        <f t="shared" si="1"/>
        <v>0.84894056560723063</v>
      </c>
      <c r="T59">
        <f t="shared" si="1"/>
        <v>0.87504224576592882</v>
      </c>
    </row>
    <row r="60" spans="1:20" x14ac:dyDescent="0.35">
      <c r="A60" s="152" t="s">
        <v>16</v>
      </c>
      <c r="B60" s="154" t="s">
        <v>15</v>
      </c>
      <c r="C60" s="155">
        <f>AVERAGEIFS('GT Comparison'!N:N,'GT Comparison'!B:B,"Gemini",'GT Comparison'!C:C,"T=0.2")</f>
        <v>0.90329009828247619</v>
      </c>
      <c r="D60" s="155">
        <f>AVERAGEIFS('GT Comparison'!S:S,'GT Comparison'!B:B,"Gemini",'GT Comparison'!C:C,"T=0.2")</f>
        <v>0.85185197830935855</v>
      </c>
      <c r="E60" s="155">
        <f>AVERAGEIFS('GT Comparison'!X:X,'GT Comparison'!B:B,"Gemini",'GT Comparison'!C:C,"T=0.2")</f>
        <v>0.80497577819006394</v>
      </c>
      <c r="F60" s="155">
        <f>AVERAGEIFS('GT Comparison'!AC:AC,'GT Comparison'!B:B,"Gemini",'GT Comparison'!C:C,"T=0.2")</f>
        <v>0.65144806013307499</v>
      </c>
      <c r="G60" s="156">
        <f t="shared" ref="G60:G68" si="2">AVERAGE(C60:F60)</f>
        <v>0.80289147872874334</v>
      </c>
      <c r="Q60" t="s">
        <v>22</v>
      </c>
      <c r="R60">
        <f t="shared" si="1"/>
        <v>0.97859085359085329</v>
      </c>
      <c r="S60">
        <f t="shared" si="1"/>
        <v>0.87677930535073345</v>
      </c>
      <c r="T60">
        <f t="shared" si="1"/>
        <v>0.91553984906575825</v>
      </c>
    </row>
    <row r="61" spans="1:20" x14ac:dyDescent="0.35">
      <c r="A61" s="154" t="s">
        <v>16</v>
      </c>
      <c r="B61" s="154" t="s">
        <v>21</v>
      </c>
      <c r="C61" s="155">
        <f>AVERAGEIFS('GT Comparison'!N:N,'GT Comparison'!B:B,"Llama 3",'GT Comparison'!C:C,"T=0.2")</f>
        <v>0.89400543587573666</v>
      </c>
      <c r="D61" s="155">
        <f>AVERAGEIFS('GT Comparison'!S:S,'GT Comparison'!B:B,"Llama 3",'GT Comparison'!C:C,"T=0.2")</f>
        <v>0.78465780835620558</v>
      </c>
      <c r="E61" s="155">
        <f>AVERAGEIFS('GT Comparison'!X:X,'GT Comparison'!B:B,"Llama 3",'GT Comparison'!C:C,"T=0.2")</f>
        <v>0.78664934298157951</v>
      </c>
      <c r="F61" s="155">
        <f>AVERAGEIFS('GT Comparison'!AC:AC,'GT Comparison'!B:B,"Llama 3",'GT Comparison'!C:C,"T=0.2")</f>
        <v>0.54534957725882816</v>
      </c>
      <c r="G61" s="156">
        <f t="shared" si="2"/>
        <v>0.75266554111808748</v>
      </c>
    </row>
    <row r="62" spans="1:20" x14ac:dyDescent="0.35">
      <c r="A62" s="154" t="s">
        <v>16</v>
      </c>
      <c r="B62" s="154" t="s">
        <v>22</v>
      </c>
      <c r="C62" s="155">
        <f>AVERAGEIFS('GT Comparison'!N:N,'GT Comparison'!B:B,"Mistral",'GT Comparison'!C:C,"T=0.2")</f>
        <v>0.90884538741681586</v>
      </c>
      <c r="D62" s="155">
        <f>AVERAGEIFS('GT Comparison'!S:S,'GT Comparison'!B:B,"Mistral",'GT Comparison'!C:C,"T=0.2")</f>
        <v>0.80769025639360004</v>
      </c>
      <c r="E62" s="155">
        <f>AVERAGEIFS('GT Comparison'!X:X,'GT Comparison'!B:B,"Mistral",'GT Comparison'!C:C,"T=0.2")</f>
        <v>0.8165454915454915</v>
      </c>
      <c r="F62" s="155">
        <f>AVERAGEIFS('GT Comparison'!AC:AC,'GT Comparison'!B:B,"Mistral",'GT Comparison'!C:C,"T=0.2")</f>
        <v>0.61695636789197228</v>
      </c>
      <c r="G62" s="156">
        <f t="shared" si="2"/>
        <v>0.78750937581197</v>
      </c>
      <c r="Q62" t="s">
        <v>84</v>
      </c>
      <c r="R62" t="s">
        <v>77</v>
      </c>
      <c r="S62" t="s">
        <v>78</v>
      </c>
      <c r="T62" t="s">
        <v>79</v>
      </c>
    </row>
    <row r="63" spans="1:20" x14ac:dyDescent="0.35">
      <c r="A63" s="152" t="s">
        <v>19</v>
      </c>
      <c r="B63" s="154" t="s">
        <v>15</v>
      </c>
      <c r="C63" s="155">
        <f>AVERAGEIFS('GT Comparison'!N:N,'GT Comparison'!B:B,"Gemini",'GT Comparison'!C:C,"T=0.4")</f>
        <v>0.89299757781900624</v>
      </c>
      <c r="D63" s="155">
        <f>AVERAGEIFS('GT Comparison'!S:S,'GT Comparison'!B:B,"Gemini",'GT Comparison'!C:C,"T=0.4")</f>
        <v>0.85661951384083979</v>
      </c>
      <c r="E63" s="155">
        <f>AVERAGEIFS('GT Comparison'!X:X,'GT Comparison'!B:B,"Gemini",'GT Comparison'!C:C,"T=0.4")</f>
        <v>0.81041537827252108</v>
      </c>
      <c r="F63" s="155">
        <f>AVERAGEIFS('GT Comparison'!AC:AC,'GT Comparison'!B:B,"Gemini",'GT Comparison'!C:C,"T=0.4")</f>
        <v>0.68940039551288435</v>
      </c>
      <c r="G63" s="156">
        <f t="shared" si="2"/>
        <v>0.81235821636131289</v>
      </c>
      <c r="Q63" t="s">
        <v>15</v>
      </c>
      <c r="R63">
        <f t="shared" ref="R63:T65" si="3">F51</f>
        <v>0.99074074074074125</v>
      </c>
      <c r="S63">
        <f t="shared" si="3"/>
        <v>0.78335301974086413</v>
      </c>
      <c r="T63">
        <f t="shared" si="3"/>
        <v>0.85737767507672791</v>
      </c>
    </row>
    <row r="64" spans="1:20" x14ac:dyDescent="0.35">
      <c r="A64" s="154" t="s">
        <v>19</v>
      </c>
      <c r="B64" s="154" t="s">
        <v>21</v>
      </c>
      <c r="C64" s="155">
        <f>AVERAGEIFS('GT Comparison'!N:N,'GT Comparison'!B:B,"Llama 3",'GT Comparison'!C:C,"T=0.4")</f>
        <v>0.87530624485511677</v>
      </c>
      <c r="D64" s="155">
        <f>AVERAGEIFS('GT Comparison'!S:S,'GT Comparison'!B:B,"Llama 3",'GT Comparison'!C:C,"T=0.4")</f>
        <v>0.77562410349165689</v>
      </c>
      <c r="E64" s="155">
        <f>AVERAGEIFS('GT Comparison'!X:X,'GT Comparison'!B:B,"Llama 3",'GT Comparison'!C:C,"T=0.4")</f>
        <v>0.73716871133430828</v>
      </c>
      <c r="F64" s="155">
        <f>AVERAGEIFS('GT Comparison'!AC:AC,'GT Comparison'!B:B,"Llama 3",'GT Comparison'!C:C,"T=0.4")</f>
        <v>0.54460337416753057</v>
      </c>
      <c r="G64" s="156">
        <f t="shared" si="2"/>
        <v>0.73317560846215313</v>
      </c>
      <c r="Q64" t="s">
        <v>21</v>
      </c>
      <c r="R64">
        <f t="shared" si="3"/>
        <v>0.97258139787901676</v>
      </c>
      <c r="S64">
        <f t="shared" si="3"/>
        <v>0.67821543492361103</v>
      </c>
      <c r="T64">
        <f t="shared" si="3"/>
        <v>0.77894495403659703</v>
      </c>
    </row>
    <row r="65" spans="1:20" x14ac:dyDescent="0.35">
      <c r="A65" s="154" t="s">
        <v>19</v>
      </c>
      <c r="B65" s="154" t="s">
        <v>22</v>
      </c>
      <c r="C65" s="155">
        <f>AVERAGEIFS('GT Comparison'!N:N,'GT Comparison'!B:B,"Mistral",'GT Comparison'!C:C,"T=0.4")</f>
        <v>0.91891999806915781</v>
      </c>
      <c r="D65" s="155">
        <f>AVERAGEIFS('GT Comparison'!S:S,'GT Comparison'!B:B,"Mistral",'GT Comparison'!C:C,"T=0.4")</f>
        <v>0.82245991604809277</v>
      </c>
      <c r="E65" s="155">
        <f>AVERAGEIFS('GT Comparison'!X:X,'GT Comparison'!B:B,"Mistral",'GT Comparison'!C:C,"T=0.4")</f>
        <v>0.80768068882564692</v>
      </c>
      <c r="F65" s="155">
        <f>AVERAGEIFS('GT Comparison'!AC:AC,'GT Comparison'!B:B,"Mistral",'GT Comparison'!C:C,"T=0.4")</f>
        <v>0.63422660247272911</v>
      </c>
      <c r="G65" s="156">
        <f t="shared" si="2"/>
        <v>0.79582180135390657</v>
      </c>
      <c r="Q65" t="s">
        <v>22</v>
      </c>
      <c r="R65">
        <f t="shared" si="3"/>
        <v>0.99380952380952392</v>
      </c>
      <c r="S65">
        <f t="shared" si="3"/>
        <v>0.72999542880886759</v>
      </c>
      <c r="T65">
        <f t="shared" si="3"/>
        <v>0.82420238491246123</v>
      </c>
    </row>
    <row r="66" spans="1:20" x14ac:dyDescent="0.35">
      <c r="A66" s="152" t="s">
        <v>20</v>
      </c>
      <c r="B66" s="154" t="s">
        <v>15</v>
      </c>
      <c r="C66" s="155">
        <f>AVERAGEIFS('GT Comparison'!N:N,'GT Comparison'!B:B,"Gemini",'GT Comparison'!C:C,"T=0.6")</f>
        <v>0.89008580705009266</v>
      </c>
      <c r="D66" s="155">
        <f>AVERAGEIFS('GT Comparison'!S:S,'GT Comparison'!B:B,"Gemini",'GT Comparison'!C:C,"T=0.6")</f>
        <v>0.86366153307998039</v>
      </c>
      <c r="E66" s="155">
        <f>AVERAGEIFS('GT Comparison'!X:X,'GT Comparison'!B:B,"Gemini",'GT Comparison'!C:C,"T=0.6")</f>
        <v>0.81685734900020601</v>
      </c>
      <c r="F66" s="155">
        <f>AVERAGEIFS('GT Comparison'!AC:AC,'GT Comparison'!B:B,"Gemini",'GT Comparison'!C:C,"T=0.6")</f>
        <v>0.70465867596308862</v>
      </c>
      <c r="G66" s="156">
        <f t="shared" si="2"/>
        <v>0.81881584127334195</v>
      </c>
    </row>
    <row r="67" spans="1:20" x14ac:dyDescent="0.35">
      <c r="A67" s="154" t="s">
        <v>20</v>
      </c>
      <c r="B67" s="154" t="s">
        <v>21</v>
      </c>
      <c r="C67" s="155">
        <f>AVERAGEIFS('GT Comparison'!N:N,'GT Comparison'!B:B,"Llama 3",'GT Comparison'!C:C,"T=0.6")</f>
        <v>0.85581505656693602</v>
      </c>
      <c r="D67" s="155">
        <f>AVERAGEIFS('GT Comparison'!S:S,'GT Comparison'!B:B,"Llama 3",'GT Comparison'!C:C,"T=0.6")</f>
        <v>0.77655295026193105</v>
      </c>
      <c r="E67" s="155">
        <f>AVERAGEIFS('GT Comparison'!X:X,'GT Comparison'!B:B,"Llama 3",'GT Comparison'!C:C,"T=0.6")</f>
        <v>0.76016618389912738</v>
      </c>
      <c r="F67" s="155">
        <f>AVERAGEIFS('GT Comparison'!AC:AC,'GT Comparison'!B:B,"Llama 3",'GT Comparison'!C:C,"T=0.6")</f>
        <v>0.5286960014866503</v>
      </c>
      <c r="G67" s="156">
        <f t="shared" si="2"/>
        <v>0.73030754805366127</v>
      </c>
      <c r="Q67" t="s">
        <v>84</v>
      </c>
      <c r="R67" t="s">
        <v>77</v>
      </c>
      <c r="S67" t="s">
        <v>78</v>
      </c>
      <c r="T67" t="s">
        <v>79</v>
      </c>
    </row>
    <row r="68" spans="1:20" x14ac:dyDescent="0.35">
      <c r="A68" s="154" t="s">
        <v>20</v>
      </c>
      <c r="B68" s="154" t="s">
        <v>22</v>
      </c>
      <c r="C68" s="155">
        <f>AVERAGEIFS('GT Comparison'!N:N,'GT Comparison'!B:B,"Mistral",'GT Comparison'!C:C,"T=0.6")</f>
        <v>0.91885416171130441</v>
      </c>
      <c r="D68" s="155">
        <f>AVERAGEIFS('GT Comparison'!S:S,'GT Comparison'!B:B,"Mistral",'GT Comparison'!C:C,"T=0.6")</f>
        <v>0.84245698229569199</v>
      </c>
      <c r="E68" s="155">
        <f>AVERAGEIFS('GT Comparison'!X:X,'GT Comparison'!B:B,"Mistral",'GT Comparison'!C:C,"T=0.6")</f>
        <v>0.80505694702123287</v>
      </c>
      <c r="F68" s="155">
        <f>AVERAGEIFS('GT Comparison'!AC:AC,'GT Comparison'!B:B,"Mistral",'GT Comparison'!C:C,"T=0.6")</f>
        <v>0.63499129398440413</v>
      </c>
      <c r="G68" s="156">
        <f t="shared" si="2"/>
        <v>0.80033984625315835</v>
      </c>
      <c r="Q68" t="s">
        <v>15</v>
      </c>
      <c r="R68">
        <f t="shared" ref="R68:T70" si="4">I51</f>
        <v>0.87489635584873626</v>
      </c>
      <c r="S68">
        <f t="shared" si="4"/>
        <v>0.7704632228441739</v>
      </c>
      <c r="T68">
        <f t="shared" si="4"/>
        <v>0.81074950182093097</v>
      </c>
    </row>
    <row r="69" spans="1:20" x14ac:dyDescent="0.35">
      <c r="Q69" t="s">
        <v>21</v>
      </c>
      <c r="R69">
        <f t="shared" si="4"/>
        <v>0.77197232881756628</v>
      </c>
      <c r="S69">
        <f t="shared" si="4"/>
        <v>0.71548944882278098</v>
      </c>
      <c r="T69">
        <f t="shared" si="4"/>
        <v>0.76112445540645723</v>
      </c>
    </row>
    <row r="70" spans="1:20" x14ac:dyDescent="0.35">
      <c r="Q70" t="s">
        <v>22</v>
      </c>
      <c r="R70">
        <f t="shared" si="4"/>
        <v>0.85437133413323718</v>
      </c>
      <c r="S70">
        <f t="shared" si="4"/>
        <v>0.78232446565779801</v>
      </c>
      <c r="T70">
        <f t="shared" si="4"/>
        <v>0.80976104246412473</v>
      </c>
    </row>
    <row r="72" spans="1:20" x14ac:dyDescent="0.35">
      <c r="Q72" t="s">
        <v>84</v>
      </c>
      <c r="R72" t="s">
        <v>77</v>
      </c>
      <c r="S72" t="s">
        <v>78</v>
      </c>
      <c r="T72" t="s">
        <v>79</v>
      </c>
    </row>
    <row r="73" spans="1:20" x14ac:dyDescent="0.35">
      <c r="Q73" t="s">
        <v>15</v>
      </c>
      <c r="R73">
        <f t="shared" ref="R73:T75" si="5">L51</f>
        <v>0.78331934383644453</v>
      </c>
      <c r="S73">
        <f t="shared" si="5"/>
        <v>0.62512894982349954</v>
      </c>
      <c r="T73">
        <f t="shared" si="5"/>
        <v>0.6818357105363495</v>
      </c>
    </row>
    <row r="74" spans="1:20" x14ac:dyDescent="0.35">
      <c r="Q74" t="s">
        <v>21</v>
      </c>
      <c r="R74">
        <f t="shared" si="5"/>
        <v>0.68162303059011653</v>
      </c>
      <c r="S74">
        <f t="shared" si="5"/>
        <v>0.4683036008419777</v>
      </c>
      <c r="T74">
        <f t="shared" si="5"/>
        <v>0.53954965097100338</v>
      </c>
    </row>
    <row r="75" spans="1:20" x14ac:dyDescent="0.35">
      <c r="Q75" t="s">
        <v>22</v>
      </c>
      <c r="R75">
        <f t="shared" si="5"/>
        <v>0.76202276566978944</v>
      </c>
      <c r="S75">
        <f t="shared" si="5"/>
        <v>0.55509783209109675</v>
      </c>
      <c r="T75">
        <f t="shared" si="5"/>
        <v>0.62872475478303624</v>
      </c>
    </row>
  </sheetData>
  <mergeCells count="31">
    <mergeCell ref="S4:U4"/>
    <mergeCell ref="V4:X4"/>
    <mergeCell ref="Y4:AA4"/>
    <mergeCell ref="AB4:AD4"/>
    <mergeCell ref="A50:A53"/>
    <mergeCell ref="C50:E50"/>
    <mergeCell ref="F50:H50"/>
    <mergeCell ref="I50:K50"/>
    <mergeCell ref="L50:N50"/>
    <mergeCell ref="A49:N49"/>
    <mergeCell ref="A35:A37"/>
    <mergeCell ref="A38:A40"/>
    <mergeCell ref="A41:A43"/>
    <mergeCell ref="A44:A46"/>
    <mergeCell ref="A20:A22"/>
    <mergeCell ref="A23:A25"/>
    <mergeCell ref="A26:A28"/>
    <mergeCell ref="A29:A31"/>
    <mergeCell ref="A32:A34"/>
    <mergeCell ref="A5:A7"/>
    <mergeCell ref="A8:A10"/>
    <mergeCell ref="A11:A13"/>
    <mergeCell ref="A14:A16"/>
    <mergeCell ref="A17:A19"/>
    <mergeCell ref="A1:N1"/>
    <mergeCell ref="A2:N2"/>
    <mergeCell ref="A3:B3"/>
    <mergeCell ref="C3:E3"/>
    <mergeCell ref="L3:N3"/>
    <mergeCell ref="I3:K3"/>
    <mergeCell ref="F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E276-E34D-4CAC-AB85-A9919717F8B4}">
  <dimension ref="A1:U76"/>
  <sheetViews>
    <sheetView zoomScale="55" workbookViewId="0">
      <pane ySplit="2" topLeftCell="A3" activePane="bottomLeft" state="frozen"/>
      <selection pane="bottomLeft" activeCell="P19" sqref="P19"/>
    </sheetView>
  </sheetViews>
  <sheetFormatPr defaultColWidth="8.6328125" defaultRowHeight="14.5" x14ac:dyDescent="0.35"/>
  <cols>
    <col min="1" max="2" width="12" style="101" customWidth="1"/>
    <col min="3" max="3" width="8" style="101" customWidth="1"/>
    <col min="4" max="15" width="9" style="101" customWidth="1"/>
    <col min="16" max="17" width="8.6328125" style="101"/>
    <col min="18" max="18" width="10.54296875" style="101" customWidth="1"/>
    <col min="19" max="19" width="9.08984375" style="101" customWidth="1"/>
    <col min="20" max="20" width="11.453125" style="101" customWidth="1"/>
    <col min="21" max="21" width="9.90625" style="101" customWidth="1"/>
    <col min="22" max="16384" width="8.6328125" style="101"/>
  </cols>
  <sheetData>
    <row r="1" spans="1:18" ht="26.15" customHeight="1" x14ac:dyDescent="0.35">
      <c r="A1" s="157" t="s">
        <v>82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R1" s="129"/>
    </row>
    <row r="2" spans="1:18" ht="20.149999999999999" customHeight="1" x14ac:dyDescent="0.35">
      <c r="A2" s="164" t="s">
        <v>83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R2" s="129"/>
    </row>
    <row r="3" spans="1:18" ht="18" customHeight="1" x14ac:dyDescent="0.35">
      <c r="A3" s="159" t="s">
        <v>84</v>
      </c>
      <c r="B3" s="159" t="s">
        <v>10</v>
      </c>
      <c r="C3" s="159" t="s">
        <v>9</v>
      </c>
      <c r="D3" s="163" t="s">
        <v>57</v>
      </c>
      <c r="E3" s="158"/>
      <c r="F3" s="158"/>
      <c r="G3" s="171" t="s">
        <v>58</v>
      </c>
      <c r="H3" s="158"/>
      <c r="I3" s="158"/>
      <c r="J3" s="169" t="s">
        <v>59</v>
      </c>
      <c r="K3" s="158"/>
      <c r="L3" s="158"/>
      <c r="M3" s="165" t="s">
        <v>60</v>
      </c>
      <c r="N3" s="158"/>
      <c r="O3" s="158"/>
    </row>
    <row r="4" spans="1:18" ht="15.9" customHeight="1" x14ac:dyDescent="0.35">
      <c r="A4" s="158"/>
      <c r="B4" s="158"/>
      <c r="C4" s="158"/>
      <c r="D4" s="107" t="s">
        <v>62</v>
      </c>
      <c r="E4" s="107" t="s">
        <v>63</v>
      </c>
      <c r="F4" s="107" t="s">
        <v>64</v>
      </c>
      <c r="G4" s="106" t="s">
        <v>62</v>
      </c>
      <c r="H4" s="106" t="s">
        <v>63</v>
      </c>
      <c r="I4" s="106" t="s">
        <v>64</v>
      </c>
      <c r="J4" s="105" t="s">
        <v>62</v>
      </c>
      <c r="K4" s="105" t="s">
        <v>63</v>
      </c>
      <c r="L4" s="105" t="s">
        <v>64</v>
      </c>
      <c r="M4" s="104" t="s">
        <v>62</v>
      </c>
      <c r="N4" s="104" t="s">
        <v>63</v>
      </c>
      <c r="O4" s="104" t="s">
        <v>64</v>
      </c>
    </row>
    <row r="5" spans="1:18" ht="27.9" customHeight="1" x14ac:dyDescent="0.35">
      <c r="A5" s="111" t="s">
        <v>15</v>
      </c>
      <c r="B5" s="109" t="s">
        <v>110</v>
      </c>
      <c r="C5" s="112">
        <v>1</v>
      </c>
      <c r="D5" s="115">
        <f>AVERAGEIFS('GT Comparison'!L:L,'GT Comparison'!B:B,"Gemini",'GT Comparison'!E:E,"one",'GT Comparison'!D:D,1)</f>
        <v>0.97845804988662133</v>
      </c>
      <c r="E5" s="115">
        <f>AVERAGEIFS('GT Comparison'!M:M,'GT Comparison'!B:B,"Gemini",'GT Comparison'!E:E,"one",'GT Comparison'!D:D,1)</f>
        <v>0.86318073460930611</v>
      </c>
      <c r="F5" s="137">
        <f>AVERAGEIFS('GT Comparison'!N:N,'GT Comparison'!B:B,"Gemini",'GT Comparison'!E:E,"one",'GT Comparison'!D:D,1)</f>
        <v>0.90722531436817155</v>
      </c>
      <c r="G5" s="115">
        <f>AVERAGEIFS('GT Comparison'!Q:Q,'GT Comparison'!B:B,"Gemini",'GT Comparison'!E:E,"one",'GT Comparison'!D:D,1)</f>
        <v>0.99603174603174593</v>
      </c>
      <c r="H5" s="115">
        <f>AVERAGEIFS('GT Comparison'!R:R,'GT Comparison'!B:B,"Gemini",'GT Comparison'!E:E,"one",'GT Comparison'!D:D,1)</f>
        <v>0.80399102950794676</v>
      </c>
      <c r="I5" s="137">
        <f>AVERAGEIFS('GT Comparison'!S:S,'GT Comparison'!B:B,"Gemini",'GT Comparison'!E:E,"one",'GT Comparison'!D:D,1)</f>
        <v>0.86871940783944601</v>
      </c>
      <c r="J5" s="115">
        <f>AVERAGEIFS('GT Comparison'!V:V,'GT Comparison'!B:B,"Gemini",'GT Comparison'!E:E,"one",'GT Comparison'!D:D,1)</f>
        <v>0.85326736755308219</v>
      </c>
      <c r="K5" s="115">
        <f>AVERAGEIFS('GT Comparison'!W:W,'GT Comparison'!B:B,"Gemini",'GT Comparison'!E:E,"one",'GT Comparison'!D:D,1)</f>
        <v>0.77000354143211291</v>
      </c>
      <c r="L5" s="137">
        <f>AVERAGEIFS('GT Comparison'!X:X,'GT Comparison'!B:B,"Gemini",'GT Comparison'!E:E,"one",'GT Comparison'!D:D,1)</f>
        <v>0.80106679035250461</v>
      </c>
      <c r="M5" s="115">
        <f>AVERAGEIFS('GT Comparison'!AA:AA,'GT Comparison'!B:B,"Gemini",'GT Comparison'!E:E,"one",'GT Comparison'!D:D,1)</f>
        <v>0.83110676917067883</v>
      </c>
      <c r="N5" s="115">
        <f>AVERAGEIFS('GT Comparison'!AB:AB,'GT Comparison'!B:B,"Gemini",'GT Comparison'!E:E,"one",'GT Comparison'!D:D,1)</f>
        <v>0.67221739378694279</v>
      </c>
      <c r="O5" s="137">
        <f>AVERAGEIFS('GT Comparison'!AC:AC,'GT Comparison'!B:B,"Gemini",'GT Comparison'!E:E,"one",'GT Comparison'!D:D,1)</f>
        <v>0.72624488285312683</v>
      </c>
    </row>
    <row r="6" spans="1:18" ht="27.9" customHeight="1" x14ac:dyDescent="0.35">
      <c r="A6" s="110"/>
      <c r="B6" s="114"/>
      <c r="C6" s="112">
        <v>2</v>
      </c>
      <c r="D6" s="116">
        <f>AVERAGEIFS('GT Comparison'!L:L,'GT Comparison'!B:B,"Gemini",'GT Comparison'!E:E,"one",'GT Comparison'!D:D,2)</f>
        <v>0.98064266356949281</v>
      </c>
      <c r="E6" s="116">
        <f>AVERAGEIFS('GT Comparison'!M:M,'GT Comparison'!B:B,"Gemini",'GT Comparison'!E:E,"one",'GT Comparison'!D:D,2)</f>
        <v>0.85200830915116621</v>
      </c>
      <c r="F6" s="137">
        <f>AVERAGEIFS('GT Comparison'!N:N,'GT Comparison'!B:B,"Gemini",'GT Comparison'!E:E,"one",'GT Comparison'!D:D,2)</f>
        <v>0.90695808256783872</v>
      </c>
      <c r="G6" s="116">
        <f>AVERAGEIFS('GT Comparison'!Q:Q,'GT Comparison'!B:B,"Gemini",'GT Comparison'!E:E,"one",'GT Comparison'!D:D,2)</f>
        <v>0.99603174603174593</v>
      </c>
      <c r="H6" s="116">
        <f>AVERAGEIFS('GT Comparison'!R:R,'GT Comparison'!B:B,"Gemini",'GT Comparison'!E:E,"one",'GT Comparison'!D:D,2)</f>
        <v>0.81198189863603376</v>
      </c>
      <c r="I6" s="137">
        <f>AVERAGEIFS('GT Comparison'!S:S,'GT Comparison'!B:B,"Gemini",'GT Comparison'!E:E,"one",'GT Comparison'!D:D,2)</f>
        <v>0.87477649908261823</v>
      </c>
      <c r="J6" s="116">
        <f>AVERAGEIFS('GT Comparison'!V:V,'GT Comparison'!B:B,"Gemini",'GT Comparison'!E:E,"one",'GT Comparison'!D:D,2)</f>
        <v>0.84687006115577579</v>
      </c>
      <c r="K6" s="116">
        <f>AVERAGEIFS('GT Comparison'!W:W,'GT Comparison'!B:B,"Gemini",'GT Comparison'!E:E,"one",'GT Comparison'!D:D,2)</f>
        <v>0.75788602931460092</v>
      </c>
      <c r="L6" s="137">
        <f>AVERAGEIFS('GT Comparison'!X:X,'GT Comparison'!B:B,"Gemini",'GT Comparison'!E:E,"one",'GT Comparison'!D:D,2)</f>
        <v>0.79222325293753859</v>
      </c>
      <c r="M6" s="116">
        <f>AVERAGEIFS('GT Comparison'!AA:AA,'GT Comparison'!B:B,"Gemini",'GT Comparison'!E:E,"one",'GT Comparison'!D:D,2)</f>
        <v>0.8307403107850917</v>
      </c>
      <c r="N6" s="116">
        <f>AVERAGEIFS('GT Comparison'!AB:AB,'GT Comparison'!B:B,"Gemini",'GT Comparison'!E:E,"one",'GT Comparison'!D:D,2)</f>
        <v>0.68212305395106154</v>
      </c>
      <c r="O6" s="137">
        <f>AVERAGEIFS('GT Comparison'!AC:AC,'GT Comparison'!B:B,"Gemini",'GT Comparison'!E:E,"one",'GT Comparison'!D:D,2)</f>
        <v>0.73263994974239777</v>
      </c>
    </row>
    <row r="7" spans="1:18" ht="27.9" customHeight="1" x14ac:dyDescent="0.35">
      <c r="A7" s="110"/>
      <c r="B7" s="114"/>
      <c r="C7" s="112">
        <v>3</v>
      </c>
      <c r="D7" s="115">
        <f>AVERAGEIFS('GT Comparison'!L:L,'GT Comparison'!B:B,"Gemini",'GT Comparison'!E:E,"one",'GT Comparison'!D:D,3)</f>
        <v>0.95502645502645511</v>
      </c>
      <c r="E7" s="115">
        <f>AVERAGEIFS('GT Comparison'!M:M,'GT Comparison'!B:B,"Gemini",'GT Comparison'!E:E,"one",'GT Comparison'!D:D,3)</f>
        <v>0.8320393891822464</v>
      </c>
      <c r="F7" s="137">
        <f>AVERAGEIFS('GT Comparison'!N:N,'GT Comparison'!B:B,"Gemini",'GT Comparison'!E:E,"one",'GT Comparison'!D:D,3)</f>
        <v>0.88076169861884157</v>
      </c>
      <c r="G7" s="115">
        <f>AVERAGEIFS('GT Comparison'!Q:Q,'GT Comparison'!B:B,"Gemini",'GT Comparison'!E:E,"one",'GT Comparison'!D:D,3)</f>
        <v>0.98809523809523814</v>
      </c>
      <c r="H7" s="115">
        <f>AVERAGEIFS('GT Comparison'!R:R,'GT Comparison'!B:B,"Gemini",'GT Comparison'!E:E,"one",'GT Comparison'!D:D,3)</f>
        <v>0.79284067888391196</v>
      </c>
      <c r="I7" s="137">
        <f>AVERAGEIFS('GT Comparison'!S:S,'GT Comparison'!B:B,"Gemini",'GT Comparison'!E:E,"one",'GT Comparison'!D:D,3)</f>
        <v>0.86173148764683694</v>
      </c>
      <c r="J7" s="115">
        <f>AVERAGEIFS('GT Comparison'!V:V,'GT Comparison'!B:B,"Gemini",'GT Comparison'!E:E,"one",'GT Comparison'!D:D,3)</f>
        <v>0.84941249226963544</v>
      </c>
      <c r="K7" s="115">
        <f>AVERAGEIFS('GT Comparison'!W:W,'GT Comparison'!B:B,"Gemini",'GT Comparison'!E:E,"one",'GT Comparison'!D:D,3)</f>
        <v>0.75571782714639868</v>
      </c>
      <c r="L7" s="137">
        <f>AVERAGEIFS('GT Comparison'!X:X,'GT Comparison'!B:B,"Gemini",'GT Comparison'!E:E,"one",'GT Comparison'!D:D,3)</f>
        <v>0.79238301381158527</v>
      </c>
      <c r="M7" s="115">
        <f>AVERAGEIFS('GT Comparison'!AA:AA,'GT Comparison'!B:B,"Gemini",'GT Comparison'!E:E,"one",'GT Comparison'!D:D,3)</f>
        <v>0.81450887617959689</v>
      </c>
      <c r="N7" s="115">
        <f>AVERAGEIFS('GT Comparison'!AB:AB,'GT Comparison'!B:B,"Gemini",'GT Comparison'!E:E,"one",'GT Comparison'!D:D,3)</f>
        <v>0.67378426189516427</v>
      </c>
      <c r="O7" s="137">
        <f>AVERAGEIFS('GT Comparison'!AC:AC,'GT Comparison'!B:B,"Gemini",'GT Comparison'!E:E,"one",'GT Comparison'!D:D,3)</f>
        <v>0.72347336958479713</v>
      </c>
    </row>
    <row r="8" spans="1:18" ht="27.9" customHeight="1" x14ac:dyDescent="0.35">
      <c r="A8" s="110"/>
      <c r="B8" s="108" t="s">
        <v>85</v>
      </c>
      <c r="C8" s="112">
        <v>1</v>
      </c>
      <c r="D8" s="115">
        <f>AVERAGEIFS('GT Comparison'!L:L,'GT Comparison'!B:B,"Gemini",'GT Comparison'!E:E,"zero",'GT Comparison'!D:D,1)</f>
        <v>0.97460317460317469</v>
      </c>
      <c r="E8" s="115">
        <f>AVERAGEIFS('GT Comparison'!M:M,'GT Comparison'!B:B,"Gemini",'GT Comparison'!E:E,"zero",'GT Comparison'!D:D,1)</f>
        <v>0.83926021068878209</v>
      </c>
      <c r="F8" s="212">
        <f>AVERAGEIFS('GT Comparison'!N:N,'GT Comparison'!B:B,"Gemini",'GT Comparison'!E:E,"zero",'GT Comparison'!D:D,1)</f>
        <v>0.89228509585652438</v>
      </c>
      <c r="G8" s="115">
        <f>AVERAGEIFS('GT Comparison'!Q:Q,'GT Comparison'!B:B,"Gemini",'GT Comparison'!E:E,"zero",'GT Comparison'!D:D,1)</f>
        <v>0.98809523809523814</v>
      </c>
      <c r="H8" s="115">
        <f>AVERAGEIFS('GT Comparison'!R:R,'GT Comparison'!B:B,"Gemini",'GT Comparison'!E:E,"zero",'GT Comparison'!D:D,1)</f>
        <v>0.75750744138902049</v>
      </c>
      <c r="I8" s="212">
        <f>AVERAGEIFS('GT Comparison'!S:S,'GT Comparison'!B:B,"Gemini",'GT Comparison'!E:E,"zero",'GT Comparison'!D:D,1)</f>
        <v>0.84316603896322884</v>
      </c>
      <c r="J8" s="115">
        <f>AVERAGEIFS('GT Comparison'!V:V,'GT Comparison'!B:B,"Gemini",'GT Comparison'!E:E,"zero",'GT Comparison'!D:D,1)</f>
        <v>0.90415721844293295</v>
      </c>
      <c r="K8" s="115">
        <f>AVERAGEIFS('GT Comparison'!W:W,'GT Comparison'!B:B,"Gemini",'GT Comparison'!E:E,"zero",'GT Comparison'!D:D,1)</f>
        <v>0.78016586588015202</v>
      </c>
      <c r="L8" s="212">
        <f>AVERAGEIFS('GT Comparison'!X:X,'GT Comparison'!B:B,"Gemini",'GT Comparison'!E:E,"zero",'GT Comparison'!D:D,1)</f>
        <v>0.82882137703566272</v>
      </c>
      <c r="M8" s="115">
        <f>AVERAGEIFS('GT Comparison'!AA:AA,'GT Comparison'!B:B,"Gemini",'GT Comparison'!E:E,"zero",'GT Comparison'!D:D,1)</f>
        <v>0.74700861348915304</v>
      </c>
      <c r="N8" s="115">
        <f>AVERAGEIFS('GT Comparison'!AB:AB,'GT Comparison'!B:B,"Gemini",'GT Comparison'!E:E,"zero",'GT Comparison'!D:D,1)</f>
        <v>0.5748214530874306</v>
      </c>
      <c r="O8" s="212">
        <f>AVERAGEIFS('GT Comparison'!AC:AC,'GT Comparison'!B:B,"Gemini",'GT Comparison'!E:E,"zero",'GT Comparison'!D:D,1)</f>
        <v>0.63942016549967873</v>
      </c>
    </row>
    <row r="9" spans="1:18" ht="27.9" customHeight="1" x14ac:dyDescent="0.35">
      <c r="A9" s="110"/>
      <c r="B9" s="113"/>
      <c r="C9" s="112">
        <v>2</v>
      </c>
      <c r="D9" s="116">
        <f>AVERAGEIFS('GT Comparison'!L:L,'GT Comparison'!B:B,"Gemini",'GT Comparison'!E:E,"zero",'GT Comparison'!D:D,2)</f>
        <v>0.96422764227642277</v>
      </c>
      <c r="E9" s="116">
        <f>AVERAGEIFS('GT Comparison'!M:M,'GT Comparison'!B:B,"Gemini",'GT Comparison'!E:E,"zero",'GT Comparison'!D:D,2)</f>
        <v>0.82867820010677151</v>
      </c>
      <c r="F9" s="212">
        <f>AVERAGEIFS('GT Comparison'!N:N,'GT Comparison'!B:B,"Gemini",'GT Comparison'!E:E,"zero",'GT Comparison'!D:D,2)</f>
        <v>0.88181818181818172</v>
      </c>
      <c r="G9" s="116">
        <f>AVERAGEIFS('GT Comparison'!Q:Q,'GT Comparison'!B:B,"Gemini",'GT Comparison'!E:E,"zero",'GT Comparison'!D:D,2)</f>
        <v>0.98809523809523814</v>
      </c>
      <c r="H9" s="116">
        <f>AVERAGEIFS('GT Comparison'!R:R,'GT Comparison'!B:B,"Gemini",'GT Comparison'!E:E,"zero",'GT Comparison'!D:D,2)</f>
        <v>0.76193305267553391</v>
      </c>
      <c r="I9" s="212">
        <f>AVERAGEIFS('GT Comparison'!S:S,'GT Comparison'!B:B,"Gemini",'GT Comparison'!E:E,"zero",'GT Comparison'!D:D,2)</f>
        <v>0.84308182000691279</v>
      </c>
      <c r="J9" s="116">
        <f>AVERAGEIFS('GT Comparison'!V:V,'GT Comparison'!B:B,"Gemini",'GT Comparison'!E:E,"zero",'GT Comparison'!D:D,2)</f>
        <v>0.91171579743008324</v>
      </c>
      <c r="K9" s="116">
        <f>AVERAGEIFS('GT Comparison'!W:W,'GT Comparison'!B:B,"Gemini",'GT Comparison'!E:E,"zero",'GT Comparison'!D:D,2)</f>
        <v>0.78197992483706813</v>
      </c>
      <c r="L9" s="212">
        <f>AVERAGEIFS('GT Comparison'!X:X,'GT Comparison'!B:B,"Gemini",'GT Comparison'!E:E,"zero",'GT Comparison'!D:D,2)</f>
        <v>0.83236446093588956</v>
      </c>
      <c r="M9" s="116">
        <f>AVERAGEIFS('GT Comparison'!AA:AA,'GT Comparison'!B:B,"Gemini",'GT Comparison'!E:E,"zero",'GT Comparison'!D:D,2)</f>
        <v>0.75828386358019251</v>
      </c>
      <c r="N9" s="116">
        <f>AVERAGEIFS('GT Comparison'!AB:AB,'GT Comparison'!B:B,"Gemini",'GT Comparison'!E:E,"zero",'GT Comparison'!D:D,2)</f>
        <v>0.5869374890286545</v>
      </c>
      <c r="O9" s="212">
        <f>AVERAGEIFS('GT Comparison'!AC:AC,'GT Comparison'!B:B,"Gemini",'GT Comparison'!E:E,"zero",'GT Comparison'!D:D,2)</f>
        <v>0.64880688956879196</v>
      </c>
    </row>
    <row r="10" spans="1:18" ht="27.9" customHeight="1" x14ac:dyDescent="0.35">
      <c r="A10" s="110"/>
      <c r="B10" s="113"/>
      <c r="C10" s="112">
        <v>3</v>
      </c>
      <c r="D10" s="115">
        <f>AVERAGEIFS('GT Comparison'!L:L,'GT Comparison'!B:B,"Gemini",'GT Comparison'!E:E,"zero",'GT Comparison'!D:D,3)</f>
        <v>0.97333333333333338</v>
      </c>
      <c r="E10" s="115">
        <f>AVERAGEIFS('GT Comparison'!M:M,'GT Comparison'!B:B,"Gemini",'GT Comparison'!E:E,"zero",'GT Comparison'!D:D,3)</f>
        <v>0.86019166019166016</v>
      </c>
      <c r="F10" s="212">
        <f>AVERAGEIFS('GT Comparison'!N:N,'GT Comparison'!B:B,"Gemini",'GT Comparison'!E:E,"zero",'GT Comparison'!D:D,3)</f>
        <v>0.90369859307359324</v>
      </c>
      <c r="G10" s="115">
        <f>AVERAGEIFS('GT Comparison'!Q:Q,'GT Comparison'!B:B,"Gemini",'GT Comparison'!E:E,"zero",'GT Comparison'!D:D,3)</f>
        <v>0.98809523809523814</v>
      </c>
      <c r="H10" s="115">
        <f>AVERAGEIFS('GT Comparison'!R:R,'GT Comparison'!B:B,"Gemini",'GT Comparison'!E:E,"zero",'GT Comparison'!D:D,3)</f>
        <v>0.77186401735273913</v>
      </c>
      <c r="I10" s="212">
        <f>AVERAGEIFS('GT Comparison'!S:S,'GT Comparison'!B:B,"Gemini",'GT Comparison'!E:E,"zero",'GT Comparison'!D:D,3)</f>
        <v>0.8527907969213202</v>
      </c>
      <c r="J10" s="115">
        <f>AVERAGEIFS('GT Comparison'!V:V,'GT Comparison'!B:B,"Gemini",'GT Comparison'!E:E,"zero",'GT Comparison'!D:D,3)</f>
        <v>0.88395519824091284</v>
      </c>
      <c r="K10" s="115">
        <f>AVERAGEIFS('GT Comparison'!W:W,'GT Comparison'!B:B,"Gemini",'GT Comparison'!E:E,"zero",'GT Comparison'!D:D,3)</f>
        <v>0.7770261484547204</v>
      </c>
      <c r="L10" s="212">
        <f>AVERAGEIFS('GT Comparison'!X:X,'GT Comparison'!B:B,"Gemini",'GT Comparison'!E:E,"zero",'GT Comparison'!D:D,3)</f>
        <v>0.81763811585240154</v>
      </c>
      <c r="M10" s="115">
        <f>AVERAGEIFS('GT Comparison'!AA:AA,'GT Comparison'!B:B,"Gemini",'GT Comparison'!E:E,"zero",'GT Comparison'!D:D,3)</f>
        <v>0.71826762981395886</v>
      </c>
      <c r="N10" s="115">
        <f>AVERAGEIFS('GT Comparison'!AB:AB,'GT Comparison'!B:B,"Gemini",'GT Comparison'!E:E,"zero",'GT Comparison'!D:D,3)</f>
        <v>0.56089004719173885</v>
      </c>
      <c r="O10" s="212">
        <f>AVERAGEIFS('GT Comparison'!AC:AC,'GT Comparison'!B:B,"Gemini",'GT Comparison'!E:E,"zero",'GT Comparison'!D:D,3)</f>
        <v>0.6204290059693035</v>
      </c>
    </row>
    <row r="11" spans="1:18" ht="27.9" customHeight="1" x14ac:dyDescent="0.35">
      <c r="A11" s="111" t="s">
        <v>22</v>
      </c>
      <c r="B11" s="109" t="s">
        <v>110</v>
      </c>
      <c r="C11" s="112">
        <v>1</v>
      </c>
      <c r="D11" s="115">
        <f>AVERAGEIFS('GT Comparison'!L:L,'GT Comparison'!B:B,"Mistral",'GT Comparison'!E:E,"one",'GT Comparison'!D:D,1)</f>
        <v>0.97145909645909667</v>
      </c>
      <c r="E11" s="115">
        <f>AVERAGEIFS('GT Comparison'!M:M,'GT Comparison'!B:B,"Mistral",'GT Comparison'!E:E,"one",'GT Comparison'!D:D,1)</f>
        <v>0.84814550528836274</v>
      </c>
      <c r="F11" s="137">
        <f>AVERAGEIFS('GT Comparison'!N:N,'GT Comparison'!B:B,"Mistral",'GT Comparison'!E:E,"one",'GT Comparison'!D:D,1)</f>
        <v>0.89834145779523955</v>
      </c>
      <c r="G11" s="115">
        <f>AVERAGEIFS('GT Comparison'!Q:Q,'GT Comparison'!B:B,"Mistral",'GT Comparison'!E:E,"one",'GT Comparison'!D:D,1)</f>
        <v>0.98738095238095236</v>
      </c>
      <c r="H11" s="115">
        <f>AVERAGEIFS('GT Comparison'!R:R,'GT Comparison'!B:B,"Mistral",'GT Comparison'!E:E,"one",'GT Comparison'!D:D,1)</f>
        <v>0.73660919107347678</v>
      </c>
      <c r="I11" s="137">
        <f>AVERAGEIFS('GT Comparison'!S:S,'GT Comparison'!B:B,"Mistral",'GT Comparison'!E:E,"one",'GT Comparison'!D:D,1)</f>
        <v>0.82744638217712918</v>
      </c>
      <c r="J11" s="115">
        <f>AVERAGEIFS('GT Comparison'!V:V,'GT Comparison'!B:B,"Mistral",'GT Comparison'!E:E,"one",'GT Comparison'!D:D,1)</f>
        <v>0.83949231984946293</v>
      </c>
      <c r="K11" s="115">
        <f>AVERAGEIFS('GT Comparison'!W:W,'GT Comparison'!B:B,"Mistral",'GT Comparison'!E:E,"one",'GT Comparison'!D:D,1)</f>
        <v>0.7551247694104839</v>
      </c>
      <c r="L11" s="137">
        <f>AVERAGEIFS('GT Comparison'!X:X,'GT Comparison'!B:B,"Mistral",'GT Comparison'!E:E,"one",'GT Comparison'!D:D,1)</f>
        <v>0.78983017449403992</v>
      </c>
      <c r="M11" s="115">
        <f>AVERAGEIFS('GT Comparison'!AA:AA,'GT Comparison'!B:B,"Mistral",'GT Comparison'!E:E,"one",'GT Comparison'!D:D,1)</f>
        <v>0.73641131355417089</v>
      </c>
      <c r="N11" s="115">
        <f>AVERAGEIFS('GT Comparison'!AB:AB,'GT Comparison'!B:B,"Mistral",'GT Comparison'!E:E,"one",'GT Comparison'!D:D,1)</f>
        <v>0.54541732633837925</v>
      </c>
      <c r="O11" s="137">
        <f>AVERAGEIFS('GT Comparison'!AC:AC,'GT Comparison'!B:B,"Mistral",'GT Comparison'!E:E,"one",'GT Comparison'!D:D,1)</f>
        <v>0.61490382820967981</v>
      </c>
    </row>
    <row r="12" spans="1:18" ht="27.9" customHeight="1" x14ac:dyDescent="0.35">
      <c r="A12" s="110"/>
      <c r="B12" s="114"/>
      <c r="C12" s="112">
        <v>2</v>
      </c>
      <c r="D12" s="116">
        <f>AVERAGEIFS('GT Comparison'!L:L,'GT Comparison'!B:B,"Mistral",'GT Comparison'!E:E,"one",'GT Comparison'!D:D,2)</f>
        <v>0.97715247715247722</v>
      </c>
      <c r="E12" s="116">
        <f>AVERAGEIFS('GT Comparison'!M:M,'GT Comparison'!B:B,"Mistral",'GT Comparison'!E:E,"one",'GT Comparison'!D:D,2)</f>
        <v>0.84610786039357477</v>
      </c>
      <c r="F12" s="137">
        <f>AVERAGEIFS('GT Comparison'!N:N,'GT Comparison'!B:B,"Mistral",'GT Comparison'!E:E,"one",'GT Comparison'!D:D,2)</f>
        <v>0.89871024167242675</v>
      </c>
      <c r="G12" s="116">
        <f>AVERAGEIFS('GT Comparison'!Q:Q,'GT Comparison'!B:B,"Mistral",'GT Comparison'!E:E,"one",'GT Comparison'!D:D,2)</f>
        <v>0.99319727891156451</v>
      </c>
      <c r="H12" s="116">
        <f>AVERAGEIFS('GT Comparison'!R:R,'GT Comparison'!B:B,"Mistral",'GT Comparison'!E:E,"one",'GT Comparison'!D:D,2)</f>
        <v>0.70891521542367419</v>
      </c>
      <c r="I12" s="137">
        <f>AVERAGEIFS('GT Comparison'!S:S,'GT Comparison'!B:B,"Mistral",'GT Comparison'!E:E,"one",'GT Comparison'!D:D,2)</f>
        <v>0.81163528629545734</v>
      </c>
      <c r="J12" s="116">
        <f>AVERAGEIFS('GT Comparison'!V:V,'GT Comparison'!B:B,"Mistral",'GT Comparison'!E:E,"one",'GT Comparison'!D:D,2)</f>
        <v>0.80667626024768901</v>
      </c>
      <c r="K12" s="116">
        <f>AVERAGEIFS('GT Comparison'!W:W,'GT Comparison'!B:B,"Mistral",'GT Comparison'!E:E,"one",'GT Comparison'!D:D,2)</f>
        <v>0.72202717917003645</v>
      </c>
      <c r="L12" s="137">
        <f>AVERAGEIFS('GT Comparison'!X:X,'GT Comparison'!B:B,"Mistral",'GT Comparison'!E:E,"one",'GT Comparison'!D:D,2)</f>
        <v>0.75621900275261622</v>
      </c>
      <c r="M12" s="116">
        <f>AVERAGEIFS('GT Comparison'!AA:AA,'GT Comparison'!B:B,"Mistral",'GT Comparison'!E:E,"one",'GT Comparison'!D:D,2)</f>
        <v>0.7356690411038237</v>
      </c>
      <c r="N12" s="116">
        <f>AVERAGEIFS('GT Comparison'!AB:AB,'GT Comparison'!B:B,"Mistral",'GT Comparison'!E:E,"one",'GT Comparison'!D:D,2)</f>
        <v>0.53209198556942938</v>
      </c>
      <c r="O12" s="137">
        <f>AVERAGEIFS('GT Comparison'!AC:AC,'GT Comparison'!B:B,"Mistral",'GT Comparison'!E:E,"one",'GT Comparison'!D:D,2)</f>
        <v>0.60597148318595095</v>
      </c>
    </row>
    <row r="13" spans="1:18" ht="27.9" customHeight="1" x14ac:dyDescent="0.35">
      <c r="A13" s="110"/>
      <c r="B13" s="114"/>
      <c r="C13" s="112">
        <v>3</v>
      </c>
      <c r="D13" s="115">
        <f>AVERAGEIFS('GT Comparison'!L:L,'GT Comparison'!B:B,"Mistral",'GT Comparison'!E:E,"one",'GT Comparison'!D:D,3)</f>
        <v>0.98440448440448425</v>
      </c>
      <c r="E13" s="115">
        <f>AVERAGEIFS('GT Comparison'!M:M,'GT Comparison'!B:B,"Mistral",'GT Comparison'!E:E,"one",'GT Comparison'!D:D,3)</f>
        <v>0.90769706483992219</v>
      </c>
      <c r="F13" s="137">
        <f>AVERAGEIFS('GT Comparison'!N:N,'GT Comparison'!B:B,"Mistral",'GT Comparison'!E:E,"one",'GT Comparison'!D:D,3)</f>
        <v>0.93214028035456609</v>
      </c>
      <c r="G13" s="115">
        <f>AVERAGEIFS('GT Comparison'!Q:Q,'GT Comparison'!B:B,"Mistral",'GT Comparison'!E:E,"one",'GT Comparison'!D:D,3)</f>
        <v>0.98397959183673456</v>
      </c>
      <c r="H13" s="115">
        <f>AVERAGEIFS('GT Comparison'!R:R,'GT Comparison'!B:B,"Mistral",'GT Comparison'!E:E,"one",'GT Comparison'!D:D,3)</f>
        <v>0.76272548288525732</v>
      </c>
      <c r="I13" s="137">
        <f>AVERAGEIFS('GT Comparison'!S:S,'GT Comparison'!B:B,"Mistral",'GT Comparison'!E:E,"one",'GT Comparison'!D:D,3)</f>
        <v>0.84000420346092008</v>
      </c>
      <c r="J13" s="115">
        <f>AVERAGEIFS('GT Comparison'!V:V,'GT Comparison'!B:B,"Mistral",'GT Comparison'!E:E,"one",'GT Comparison'!D:D,3)</f>
        <v>0.81252398395255576</v>
      </c>
      <c r="K13" s="115">
        <f>AVERAGEIFS('GT Comparison'!W:W,'GT Comparison'!B:B,"Mistral",'GT Comparison'!E:E,"one",'GT Comparison'!D:D,3)</f>
        <v>0.76103367531938981</v>
      </c>
      <c r="L13" s="137">
        <f>AVERAGEIFS('GT Comparison'!X:X,'GT Comparison'!B:B,"Mistral",'GT Comparison'!E:E,"one",'GT Comparison'!D:D,3)</f>
        <v>0.77805607091321372</v>
      </c>
      <c r="M13" s="115">
        <f>AVERAGEIFS('GT Comparison'!AA:AA,'GT Comparison'!B:B,"Mistral",'GT Comparison'!E:E,"one",'GT Comparison'!D:D,3)</f>
        <v>0.72963732035160622</v>
      </c>
      <c r="N13" s="115">
        <f>AVERAGEIFS('GT Comparison'!AB:AB,'GT Comparison'!B:B,"Mistral",'GT Comparison'!E:E,"one",'GT Comparison'!D:D,3)</f>
        <v>0.55387836891596309</v>
      </c>
      <c r="O13" s="137">
        <f>AVERAGEIFS('GT Comparison'!AC:AC,'GT Comparison'!B:B,"Mistral",'GT Comparison'!E:E,"one",'GT Comparison'!D:D,3)</f>
        <v>0.61620549579929473</v>
      </c>
    </row>
    <row r="14" spans="1:18" ht="27.9" customHeight="1" x14ac:dyDescent="0.35">
      <c r="A14" s="110"/>
      <c r="B14" s="108" t="s">
        <v>85</v>
      </c>
      <c r="C14" s="112">
        <v>1</v>
      </c>
      <c r="D14" s="115">
        <f>AVERAGEIFS('GT Comparison'!L:L,'GT Comparison'!B:B,"Mistral",'GT Comparison'!E:E,"zero",'GT Comparison'!D:D,1)</f>
        <v>0.97841510341510329</v>
      </c>
      <c r="E14" s="115">
        <f>AVERAGEIFS('GT Comparison'!M:M,'GT Comparison'!B:B,"Mistral",'GT Comparison'!E:E,"zero",'GT Comparison'!D:D,1)</f>
        <v>0.88224262509976814</v>
      </c>
      <c r="F14" s="212">
        <f>AVERAGEIFS('GT Comparison'!N:N,'GT Comparison'!B:B,"Mistral",'GT Comparison'!E:E,"zero",'GT Comparison'!D:D,1)</f>
        <v>0.91740995543516557</v>
      </c>
      <c r="G14" s="115">
        <f>AVERAGEIFS('GT Comparison'!Q:Q,'GT Comparison'!B:B,"Mistral",'GT Comparison'!E:E,"zero",'GT Comparison'!D:D,1)</f>
        <v>0.99829931972789121</v>
      </c>
      <c r="H14" s="115">
        <f>AVERAGEIFS('GT Comparison'!R:R,'GT Comparison'!B:B,"Mistral",'GT Comparison'!E:E,"zero",'GT Comparison'!D:D,1)</f>
        <v>0.72628044035468819</v>
      </c>
      <c r="I14" s="212">
        <f>AVERAGEIFS('GT Comparison'!S:S,'GT Comparison'!B:B,"Mistral",'GT Comparison'!E:E,"zero",'GT Comparison'!D:D,1)</f>
        <v>0.82772317141630347</v>
      </c>
      <c r="J14" s="115">
        <f>AVERAGEIFS('GT Comparison'!V:V,'GT Comparison'!B:B,"Mistral",'GT Comparison'!E:E,"zero",'GT Comparison'!D:D,1)</f>
        <v>0.88704304954304958</v>
      </c>
      <c r="K14" s="115">
        <f>AVERAGEIFS('GT Comparison'!W:W,'GT Comparison'!B:B,"Mistral",'GT Comparison'!E:E,"zero",'GT Comparison'!D:D,1)</f>
        <v>0.8135869421583708</v>
      </c>
      <c r="L14" s="212">
        <f>AVERAGEIFS('GT Comparison'!X:X,'GT Comparison'!B:B,"Mistral",'GT Comparison'!E:E,"zero",'GT Comparison'!D:D,1)</f>
        <v>0.83986611738712569</v>
      </c>
      <c r="M14" s="115">
        <f>AVERAGEIFS('GT Comparison'!AA:AA,'GT Comparison'!B:B,"Mistral",'GT Comparison'!E:E,"zero",'GT Comparison'!D:D,1)</f>
        <v>0.77992605069672749</v>
      </c>
      <c r="N14" s="115">
        <f>AVERAGEIFS('GT Comparison'!AB:AB,'GT Comparison'!B:B,"Mistral",'GT Comparison'!E:E,"zero",'GT Comparison'!D:D,1)</f>
        <v>0.56549805666347019</v>
      </c>
      <c r="O14" s="212">
        <f>AVERAGEIFS('GT Comparison'!AC:AC,'GT Comparison'!B:B,"Mistral",'GT Comparison'!E:E,"zero",'GT Comparison'!D:D,1)</f>
        <v>0.64486602786226066</v>
      </c>
    </row>
    <row r="15" spans="1:18" ht="27.9" customHeight="1" x14ac:dyDescent="0.35">
      <c r="A15" s="110"/>
      <c r="B15" s="113"/>
      <c r="C15" s="112">
        <v>2</v>
      </c>
      <c r="D15" s="116">
        <f>AVERAGEIFS('GT Comparison'!L:L,'GT Comparison'!B:B,"Mistral",'GT Comparison'!E:E,"zero",'GT Comparison'!D:D,2)</f>
        <v>0.98055648055648048</v>
      </c>
      <c r="E15" s="116">
        <f>AVERAGEIFS('GT Comparison'!M:M,'GT Comparison'!B:B,"Mistral",'GT Comparison'!E:E,"zero",'GT Comparison'!D:D,2)</f>
        <v>0.88290228290228312</v>
      </c>
      <c r="F15" s="212">
        <f>AVERAGEIFS('GT Comparison'!N:N,'GT Comparison'!B:B,"Mistral",'GT Comparison'!E:E,"zero",'GT Comparison'!D:D,2)</f>
        <v>0.9209016512587942</v>
      </c>
      <c r="G15" s="116">
        <f>AVERAGEIFS('GT Comparison'!Q:Q,'GT Comparison'!B:B,"Mistral",'GT Comparison'!E:E,"zero",'GT Comparison'!D:D,2)</f>
        <v>1</v>
      </c>
      <c r="H15" s="116">
        <f>AVERAGEIFS('GT Comparison'!R:R,'GT Comparison'!B:B,"Mistral",'GT Comparison'!E:E,"zero",'GT Comparison'!D:D,2)</f>
        <v>0.73478283586366278</v>
      </c>
      <c r="I15" s="212">
        <f>AVERAGEIFS('GT Comparison'!S:S,'GT Comparison'!B:B,"Mistral",'GT Comparison'!E:E,"zero",'GT Comparison'!D:D,2)</f>
        <v>0.83055585092304984</v>
      </c>
      <c r="J15" s="116">
        <f>AVERAGEIFS('GT Comparison'!V:V,'GT Comparison'!B:B,"Mistral",'GT Comparison'!E:E,"zero",'GT Comparison'!D:D,2)</f>
        <v>0.89068358889787458</v>
      </c>
      <c r="K15" s="116">
        <f>AVERAGEIFS('GT Comparison'!W:W,'GT Comparison'!B:B,"Mistral",'GT Comparison'!E:E,"zero",'GT Comparison'!D:D,2)</f>
        <v>0.81649355935070234</v>
      </c>
      <c r="L15" s="212">
        <f>AVERAGEIFS('GT Comparison'!X:X,'GT Comparison'!B:B,"Mistral",'GT Comparison'!E:E,"zero",'GT Comparison'!D:D,2)</f>
        <v>0.84518940054654357</v>
      </c>
      <c r="M15" s="116">
        <f>AVERAGEIFS('GT Comparison'!AA:AA,'GT Comparison'!B:B,"Mistral",'GT Comparison'!E:E,"zero",'GT Comparison'!D:D,2)</f>
        <v>0.78499775774211888</v>
      </c>
      <c r="N15" s="116">
        <f>AVERAGEIFS('GT Comparison'!AB:AB,'GT Comparison'!B:B,"Mistral",'GT Comparison'!E:E,"zero",'GT Comparison'!D:D,2)</f>
        <v>0.56924245779978866</v>
      </c>
      <c r="O15" s="212">
        <f>AVERAGEIFS('GT Comparison'!AC:AC,'GT Comparison'!B:B,"Mistral",'GT Comparison'!E:E,"zero",'GT Comparison'!D:D,2)</f>
        <v>0.64627662824087106</v>
      </c>
    </row>
    <row r="16" spans="1:18" ht="27.9" customHeight="1" x14ac:dyDescent="0.35">
      <c r="A16" s="110"/>
      <c r="B16" s="113"/>
      <c r="C16" s="112">
        <v>3</v>
      </c>
      <c r="D16" s="115">
        <f>AVERAGEIFS('GT Comparison'!L:L,'GT Comparison'!B:B,"Mistral",'GT Comparison'!E:E,"zero",'GT Comparison'!D:D,3)</f>
        <v>0.97955747955747952</v>
      </c>
      <c r="E16" s="115">
        <f>AVERAGEIFS('GT Comparison'!M:M,'GT Comparison'!B:B,"Mistral",'GT Comparison'!E:E,"zero",'GT Comparison'!D:D,3)</f>
        <v>0.89358049358049385</v>
      </c>
      <c r="F16" s="212">
        <f>AVERAGEIFS('GT Comparison'!N:N,'GT Comparison'!B:B,"Mistral",'GT Comparison'!E:E,"zero",'GT Comparison'!D:D,3)</f>
        <v>0.92573550787836523</v>
      </c>
      <c r="G16" s="115">
        <f>AVERAGEIFS('GT Comparison'!Q:Q,'GT Comparison'!B:B,"Mistral",'GT Comparison'!E:E,"zero",'GT Comparison'!D:D,3)</f>
        <v>1</v>
      </c>
      <c r="H16" s="115">
        <f>AVERAGEIFS('GT Comparison'!R:R,'GT Comparison'!B:B,"Mistral",'GT Comparison'!E:E,"zero",'GT Comparison'!D:D,3)</f>
        <v>0.71065940725245214</v>
      </c>
      <c r="I16" s="212">
        <f>AVERAGEIFS('GT Comparison'!S:S,'GT Comparison'!B:B,"Mistral",'GT Comparison'!E:E,"zero",'GT Comparison'!D:D,3)</f>
        <v>0.80784941520190823</v>
      </c>
      <c r="J16" s="115">
        <f>AVERAGEIFS('GT Comparison'!V:V,'GT Comparison'!B:B,"Mistral",'GT Comparison'!E:E,"zero",'GT Comparison'!D:D,3)</f>
        <v>0.88980880230880233</v>
      </c>
      <c r="K16" s="115">
        <f>AVERAGEIFS('GT Comparison'!W:W,'GT Comparison'!B:B,"Mistral",'GT Comparison'!E:E,"zero",'GT Comparison'!D:D,3)</f>
        <v>0.82568066853781141</v>
      </c>
      <c r="L16" s="212">
        <f>AVERAGEIFS('GT Comparison'!X:X,'GT Comparison'!B:B,"Mistral",'GT Comparison'!E:E,"zero",'GT Comparison'!D:D,3)</f>
        <v>0.84940548869120291</v>
      </c>
      <c r="M16" s="115">
        <f>AVERAGEIFS('GT Comparison'!AA:AA,'GT Comparison'!B:B,"Mistral",'GT Comparison'!E:E,"zero",'GT Comparison'!D:D,3)</f>
        <v>0.80549511057029866</v>
      </c>
      <c r="N16" s="115">
        <f>AVERAGEIFS('GT Comparison'!AB:AB,'GT Comparison'!B:B,"Mistral",'GT Comparison'!E:E,"zero",'GT Comparison'!D:D,3)</f>
        <v>0.56445879725954917</v>
      </c>
      <c r="O16" s="212">
        <f>AVERAGEIFS('GT Comparison'!AC:AC,'GT Comparison'!B:B,"Mistral",'GT Comparison'!E:E,"zero",'GT Comparison'!D:D,3)</f>
        <v>0.64412506540015646</v>
      </c>
    </row>
    <row r="17" spans="1:15" ht="27.9" customHeight="1" x14ac:dyDescent="0.35">
      <c r="A17" s="111" t="s">
        <v>86</v>
      </c>
      <c r="B17" s="109" t="s">
        <v>110</v>
      </c>
      <c r="C17" s="112">
        <v>1</v>
      </c>
      <c r="D17" s="115">
        <f>AVERAGEIFS('GT Comparison'!L:L,'GT Comparison'!B:B,"Llama 3",'GT Comparison'!E:E,"one",'GT Comparison'!D:D,1)</f>
        <v>0.9443070157355874</v>
      </c>
      <c r="E17" s="115">
        <f>AVERAGEIFS('GT Comparison'!M:M,'GT Comparison'!B:B,"Llama 3",'GT Comparison'!E:E,"one",'GT Comparison'!D:D,1)</f>
        <v>0.83405166262309138</v>
      </c>
      <c r="F17" s="137">
        <f>AVERAGEIFS('GT Comparison'!N:N,'GT Comparison'!B:B,"Llama 3",'GT Comparison'!E:E,"one",'GT Comparison'!D:D,1)</f>
        <v>0.8676402405725715</v>
      </c>
      <c r="G17" s="115">
        <f>AVERAGEIFS('GT Comparison'!Q:Q,'GT Comparison'!B:B,"Llama 3",'GT Comparison'!E:E,"one",'GT Comparison'!D:D,1)</f>
        <v>0.95543015185872315</v>
      </c>
      <c r="H17" s="115">
        <f>AVERAGEIFS('GT Comparison'!R:R,'GT Comparison'!B:B,"Llama 3",'GT Comparison'!E:E,"one",'GT Comparison'!D:D,1)</f>
        <v>0.66793864204578479</v>
      </c>
      <c r="I17" s="137">
        <f>AVERAGEIFS('GT Comparison'!S:S,'GT Comparison'!B:B,"Llama 3",'GT Comparison'!E:E,"one",'GT Comparison'!D:D,1)</f>
        <v>0.76147663251210673</v>
      </c>
      <c r="J17" s="115">
        <f>AVERAGEIFS('GT Comparison'!V:V,'GT Comparison'!B:B,"Llama 3",'GT Comparison'!E:E,"one",'GT Comparison'!D:D,1)</f>
        <v>0.78449031127602542</v>
      </c>
      <c r="K17" s="115">
        <f>AVERAGEIFS('GT Comparison'!W:W,'GT Comparison'!B:B,"Llama 3",'GT Comparison'!E:E,"one",'GT Comparison'!D:D,1)</f>
        <v>0.71463985749700054</v>
      </c>
      <c r="L17" s="137">
        <f>AVERAGEIFS('GT Comparison'!X:X,'GT Comparison'!B:B,"Llama 3",'GT Comparison'!E:E,"one",'GT Comparison'!D:D,1)</f>
        <v>0.77478905597326653</v>
      </c>
      <c r="M17" s="115">
        <f>AVERAGEIFS('GT Comparison'!AA:AA,'GT Comparison'!B:B,"Llama 3",'GT Comparison'!E:E,"one",'GT Comparison'!D:D,1)</f>
        <v>0.68289901236329786</v>
      </c>
      <c r="N17" s="115">
        <f>AVERAGEIFS('GT Comparison'!AB:AB,'GT Comparison'!B:B,"Llama 3",'GT Comparison'!E:E,"one",'GT Comparison'!D:D,1)</f>
        <v>0.46637168960947151</v>
      </c>
      <c r="O17" s="137">
        <f>AVERAGEIFS('GT Comparison'!AC:AC,'GT Comparison'!B:B,"Llama 3",'GT Comparison'!E:E,"one",'GT Comparison'!D:D,1)</f>
        <v>0.53521711295773322</v>
      </c>
    </row>
    <row r="18" spans="1:15" ht="27.9" customHeight="1" x14ac:dyDescent="0.35">
      <c r="A18" s="110"/>
      <c r="B18" s="114"/>
      <c r="C18" s="112">
        <v>2</v>
      </c>
      <c r="D18" s="116">
        <f>AVERAGEIFS('GT Comparison'!L:L,'GT Comparison'!B:B,"Llama 3",'GT Comparison'!E:E,"one",'GT Comparison'!D:D,2)</f>
        <v>0.94733044733044758</v>
      </c>
      <c r="E18" s="116">
        <f>AVERAGEIFS('GT Comparison'!M:M,'GT Comparison'!B:B,"Llama 3",'GT Comparison'!E:E,"one",'GT Comparison'!D:D,2)</f>
        <v>0.83982366839509714</v>
      </c>
      <c r="F18" s="137">
        <f>AVERAGEIFS('GT Comparison'!N:N,'GT Comparison'!B:B,"Llama 3",'GT Comparison'!E:E,"one",'GT Comparison'!D:D,2)</f>
        <v>0.86974778215379733</v>
      </c>
      <c r="G18" s="116">
        <f>AVERAGEIFS('GT Comparison'!Q:Q,'GT Comparison'!B:B,"Llama 3",'GT Comparison'!E:E,"one",'GT Comparison'!D:D,2)</f>
        <v>0.95609152752009896</v>
      </c>
      <c r="H18" s="116">
        <f>AVERAGEIFS('GT Comparison'!R:R,'GT Comparison'!B:B,"Llama 3",'GT Comparison'!E:E,"one",'GT Comparison'!D:D,2)</f>
        <v>0.6589282688906748</v>
      </c>
      <c r="I18" s="137">
        <f>AVERAGEIFS('GT Comparison'!S:S,'GT Comparison'!B:B,"Llama 3",'GT Comparison'!E:E,"one",'GT Comparison'!D:D,2)</f>
        <v>0.76373778197499287</v>
      </c>
      <c r="J18" s="116">
        <f>AVERAGEIFS('GT Comparison'!V:V,'GT Comparison'!B:B,"Llama 3",'GT Comparison'!E:E,"one",'GT Comparison'!D:D,2)</f>
        <v>0.78264790764790759</v>
      </c>
      <c r="K18" s="116">
        <f>AVERAGEIFS('GT Comparison'!W:W,'GT Comparison'!B:B,"Llama 3",'GT Comparison'!E:E,"one",'GT Comparison'!D:D,2)</f>
        <v>0.71481851481851499</v>
      </c>
      <c r="L18" s="137">
        <f>AVERAGEIFS('GT Comparison'!X:X,'GT Comparison'!B:B,"Llama 3",'GT Comparison'!E:E,"one",'GT Comparison'!D:D,2)</f>
        <v>0.75340281598304693</v>
      </c>
      <c r="M18" s="116">
        <f>AVERAGEIFS('GT Comparison'!AA:AA,'GT Comparison'!B:B,"Llama 3",'GT Comparison'!E:E,"one",'GT Comparison'!D:D,2)</f>
        <v>0.69360011681440237</v>
      </c>
      <c r="N18" s="116">
        <f>AVERAGEIFS('GT Comparison'!AB:AB,'GT Comparison'!B:B,"Llama 3",'GT Comparison'!E:E,"one",'GT Comparison'!D:D,2)</f>
        <v>0.47455186226332846</v>
      </c>
      <c r="O18" s="137">
        <f>AVERAGEIFS('GT Comparison'!AC:AC,'GT Comparison'!B:B,"Llama 3",'GT Comparison'!E:E,"one",'GT Comparison'!D:D,2)</f>
        <v>0.55158725337092085</v>
      </c>
    </row>
    <row r="19" spans="1:15" ht="27.9" customHeight="1" x14ac:dyDescent="0.35">
      <c r="A19" s="110"/>
      <c r="B19" s="114"/>
      <c r="C19" s="112">
        <v>3</v>
      </c>
      <c r="D19" s="115">
        <f>AVERAGEIFS('GT Comparison'!L:L,'GT Comparison'!B:B,"Llama 3",'GT Comparison'!E:E,"one",'GT Comparison'!D:D,3)</f>
        <v>0.93712636569779439</v>
      </c>
      <c r="E19" s="115">
        <f>AVERAGEIFS('GT Comparison'!M:M,'GT Comparison'!B:B,"Llama 3",'GT Comparison'!E:E,"one",'GT Comparison'!D:D,3)</f>
        <v>0.85672739958454258</v>
      </c>
      <c r="F19" s="137">
        <f>AVERAGEIFS('GT Comparison'!N:N,'GT Comparison'!B:B,"Llama 3",'GT Comparison'!E:E,"one",'GT Comparison'!D:D,3)</f>
        <v>0.87233600776833864</v>
      </c>
      <c r="G19" s="115">
        <f>AVERAGEIFS('GT Comparison'!Q:Q,'GT Comparison'!B:B,"Llama 3",'GT Comparison'!E:E,"one",'GT Comparison'!D:D,3)</f>
        <v>0.96450903593760728</v>
      </c>
      <c r="H19" s="115">
        <f>AVERAGEIFS('GT Comparison'!R:R,'GT Comparison'!B:B,"Llama 3",'GT Comparison'!E:E,"one",'GT Comparison'!D:D,3)</f>
        <v>0.6651190931736044</v>
      </c>
      <c r="I19" s="137">
        <f>AVERAGEIFS('GT Comparison'!S:S,'GT Comparison'!B:B,"Llama 3",'GT Comparison'!E:E,"one",'GT Comparison'!D:D,3)</f>
        <v>0.76447769395503973</v>
      </c>
      <c r="J19" s="115">
        <f>AVERAGEIFS('GT Comparison'!V:V,'GT Comparison'!B:B,"Llama 3",'GT Comparison'!E:E,"one",'GT Comparison'!D:D,3)</f>
        <v>0.75744004672576104</v>
      </c>
      <c r="K19" s="115">
        <f>AVERAGEIFS('GT Comparison'!W:W,'GT Comparison'!B:B,"Llama 3",'GT Comparison'!E:E,"one",'GT Comparison'!D:D,3)</f>
        <v>0.70677893535036407</v>
      </c>
      <c r="L19" s="137">
        <f>AVERAGEIFS('GT Comparison'!X:X,'GT Comparison'!B:B,"Llama 3",'GT Comparison'!E:E,"one",'GT Comparison'!D:D,3)</f>
        <v>0.75430294486215543</v>
      </c>
      <c r="M19" s="115">
        <f>AVERAGEIFS('GT Comparison'!AA:AA,'GT Comparison'!B:B,"Llama 3",'GT Comparison'!E:E,"one",'GT Comparison'!D:D,3)</f>
        <v>0.6939894333801897</v>
      </c>
      <c r="N19" s="115">
        <f>AVERAGEIFS('GT Comparison'!AB:AB,'GT Comparison'!B:B,"Llama 3",'GT Comparison'!E:E,"one",'GT Comparison'!D:D,3)</f>
        <v>0.46431525432935206</v>
      </c>
      <c r="O19" s="137">
        <f>AVERAGEIFS('GT Comparison'!AC:AC,'GT Comparison'!B:B,"Llama 3",'GT Comparison'!E:E,"one",'GT Comparison'!D:D,3)</f>
        <v>0.53939286738327674</v>
      </c>
    </row>
    <row r="20" spans="1:15" ht="27.9" customHeight="1" x14ac:dyDescent="0.35">
      <c r="A20" s="110"/>
      <c r="B20" s="108" t="s">
        <v>85</v>
      </c>
      <c r="C20" s="112">
        <v>1</v>
      </c>
      <c r="D20" s="115">
        <f>AVERAGEIFS('GT Comparison'!L:L,'GT Comparison'!B:B,"Llama 3",'GT Comparison'!E:E,"zero",'GT Comparison'!D:D,1)</f>
        <v>0.91573505859220128</v>
      </c>
      <c r="E20" s="115">
        <f>AVERAGEIFS('GT Comparison'!M:M,'GT Comparison'!B:B,"Llama 3",'GT Comparison'!E:E,"zero",'GT Comparison'!D:D,1)</f>
        <v>0.83933738219452514</v>
      </c>
      <c r="F20" s="212">
        <f>AVERAGEIFS('GT Comparison'!N:N,'GT Comparison'!B:B,"Llama 3",'GT Comparison'!E:E,"zero",'GT Comparison'!D:D,1)</f>
        <v>0.86472271115128252</v>
      </c>
      <c r="G20" s="115">
        <f>AVERAGEIFS('GT Comparison'!Q:Q,'GT Comparison'!B:B,"Llama 3",'GT Comparison'!E:E,"zero",'GT Comparison'!D:D,1)</f>
        <v>0.99140211640211628</v>
      </c>
      <c r="H20" s="115">
        <f>AVERAGEIFS('GT Comparison'!R:R,'GT Comparison'!B:B,"Llama 3",'GT Comparison'!E:E,"zero",'GT Comparison'!D:D,1)</f>
        <v>0.69175055486145698</v>
      </c>
      <c r="I20" s="212">
        <f>AVERAGEIFS('GT Comparison'!S:S,'GT Comparison'!B:B,"Llama 3",'GT Comparison'!E:E,"zero",'GT Comparison'!D:D,1)</f>
        <v>0.79020571283319152</v>
      </c>
      <c r="J20" s="115">
        <f>AVERAGEIFS('GT Comparison'!V:V,'GT Comparison'!B:B,"Llama 3",'GT Comparison'!E:E,"zero",'GT Comparison'!D:D,1)</f>
        <v>0.76069433212290372</v>
      </c>
      <c r="K20" s="115">
        <f>AVERAGEIFS('GT Comparison'!W:W,'GT Comparison'!B:B,"Llama 3",'GT Comparison'!E:E,"zero",'GT Comparison'!D:D,1)</f>
        <v>0.71039753896896773</v>
      </c>
      <c r="L20" s="212">
        <f>AVERAGEIFS('GT Comparison'!X:X,'GT Comparison'!B:B,"Llama 3",'GT Comparison'!E:E,"zero",'GT Comparison'!D:D,1)</f>
        <v>0.76389541014540996</v>
      </c>
      <c r="M20" s="115">
        <f>AVERAGEIFS('GT Comparison'!AA:AA,'GT Comparison'!B:B,"Llama 3",'GT Comparison'!E:E,"zero",'GT Comparison'!D:D,1)</f>
        <v>0.67397172932887217</v>
      </c>
      <c r="N20" s="115">
        <f>AVERAGEIFS('GT Comparison'!AB:AB,'GT Comparison'!B:B,"Llama 3",'GT Comparison'!E:E,"zero",'GT Comparison'!D:D,1)</f>
        <v>0.45995462783526697</v>
      </c>
      <c r="O20" s="212">
        <f>AVERAGEIFS('GT Comparison'!AC:AC,'GT Comparison'!B:B,"Llama 3",'GT Comparison'!E:E,"zero",'GT Comparison'!D:D,1)</f>
        <v>0.52768912721620498</v>
      </c>
    </row>
    <row r="21" spans="1:15" ht="27.9" customHeight="1" x14ac:dyDescent="0.35">
      <c r="A21" s="110"/>
      <c r="B21" s="113"/>
      <c r="C21" s="112">
        <v>2</v>
      </c>
      <c r="D21" s="116">
        <f>AVERAGEIFS('GT Comparison'!L:L,'GT Comparison'!B:B,"Llama 3",'GT Comparison'!E:E,"zero",'GT Comparison'!D:D,2)</f>
        <v>0.89781964067678355</v>
      </c>
      <c r="E21" s="116">
        <f>AVERAGEIFS('GT Comparison'!M:M,'GT Comparison'!B:B,"Llama 3",'GT Comparison'!E:E,"zero",'GT Comparison'!D:D,2)</f>
        <v>0.82455005312148177</v>
      </c>
      <c r="F21" s="212">
        <f>AVERAGEIFS('GT Comparison'!N:N,'GT Comparison'!B:B,"Llama 3",'GT Comparison'!E:E,"zero",'GT Comparison'!D:D,2)</f>
        <v>0.85144557823129252</v>
      </c>
      <c r="G21" s="116">
        <f>AVERAGEIFS('GT Comparison'!Q:Q,'GT Comparison'!B:B,"Llama 3",'GT Comparison'!E:E,"zero",'GT Comparison'!D:D,2)</f>
        <v>0.98611111111111105</v>
      </c>
      <c r="H21" s="116">
        <f>AVERAGEIFS('GT Comparison'!R:R,'GT Comparison'!B:B,"Llama 3",'GT Comparison'!E:E,"zero",'GT Comparison'!D:D,2)</f>
        <v>0.6712475520511233</v>
      </c>
      <c r="I21" s="212">
        <f>AVERAGEIFS('GT Comparison'!S:S,'GT Comparison'!B:B,"Llama 3",'GT Comparison'!E:E,"zero",'GT Comparison'!D:D,2)</f>
        <v>0.77837930027131519</v>
      </c>
      <c r="J21" s="116">
        <f>AVERAGEIFS('GT Comparison'!V:V,'GT Comparison'!B:B,"Llama 3",'GT Comparison'!E:E,"zero",'GT Comparison'!D:D,2)</f>
        <v>0.75895215895215928</v>
      </c>
      <c r="K21" s="116">
        <f>AVERAGEIFS('GT Comparison'!W:W,'GT Comparison'!B:B,"Llama 3",'GT Comparison'!E:E,"zero",'GT Comparison'!D:D,2)</f>
        <v>0.70818493675636518</v>
      </c>
      <c r="L21" s="212">
        <f>AVERAGEIFS('GT Comparison'!X:X,'GT Comparison'!B:B,"Llama 3",'GT Comparison'!E:E,"zero",'GT Comparison'!D:D,2)</f>
        <v>0.74532520325203244</v>
      </c>
      <c r="M21" s="116">
        <f>AVERAGEIFS('GT Comparison'!AA:AA,'GT Comparison'!B:B,"Llama 3",'GT Comparison'!E:E,"zero",'GT Comparison'!D:D,2)</f>
        <v>0.67786220548825593</v>
      </c>
      <c r="N21" s="116">
        <f>AVERAGEIFS('GT Comparison'!AB:AB,'GT Comparison'!B:B,"Llama 3",'GT Comparison'!E:E,"zero",'GT Comparison'!D:D,2)</f>
        <v>0.45607268497306092</v>
      </c>
      <c r="O21" s="212">
        <f>AVERAGEIFS('GT Comparison'!AC:AC,'GT Comparison'!B:B,"Llama 3",'GT Comparison'!E:E,"zero",'GT Comparison'!D:D,2)</f>
        <v>0.52825346073962665</v>
      </c>
    </row>
    <row r="22" spans="1:15" ht="27.9" customHeight="1" x14ac:dyDescent="0.35">
      <c r="A22" s="110"/>
      <c r="B22" s="113"/>
      <c r="C22" s="112">
        <v>3</v>
      </c>
      <c r="D22" s="115">
        <f>AVERAGEIFS('GT Comparison'!L:L,'GT Comparison'!B:B,"Llama 3",'GT Comparison'!E:E,"zero",'GT Comparison'!D:D,3)</f>
        <v>0.96646686646686641</v>
      </c>
      <c r="E22" s="115">
        <f>AVERAGEIFS('GT Comparison'!M:M,'GT Comparison'!B:B,"Llama 3",'GT Comparison'!E:E,"zero",'GT Comparison'!D:D,3)</f>
        <v>0.89915322772465633</v>
      </c>
      <c r="F22" s="212">
        <f>AVERAGEIFS('GT Comparison'!N:N,'GT Comparison'!B:B,"Llama 3",'GT Comparison'!E:E,"zero",'GT Comparison'!D:D,3)</f>
        <v>0.92436115471829761</v>
      </c>
      <c r="G22" s="115">
        <f>AVERAGEIFS('GT Comparison'!Q:Q,'GT Comparison'!B:B,"Llama 3",'GT Comparison'!E:E,"zero",'GT Comparison'!D:D,3)</f>
        <v>0.98194444444444451</v>
      </c>
      <c r="H22" s="115">
        <f>AVERAGEIFS('GT Comparison'!R:R,'GT Comparison'!B:B,"Llama 3",'GT Comparison'!E:E,"zero",'GT Comparison'!D:D,3)</f>
        <v>0.71430849851902456</v>
      </c>
      <c r="I22" s="212">
        <f>AVERAGEIFS('GT Comparison'!S:S,'GT Comparison'!B:B,"Llama 3",'GT Comparison'!E:E,"zero",'GT Comparison'!D:D,3)</f>
        <v>0.81539260267294078</v>
      </c>
      <c r="J22" s="115">
        <f>AVERAGEIFS('GT Comparison'!V:V,'GT Comparison'!B:B,"Llama 3",'GT Comparison'!E:E,"zero",'GT Comparison'!D:D,3)</f>
        <v>0.78760921618064506</v>
      </c>
      <c r="K22" s="115">
        <f>AVERAGEIFS('GT Comparison'!W:W,'GT Comparison'!B:B,"Llama 3",'GT Comparison'!E:E,"zero",'GT Comparison'!D:D,3)</f>
        <v>0.73811690954548115</v>
      </c>
      <c r="L22" s="212">
        <f>AVERAGEIFS('GT Comparison'!X:X,'GT Comparison'!B:B,"Llama 3",'GT Comparison'!E:E,"zero",'GT Comparison'!D:D,3)</f>
        <v>0.7752657911194496</v>
      </c>
      <c r="M22" s="115">
        <f>AVERAGEIFS('GT Comparison'!AA:AA,'GT Comparison'!B:B,"Llama 3",'GT Comparison'!E:E,"zero",'GT Comparison'!D:D,3)</f>
        <v>0.66741568616568592</v>
      </c>
      <c r="N22" s="115">
        <f>AVERAGEIFS('GT Comparison'!AB:AB,'GT Comparison'!B:B,"Llama 3",'GT Comparison'!E:E,"zero",'GT Comparison'!D:D,3)</f>
        <v>0.48855548604138821</v>
      </c>
      <c r="O22" s="212">
        <f>AVERAGEIFS('GT Comparison'!AC:AC,'GT Comparison'!B:B,"Llama 3",'GT Comparison'!E:E,"zero",'GT Comparison'!D:D,3)</f>
        <v>0.55515808415825529</v>
      </c>
    </row>
    <row r="23" spans="1:15" ht="12" customHeight="1" x14ac:dyDescent="0.35">
      <c r="A23" s="166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</row>
    <row r="24" spans="1:15" ht="26.15" customHeight="1" x14ac:dyDescent="0.35">
      <c r="A24" s="157" t="s">
        <v>87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</row>
    <row r="25" spans="1:15" ht="20.149999999999999" customHeight="1" x14ac:dyDescent="0.35">
      <c r="A25" s="164" t="s">
        <v>83</v>
      </c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</row>
    <row r="26" spans="1:15" ht="18" customHeight="1" x14ac:dyDescent="0.35">
      <c r="A26" s="161" t="s">
        <v>84</v>
      </c>
      <c r="B26" s="161" t="s">
        <v>10</v>
      </c>
      <c r="C26" s="161" t="s">
        <v>8</v>
      </c>
      <c r="D26" s="167" t="s">
        <v>57</v>
      </c>
      <c r="E26" s="162"/>
      <c r="F26" s="162"/>
      <c r="G26" s="173" t="s">
        <v>58</v>
      </c>
      <c r="H26" s="162"/>
      <c r="I26" s="162"/>
      <c r="J26" s="177" t="s">
        <v>59</v>
      </c>
      <c r="K26" s="162"/>
      <c r="L26" s="162"/>
      <c r="M26" s="174" t="s">
        <v>60</v>
      </c>
      <c r="N26" s="162"/>
      <c r="O26" s="162"/>
    </row>
    <row r="27" spans="1:15" ht="15.9" customHeight="1" x14ac:dyDescent="0.35">
      <c r="A27" s="162"/>
      <c r="B27" s="162"/>
      <c r="C27" s="162"/>
      <c r="D27" s="117" t="s">
        <v>62</v>
      </c>
      <c r="E27" s="117" t="s">
        <v>63</v>
      </c>
      <c r="F27" s="117" t="s">
        <v>64</v>
      </c>
      <c r="G27" s="118" t="s">
        <v>62</v>
      </c>
      <c r="H27" s="118" t="s">
        <v>63</v>
      </c>
      <c r="I27" s="118" t="s">
        <v>64</v>
      </c>
      <c r="J27" s="119" t="s">
        <v>62</v>
      </c>
      <c r="K27" s="119" t="s">
        <v>63</v>
      </c>
      <c r="L27" s="119" t="s">
        <v>64</v>
      </c>
      <c r="M27" s="120" t="s">
        <v>62</v>
      </c>
      <c r="N27" s="120" t="s">
        <v>63</v>
      </c>
      <c r="O27" s="120" t="s">
        <v>64</v>
      </c>
    </row>
    <row r="28" spans="1:15" ht="27.9" customHeight="1" x14ac:dyDescent="0.35">
      <c r="A28" s="121" t="s">
        <v>15</v>
      </c>
      <c r="B28" s="122" t="s">
        <v>110</v>
      </c>
      <c r="C28" s="123">
        <v>0.2</v>
      </c>
      <c r="D28" s="115">
        <f>AVERAGEIFS('GT Comparison'!L:L,'GT Comparison'!B:B,"Gemini",'GT Comparison'!E:E,"one",'GT Comparison'!C:C,"T=0.2")</f>
        <v>0.96998506719761091</v>
      </c>
      <c r="E28" s="115">
        <f>AVERAGEIFS('GT Comparison'!M:M,'GT Comparison'!B:B,"Gemini",'GT Comparison'!E:E,"one",'GT Comparison'!C:C,"T=0.2")</f>
        <v>0.83772259486545209</v>
      </c>
      <c r="F28" s="137">
        <f>AVERAGEIFS('GT Comparison'!N:N,'GT Comparison'!B:B,"Gemini",'GT Comparison'!E:E,"one",'GT Comparison'!C:C,"T=0.2")</f>
        <v>0.89443489147321908</v>
      </c>
      <c r="G28" s="115">
        <f>AVERAGEIFS('GT Comparison'!Q:Q,'GT Comparison'!B:B,"Gemini",'GT Comparison'!E:E,"one",'GT Comparison'!C:C,"T=0.2")</f>
        <v>0.99206349206349198</v>
      </c>
      <c r="H28" s="115">
        <f>AVERAGEIFS('GT Comparison'!R:R,'GT Comparison'!B:B,"Gemini",'GT Comparison'!E:E,"one",'GT Comparison'!C:C,"T=0.2")</f>
        <v>0.78913372028973527</v>
      </c>
      <c r="I28" s="137">
        <f>AVERAGEIFS('GT Comparison'!S:S,'GT Comparison'!B:B,"Gemini",'GT Comparison'!E:E,"one",'GT Comparison'!C:C,"T=0.2")</f>
        <v>0.86114210037677741</v>
      </c>
      <c r="J28" s="115">
        <f>AVERAGEIFS('GT Comparison'!V:V,'GT Comparison'!B:B,"Gemini",'GT Comparison'!E:E,"one",'GT Comparison'!C:C,"T=0.2")</f>
        <v>0.85518449804164121</v>
      </c>
      <c r="K28" s="115">
        <f>AVERAGEIFS('GT Comparison'!W:W,'GT Comparison'!B:B,"Gemini",'GT Comparison'!E:E,"one",'GT Comparison'!C:C,"T=0.2")</f>
        <v>0.75365322508179666</v>
      </c>
      <c r="L28" s="137">
        <f>AVERAGEIFS('GT Comparison'!X:X,'GT Comparison'!B:B,"Gemini",'GT Comparison'!E:E,"one",'GT Comparison'!C:C,"T=0.2")</f>
        <v>0.79281591424448572</v>
      </c>
      <c r="M28" s="115">
        <f>AVERAGEIFS('GT Comparison'!AA:AA,'GT Comparison'!B:B,"Gemini",'GT Comparison'!E:E,"one",'GT Comparison'!C:C,"T=0.2")</f>
        <v>0.80625284649499596</v>
      </c>
      <c r="N28" s="115">
        <f>AVERAGEIFS('GT Comparison'!AB:AB,'GT Comparison'!B:B,"Gemini",'GT Comparison'!E:E,"one",'GT Comparison'!C:C,"T=0.2")</f>
        <v>0.64840469419886726</v>
      </c>
      <c r="O28" s="137">
        <f>AVERAGEIFS('GT Comparison'!AC:AC,'GT Comparison'!B:B,"Gemini",'GT Comparison'!E:E,"one",'GT Comparison'!C:C,"T=0.2")</f>
        <v>0.70463234513674045</v>
      </c>
    </row>
    <row r="29" spans="1:15" ht="27.9" customHeight="1" x14ac:dyDescent="0.35">
      <c r="A29" s="124"/>
      <c r="B29" s="125"/>
      <c r="C29" s="123">
        <v>0.4</v>
      </c>
      <c r="D29" s="116">
        <f>AVERAGEIFS('GT Comparison'!L:L,'GT Comparison'!B:B,"Gemini",'GT Comparison'!E:E,"one",'GT Comparison'!C:C,"T=0.4")</f>
        <v>0.97996976568405136</v>
      </c>
      <c r="E29" s="116">
        <f>AVERAGEIFS('GT Comparison'!M:M,'GT Comparison'!B:B,"Gemini",'GT Comparison'!E:E,"one",'GT Comparison'!C:C,"T=0.4")</f>
        <v>0.85059860774146501</v>
      </c>
      <c r="F29" s="137">
        <f>AVERAGEIFS('GT Comparison'!N:N,'GT Comparison'!B:B,"Gemini",'GT Comparison'!E:E,"one",'GT Comparison'!C:C,"T=0.4")</f>
        <v>0.90199443413729141</v>
      </c>
      <c r="G29" s="116">
        <f>AVERAGEIFS('GT Comparison'!Q:Q,'GT Comparison'!B:B,"Gemini",'GT Comparison'!E:E,"one",'GT Comparison'!C:C,"T=0.4")</f>
        <v>0.99206349206349198</v>
      </c>
      <c r="H29" s="116">
        <f>AVERAGEIFS('GT Comparison'!R:R,'GT Comparison'!B:B,"Gemini",'GT Comparison'!E:E,"one",'GT Comparison'!C:C,"T=0.4")</f>
        <v>0.79300715296955915</v>
      </c>
      <c r="I29" s="137">
        <f>AVERAGEIFS('GT Comparison'!S:S,'GT Comparison'!B:B,"Gemini",'GT Comparison'!E:E,"one",'GT Comparison'!C:C,"T=0.4")</f>
        <v>0.86354257287431202</v>
      </c>
      <c r="J29" s="116">
        <f>AVERAGEIFS('GT Comparison'!V:V,'GT Comparison'!B:B,"Gemini",'GT Comparison'!E:E,"one",'GT Comparison'!C:C,"T=0.4")</f>
        <v>0.84862914862914907</v>
      </c>
      <c r="K29" s="116">
        <f>AVERAGEIFS('GT Comparison'!W:W,'GT Comparison'!B:B,"Gemini",'GT Comparison'!E:E,"one",'GT Comparison'!C:C,"T=0.4")</f>
        <v>0.75759002901860051</v>
      </c>
      <c r="L29" s="137">
        <f>AVERAGEIFS('GT Comparison'!X:X,'GT Comparison'!B:B,"Gemini",'GT Comparison'!E:E,"one",'GT Comparison'!C:C,"T=0.4")</f>
        <v>0.79349103277674704</v>
      </c>
      <c r="M29" s="116">
        <f>AVERAGEIFS('GT Comparison'!AA:AA,'GT Comparison'!B:B,"Gemini",'GT Comparison'!E:E,"one",'GT Comparison'!C:C,"T=0.4")</f>
        <v>0.82692818201995544</v>
      </c>
      <c r="N29" s="116">
        <f>AVERAGEIFS('GT Comparison'!AB:AB,'GT Comparison'!B:B,"Gemini",'GT Comparison'!E:E,"one",'GT Comparison'!C:C,"T=0.4")</f>
        <v>0.67587108745473423</v>
      </c>
      <c r="O29" s="137">
        <f>AVERAGEIFS('GT Comparison'!AC:AC,'GT Comparison'!B:B,"Gemini",'GT Comparison'!E:E,"one",'GT Comparison'!C:C,"T=0.4")</f>
        <v>0.72919632466251749</v>
      </c>
    </row>
    <row r="30" spans="1:15" ht="27.9" customHeight="1" x14ac:dyDescent="0.35">
      <c r="A30" s="124"/>
      <c r="B30" s="125"/>
      <c r="C30" s="123">
        <v>0.6</v>
      </c>
      <c r="D30" s="115">
        <f>AVERAGEIFS('GT Comparison'!L:L,'GT Comparison'!B:B,"Gemini",'GT Comparison'!E:E,"one",'GT Comparison'!C:C,"T=0.6")</f>
        <v>0.96417233560090698</v>
      </c>
      <c r="E30" s="115">
        <f>AVERAGEIFS('GT Comparison'!M:M,'GT Comparison'!B:B,"Gemini",'GT Comparison'!E:E,"one",'GT Comparison'!C:C,"T=0.6")</f>
        <v>0.85890723033580174</v>
      </c>
      <c r="F30" s="137">
        <f>AVERAGEIFS('GT Comparison'!N:N,'GT Comparison'!B:B,"Gemini",'GT Comparison'!E:E,"one",'GT Comparison'!C:C,"T=0.6")</f>
        <v>0.89851576994434146</v>
      </c>
      <c r="G30" s="115">
        <f>AVERAGEIFS('GT Comparison'!Q:Q,'GT Comparison'!B:B,"Gemini",'GT Comparison'!E:E,"one",'GT Comparison'!C:C,"T=0.6")</f>
        <v>0.99603174603174605</v>
      </c>
      <c r="H30" s="115">
        <f>AVERAGEIFS('GT Comparison'!R:R,'GT Comparison'!B:B,"Gemini",'GT Comparison'!E:E,"one",'GT Comparison'!C:C,"T=0.6")</f>
        <v>0.82667273376859829</v>
      </c>
      <c r="I30" s="137">
        <f>AVERAGEIFS('GT Comparison'!S:S,'GT Comparison'!B:B,"Gemini",'GT Comparison'!E:E,"one",'GT Comparison'!C:C,"T=0.6")</f>
        <v>0.88054272131781186</v>
      </c>
      <c r="J30" s="115">
        <f>AVERAGEIFS('GT Comparison'!V:V,'GT Comparison'!B:B,"Gemini",'GT Comparison'!E:E,"one",'GT Comparison'!C:C,"T=0.6")</f>
        <v>0.84573627430770326</v>
      </c>
      <c r="K30" s="115">
        <f>AVERAGEIFS('GT Comparison'!W:W,'GT Comparison'!B:B,"Gemini",'GT Comparison'!E:E,"one",'GT Comparison'!C:C,"T=0.6")</f>
        <v>0.77236414379271523</v>
      </c>
      <c r="L30" s="137">
        <f>AVERAGEIFS('GT Comparison'!X:X,'GT Comparison'!B:B,"Gemini",'GT Comparison'!E:E,"one",'GT Comparison'!C:C,"T=0.6")</f>
        <v>0.79936611008039582</v>
      </c>
      <c r="M30" s="115">
        <f>AVERAGEIFS('GT Comparison'!AA:AA,'GT Comparison'!B:B,"Gemini",'GT Comparison'!E:E,"one",'GT Comparison'!C:C,"T=0.6")</f>
        <v>0.84317492762041601</v>
      </c>
      <c r="N30" s="115">
        <f>AVERAGEIFS('GT Comparison'!AB:AB,'GT Comparison'!B:B,"Gemini",'GT Comparison'!E:E,"one",'GT Comparison'!C:C,"T=0.6")</f>
        <v>0.70384892797956711</v>
      </c>
      <c r="O30" s="137">
        <f>AVERAGEIFS('GT Comparison'!AC:AC,'GT Comparison'!B:B,"Gemini",'GT Comparison'!E:E,"one",'GT Comparison'!C:C,"T=0.6")</f>
        <v>0.74852953238106401</v>
      </c>
    </row>
    <row r="31" spans="1:15" ht="27.9" customHeight="1" x14ac:dyDescent="0.35">
      <c r="A31" s="124"/>
      <c r="B31" s="126" t="s">
        <v>85</v>
      </c>
      <c r="C31" s="123">
        <v>0.2</v>
      </c>
      <c r="D31" s="115">
        <f>AVERAGEIFS('GT Comparison'!L:L,'GT Comparison'!B:B,"Gemini",'GT Comparison'!E:E,"zero",'GT Comparison'!C:C,"T=0.2")</f>
        <v>0.98200542005420055</v>
      </c>
      <c r="E31" s="115">
        <f>AVERAGEIFS('GT Comparison'!M:M,'GT Comparison'!B:B,"Gemini",'GT Comparison'!E:E,"zero",'GT Comparison'!C:C,"T=0.2")</f>
        <v>0.86711066711066698</v>
      </c>
      <c r="F31" s="137">
        <f>AVERAGEIFS('GT Comparison'!N:N,'GT Comparison'!B:B,"Gemini",'GT Comparison'!E:E,"zero",'GT Comparison'!C:C,"T=0.2")</f>
        <v>0.91214530509173364</v>
      </c>
      <c r="G31" s="115">
        <f>AVERAGEIFS('GT Comparison'!Q:Q,'GT Comparison'!B:B,"Gemini",'GT Comparison'!E:E,"zero",'GT Comparison'!C:C,"T=0.2")</f>
        <v>0.98809523809523814</v>
      </c>
      <c r="H31" s="115">
        <f>AVERAGEIFS('GT Comparison'!R:R,'GT Comparison'!B:B,"Gemini",'GT Comparison'!E:E,"zero",'GT Comparison'!C:C,"T=0.2")</f>
        <v>0.75651686972175702</v>
      </c>
      <c r="I31" s="137">
        <f>AVERAGEIFS('GT Comparison'!S:S,'GT Comparison'!B:B,"Gemini",'GT Comparison'!E:E,"zero",'GT Comparison'!C:C,"T=0.2")</f>
        <v>0.84256185624194135</v>
      </c>
      <c r="J31" s="115">
        <f>AVERAGEIFS('GT Comparison'!V:V,'GT Comparison'!B:B,"Gemini",'GT Comparison'!E:E,"zero",'GT Comparison'!C:C,"T=0.2")</f>
        <v>0.88196248196248206</v>
      </c>
      <c r="K31" s="115">
        <f>AVERAGEIFS('GT Comparison'!W:W,'GT Comparison'!B:B,"Gemini",'GT Comparison'!E:E,"zero",'GT Comparison'!C:C,"T=0.2")</f>
        <v>0.77678194821052016</v>
      </c>
      <c r="L31" s="137">
        <f>AVERAGEIFS('GT Comparison'!X:X,'GT Comparison'!B:B,"Gemini",'GT Comparison'!E:E,"zero",'GT Comparison'!C:C,"T=0.2")</f>
        <v>0.81713564213564194</v>
      </c>
      <c r="M31" s="115">
        <f>AVERAGEIFS('GT Comparison'!AA:AA,'GT Comparison'!B:B,"Gemini",'GT Comparison'!E:E,"zero",'GT Comparison'!C:C,"T=0.2")</f>
        <v>0.70719079242133198</v>
      </c>
      <c r="N31" s="115">
        <f>AVERAGEIFS('GT Comparison'!AB:AB,'GT Comparison'!B:B,"Gemini",'GT Comparison'!E:E,"zero",'GT Comparison'!C:C,"T=0.2")</f>
        <v>0.53233428278071138</v>
      </c>
      <c r="O31" s="137">
        <f>AVERAGEIFS('GT Comparison'!AC:AC,'GT Comparison'!B:B,"Gemini",'GT Comparison'!E:E,"zero",'GT Comparison'!C:C,"T=0.2")</f>
        <v>0.59826377512940931</v>
      </c>
    </row>
    <row r="32" spans="1:15" ht="27.9" customHeight="1" x14ac:dyDescent="0.35">
      <c r="A32" s="124"/>
      <c r="B32" s="127"/>
      <c r="C32" s="123">
        <v>0.4</v>
      </c>
      <c r="D32" s="116">
        <f>AVERAGEIFS('GT Comparison'!L:L,'GT Comparison'!B:B,"Gemini",'GT Comparison'!E:E,"zero",'GT Comparison'!C:C,"T=0.4")</f>
        <v>0.96507936507936498</v>
      </c>
      <c r="E32" s="116">
        <f>AVERAGEIFS('GT Comparison'!M:M,'GT Comparison'!B:B,"Gemini",'GT Comparison'!E:E,"zero",'GT Comparison'!C:C,"T=0.4")</f>
        <v>0.83234120376977516</v>
      </c>
      <c r="F32" s="137">
        <f>AVERAGEIFS('GT Comparison'!N:N,'GT Comparison'!B:B,"Gemini",'GT Comparison'!E:E,"zero",'GT Comparison'!C:C,"T=0.4")</f>
        <v>0.8840007215007214</v>
      </c>
      <c r="G32" s="116">
        <f>AVERAGEIFS('GT Comparison'!Q:Q,'GT Comparison'!B:B,"Gemini",'GT Comparison'!E:E,"zero",'GT Comparison'!C:C,"T=0.4")</f>
        <v>0.98809523809523814</v>
      </c>
      <c r="H32" s="116">
        <f>AVERAGEIFS('GT Comparison'!R:R,'GT Comparison'!B:B,"Gemini",'GT Comparison'!E:E,"zero",'GT Comparison'!C:C,"T=0.4")</f>
        <v>0.77169157596789173</v>
      </c>
      <c r="I32" s="137">
        <f>AVERAGEIFS('GT Comparison'!S:S,'GT Comparison'!B:B,"Gemini",'GT Comparison'!E:E,"zero",'GT Comparison'!C:C,"T=0.4")</f>
        <v>0.84969645480737033</v>
      </c>
      <c r="J32" s="116">
        <f>AVERAGEIFS('GT Comparison'!V:V,'GT Comparison'!B:B,"Gemini",'GT Comparison'!E:E,"zero",'GT Comparison'!C:C,"T=0.4")</f>
        <v>0.90350443207586073</v>
      </c>
      <c r="K32" s="116">
        <f>AVERAGEIFS('GT Comparison'!W:W,'GT Comparison'!B:B,"Gemini",'GT Comparison'!E:E,"zero",'GT Comparison'!C:C,"T=0.4")</f>
        <v>0.77882276453705068</v>
      </c>
      <c r="L32" s="137">
        <f>AVERAGEIFS('GT Comparison'!X:X,'GT Comparison'!B:B,"Gemini",'GT Comparison'!E:E,"zero",'GT Comparison'!C:C,"T=0.4")</f>
        <v>0.82733972376829523</v>
      </c>
      <c r="M32" s="116">
        <f>AVERAGEIFS('GT Comparison'!AA:AA,'GT Comparison'!B:B,"Gemini",'GT Comparison'!E:E,"zero",'GT Comparison'!C:C,"T=0.4")</f>
        <v>0.7515378318341609</v>
      </c>
      <c r="N32" s="116">
        <f>AVERAGEIFS('GT Comparison'!AB:AB,'GT Comparison'!B:B,"Gemini",'GT Comparison'!E:E,"zero",'GT Comparison'!C:C,"T=0.4")</f>
        <v>0.59182588245088252</v>
      </c>
      <c r="O32" s="137">
        <f>AVERAGEIFS('GT Comparison'!AC:AC,'GT Comparison'!B:B,"Gemini",'GT Comparison'!E:E,"zero",'GT Comparison'!C:C,"T=0.4")</f>
        <v>0.64960446636325131</v>
      </c>
    </row>
    <row r="33" spans="1:15" ht="27.9" customHeight="1" x14ac:dyDescent="0.35">
      <c r="A33" s="124"/>
      <c r="B33" s="127"/>
      <c r="C33" s="123">
        <v>0.6</v>
      </c>
      <c r="D33" s="115">
        <f>AVERAGEIFS('GT Comparison'!L:L,'GT Comparison'!B:B,"Gemini",'GT Comparison'!E:E,"zero",'GT Comparison'!C:C,"T=0.6")</f>
        <v>0.96507936507936498</v>
      </c>
      <c r="E33" s="115">
        <f>AVERAGEIFS('GT Comparison'!M:M,'GT Comparison'!B:B,"Gemini",'GT Comparison'!E:E,"zero",'GT Comparison'!C:C,"T=0.6")</f>
        <v>0.82867820010677151</v>
      </c>
      <c r="F33" s="137">
        <f>AVERAGEIFS('GT Comparison'!N:N,'GT Comparison'!B:B,"Gemini",'GT Comparison'!E:E,"zero",'GT Comparison'!C:C,"T=0.6")</f>
        <v>0.88165584415584397</v>
      </c>
      <c r="G33" s="115">
        <f>AVERAGEIFS('GT Comparison'!Q:Q,'GT Comparison'!B:B,"Gemini",'GT Comparison'!E:E,"zero",'GT Comparison'!C:C,"T=0.6")</f>
        <v>0.98809523809523814</v>
      </c>
      <c r="H33" s="115">
        <f>AVERAGEIFS('GT Comparison'!R:R,'GT Comparison'!B:B,"Gemini",'GT Comparison'!E:E,"zero",'GT Comparison'!C:C,"T=0.6")</f>
        <v>0.76309606572764488</v>
      </c>
      <c r="I33" s="137">
        <f>AVERAGEIFS('GT Comparison'!S:S,'GT Comparison'!B:B,"Gemini",'GT Comparison'!E:E,"zero",'GT Comparison'!C:C,"T=0.6")</f>
        <v>0.84678034484215037</v>
      </c>
      <c r="J33" s="115">
        <f>AVERAGEIFS('GT Comparison'!V:V,'GT Comparison'!B:B,"Gemini",'GT Comparison'!E:E,"zero",'GT Comparison'!C:C,"T=0.6")</f>
        <v>0.91436130007558603</v>
      </c>
      <c r="K33" s="115">
        <f>AVERAGEIFS('GT Comparison'!W:W,'GT Comparison'!B:B,"Gemini",'GT Comparison'!E:E,"zero",'GT Comparison'!C:C,"T=0.6")</f>
        <v>0.7835672264243696</v>
      </c>
      <c r="L33" s="137">
        <f>AVERAGEIFS('GT Comparison'!X:X,'GT Comparison'!B:B,"Gemini",'GT Comparison'!E:E,"zero",'GT Comparison'!C:C,"T=0.6")</f>
        <v>0.83434858792001654</v>
      </c>
      <c r="M33" s="115">
        <f>AVERAGEIFS('GT Comparison'!AA:AA,'GT Comparison'!B:B,"Gemini",'GT Comparison'!E:E,"zero",'GT Comparison'!C:C,"T=0.6")</f>
        <v>0.76483148262781153</v>
      </c>
      <c r="N33" s="115">
        <f>AVERAGEIFS('GT Comparison'!AB:AB,'GT Comparison'!B:B,"Gemini",'GT Comparison'!E:E,"zero",'GT Comparison'!C:C,"T=0.6")</f>
        <v>0.59848882407623027</v>
      </c>
      <c r="O33" s="137">
        <f>AVERAGEIFS('GT Comparison'!AC:AC,'GT Comparison'!B:B,"Gemini",'GT Comparison'!E:E,"zero",'GT Comparison'!C:C,"T=0.6")</f>
        <v>0.66078781954511356</v>
      </c>
    </row>
    <row r="34" spans="1:15" ht="27.9" customHeight="1" x14ac:dyDescent="0.35">
      <c r="A34" s="121" t="s">
        <v>22</v>
      </c>
      <c r="B34" s="122" t="s">
        <v>110</v>
      </c>
      <c r="C34" s="123">
        <v>0.2</v>
      </c>
      <c r="D34" s="115">
        <f>AVERAGEIFS('GT Comparison'!L:L,'GT Comparison'!B:B,"Mistral",'GT Comparison'!E:E,"one",'GT Comparison'!C:C,"T=0.2")</f>
        <v>0.97395197395197386</v>
      </c>
      <c r="E34" s="115">
        <f>AVERAGEIFS('GT Comparison'!M:M,'GT Comparison'!B:B,"Mistral",'GT Comparison'!E:E,"one",'GT Comparison'!C:C,"T=0.2")</f>
        <v>0.84847850562136296</v>
      </c>
      <c r="F34" s="137">
        <f>AVERAGEIFS('GT Comparison'!N:N,'GT Comparison'!B:B,"Mistral",'GT Comparison'!E:E,"one",'GT Comparison'!C:C,"T=0.2")</f>
        <v>0.89989177489177508</v>
      </c>
      <c r="G34" s="115">
        <f>AVERAGEIFS('GT Comparison'!Q:Q,'GT Comparison'!B:B,"Mistral",'GT Comparison'!E:E,"one",'GT Comparison'!C:C,"T=0.2")</f>
        <v>0.98469387755102034</v>
      </c>
      <c r="H34" s="115">
        <f>AVERAGEIFS('GT Comparison'!R:R,'GT Comparison'!B:B,"Mistral",'GT Comparison'!E:E,"one",'GT Comparison'!C:C,"T=0.2")</f>
        <v>0.72583025961785363</v>
      </c>
      <c r="I34" s="137">
        <f>AVERAGEIFS('GT Comparison'!S:S,'GT Comparison'!B:B,"Mistral",'GT Comparison'!E:E,"one",'GT Comparison'!C:C,"T=0.2")</f>
        <v>0.81469487770071658</v>
      </c>
      <c r="J34" s="115">
        <f>AVERAGEIFS('GT Comparison'!V:V,'GT Comparison'!B:B,"Mistral",'GT Comparison'!E:E,"one",'GT Comparison'!C:C,"T=0.2")</f>
        <v>0.8400657543514688</v>
      </c>
      <c r="K34" s="115">
        <f>AVERAGEIFS('GT Comparison'!W:W,'GT Comparison'!B:B,"Mistral",'GT Comparison'!E:E,"one",'GT Comparison'!C:C,"T=0.2")</f>
        <v>0.75305646734218179</v>
      </c>
      <c r="L34" s="137">
        <f>AVERAGEIFS('GT Comparison'!X:X,'GT Comparison'!B:B,"Mistral",'GT Comparison'!E:E,"one",'GT Comparison'!C:C,"T=0.2")</f>
        <v>0.7889764996907852</v>
      </c>
      <c r="M34" s="115">
        <f>AVERAGEIFS('GT Comparison'!AA:AA,'GT Comparison'!B:B,"Mistral",'GT Comparison'!E:E,"one",'GT Comparison'!C:C,"T=0.2")</f>
        <v>0.74221994936280655</v>
      </c>
      <c r="N34" s="115">
        <f>AVERAGEIFS('GT Comparison'!AB:AB,'GT Comparison'!B:B,"Mistral",'GT Comparison'!E:E,"one",'GT Comparison'!C:C,"T=0.2")</f>
        <v>0.54395421916568554</v>
      </c>
      <c r="O34" s="137">
        <f>AVERAGEIFS('GT Comparison'!AC:AC,'GT Comparison'!B:B,"Mistral",'GT Comparison'!E:E,"one",'GT Comparison'!C:C,"T=0.2")</f>
        <v>0.61194440648928805</v>
      </c>
    </row>
    <row r="35" spans="1:15" ht="27.9" customHeight="1" x14ac:dyDescent="0.35">
      <c r="A35" s="124"/>
      <c r="B35" s="125"/>
      <c r="C35" s="123">
        <v>0.4</v>
      </c>
      <c r="D35" s="116">
        <f>AVERAGEIFS('GT Comparison'!L:L,'GT Comparison'!B:B,"Mistral",'GT Comparison'!E:E,"one",'GT Comparison'!C:C,"T=0.4")</f>
        <v>0.97845210345210332</v>
      </c>
      <c r="E35" s="116">
        <f>AVERAGEIFS('GT Comparison'!M:M,'GT Comparison'!B:B,"Mistral",'GT Comparison'!E:E,"one",'GT Comparison'!C:C,"T=0.4")</f>
        <v>0.88653304367590113</v>
      </c>
      <c r="F35" s="137">
        <f>AVERAGEIFS('GT Comparison'!N:N,'GT Comparison'!B:B,"Mistral",'GT Comparison'!E:E,"one",'GT Comparison'!C:C,"T=0.4")</f>
        <v>0.92076072853383784</v>
      </c>
      <c r="G35" s="116">
        <f>AVERAGEIFS('GT Comparison'!Q:Q,'GT Comparison'!B:B,"Mistral",'GT Comparison'!E:E,"one",'GT Comparison'!C:C,"T=0.4")</f>
        <v>0.98326530612244889</v>
      </c>
      <c r="H35" s="116">
        <f>AVERAGEIFS('GT Comparison'!R:R,'GT Comparison'!B:B,"Mistral",'GT Comparison'!E:E,"one",'GT Comparison'!C:C,"T=0.4")</f>
        <v>0.72973415038734601</v>
      </c>
      <c r="I35" s="137">
        <f>AVERAGEIFS('GT Comparison'!S:S,'GT Comparison'!B:B,"Mistral",'GT Comparison'!E:E,"one",'GT Comparison'!C:C,"T=0.4")</f>
        <v>0.82746969904727818</v>
      </c>
      <c r="J35" s="116">
        <f>AVERAGEIFS('GT Comparison'!V:V,'GT Comparison'!B:B,"Mistral",'GT Comparison'!E:E,"one",'GT Comparison'!C:C,"T=0.4")</f>
        <v>0.82332330368044671</v>
      </c>
      <c r="K35" s="116">
        <f>AVERAGEIFS('GT Comparison'!W:W,'GT Comparison'!B:B,"Mistral",'GT Comparison'!E:E,"one",'GT Comparison'!C:C,"T=0.4")</f>
        <v>0.76103367531938981</v>
      </c>
      <c r="L35" s="137">
        <f>AVERAGEIFS('GT Comparison'!X:X,'GT Comparison'!B:B,"Mistral",'GT Comparison'!E:E,"one",'GT Comparison'!C:C,"T=0.4")</f>
        <v>0.78470873197763946</v>
      </c>
      <c r="M35" s="116">
        <f>AVERAGEIFS('GT Comparison'!AA:AA,'GT Comparison'!B:B,"Mistral",'GT Comparison'!E:E,"one",'GT Comparison'!C:C,"T=0.4")</f>
        <v>0.75423750967229231</v>
      </c>
      <c r="N35" s="116">
        <f>AVERAGEIFS('GT Comparison'!AB:AB,'GT Comparison'!B:B,"Mistral",'GT Comparison'!E:E,"one",'GT Comparison'!C:C,"T=0.4")</f>
        <v>0.56133973065364062</v>
      </c>
      <c r="O35" s="137">
        <f>AVERAGEIFS('GT Comparison'!AC:AC,'GT Comparison'!B:B,"Mistral",'GT Comparison'!E:E,"one",'GT Comparison'!C:C,"T=0.4")</f>
        <v>0.63530800704976698</v>
      </c>
    </row>
    <row r="36" spans="1:15" ht="27.9" customHeight="1" x14ac:dyDescent="0.35">
      <c r="A36" s="124"/>
      <c r="B36" s="125"/>
      <c r="C36" s="123">
        <v>0.6</v>
      </c>
      <c r="D36" s="115">
        <f>AVERAGEIFS('GT Comparison'!L:L,'GT Comparison'!B:B,"Mistral",'GT Comparison'!E:E,"one",'GT Comparison'!C:C,"T=0.6")</f>
        <v>0.98061198061198074</v>
      </c>
      <c r="E36" s="115">
        <f>AVERAGEIFS('GT Comparison'!M:M,'GT Comparison'!B:B,"Mistral",'GT Comparison'!E:E,"one",'GT Comparison'!C:C,"T=0.6")</f>
        <v>0.86693888122459573</v>
      </c>
      <c r="F36" s="137">
        <f>AVERAGEIFS('GT Comparison'!N:N,'GT Comparison'!B:B,"Mistral",'GT Comparison'!E:E,"one",'GT Comparison'!C:C,"T=0.6")</f>
        <v>0.90853947639661925</v>
      </c>
      <c r="G36" s="115">
        <f>AVERAGEIFS('GT Comparison'!Q:Q,'GT Comparison'!B:B,"Mistral",'GT Comparison'!E:E,"one",'GT Comparison'!C:C,"T=0.6")</f>
        <v>0.9965986394557822</v>
      </c>
      <c r="H36" s="115">
        <f>AVERAGEIFS('GT Comparison'!R:R,'GT Comparison'!B:B,"Mistral",'GT Comparison'!E:E,"one",'GT Comparison'!C:C,"T=0.6")</f>
        <v>0.75268547937720875</v>
      </c>
      <c r="I36" s="137">
        <f>AVERAGEIFS('GT Comparison'!S:S,'GT Comparison'!B:B,"Mistral",'GT Comparison'!E:E,"one",'GT Comparison'!C:C,"T=0.6")</f>
        <v>0.83692129518551206</v>
      </c>
      <c r="J36" s="115">
        <f>AVERAGEIFS('GT Comparison'!V:V,'GT Comparison'!B:B,"Mistral",'GT Comparison'!E:E,"one",'GT Comparison'!C:C,"T=0.6")</f>
        <v>0.79530350601779198</v>
      </c>
      <c r="K36" s="115">
        <f>AVERAGEIFS('GT Comparison'!W:W,'GT Comparison'!B:B,"Mistral",'GT Comparison'!E:E,"one",'GT Comparison'!C:C,"T=0.6")</f>
        <v>0.72409548123833845</v>
      </c>
      <c r="L36" s="137">
        <f>AVERAGEIFS('GT Comparison'!X:X,'GT Comparison'!B:B,"Mistral",'GT Comparison'!E:E,"one",'GT Comparison'!C:C,"T=0.6")</f>
        <v>0.75042001649144496</v>
      </c>
      <c r="M36" s="115">
        <f>AVERAGEIFS('GT Comparison'!AA:AA,'GT Comparison'!B:B,"Mistral",'GT Comparison'!E:E,"one",'GT Comparison'!C:C,"T=0.6")</f>
        <v>0.70526021597450195</v>
      </c>
      <c r="N36" s="115">
        <f>AVERAGEIFS('GT Comparison'!AB:AB,'GT Comparison'!B:B,"Mistral",'GT Comparison'!E:E,"one",'GT Comparison'!C:C,"T=0.6")</f>
        <v>0.52609373100444545</v>
      </c>
      <c r="O36" s="137">
        <f>AVERAGEIFS('GT Comparison'!AC:AC,'GT Comparison'!B:B,"Mistral",'GT Comparison'!E:E,"one",'GT Comparison'!C:C,"T=0.6")</f>
        <v>0.58982839365587036</v>
      </c>
    </row>
    <row r="37" spans="1:15" ht="27.9" customHeight="1" x14ac:dyDescent="0.35">
      <c r="A37" s="124"/>
      <c r="B37" s="126" t="s">
        <v>85</v>
      </c>
      <c r="C37" s="123">
        <v>0.2</v>
      </c>
      <c r="D37" s="115">
        <f>AVERAGEIFS('GT Comparison'!L:L,'GT Comparison'!B:B,"Mistral",'GT Comparison'!E:E,"zero",'GT Comparison'!C:C,"T=0.2")</f>
        <v>0.98172198172198166</v>
      </c>
      <c r="E37" s="115">
        <f>AVERAGEIFS('GT Comparison'!M:M,'GT Comparison'!B:B,"Mistral",'GT Comparison'!E:E,"zero",'GT Comparison'!C:C,"T=0.2")</f>
        <v>0.87980326551755128</v>
      </c>
      <c r="F37" s="137">
        <f>AVERAGEIFS('GT Comparison'!N:N,'GT Comparison'!B:B,"Mistral",'GT Comparison'!E:E,"zero",'GT Comparison'!C:C,"T=0.2")</f>
        <v>0.91779899994185721</v>
      </c>
      <c r="G37" s="115">
        <f>AVERAGEIFS('GT Comparison'!Q:Q,'GT Comparison'!B:B,"Mistral",'GT Comparison'!E:E,"zero",'GT Comparison'!C:C,"T=0.2")</f>
        <v>1</v>
      </c>
      <c r="H37" s="115">
        <f>AVERAGEIFS('GT Comparison'!R:R,'GT Comparison'!B:B,"Mistral",'GT Comparison'!E:E,"zero",'GT Comparison'!C:C,"T=0.2")</f>
        <v>0.69535179297867256</v>
      </c>
      <c r="I37" s="137">
        <f>AVERAGEIFS('GT Comparison'!S:S,'GT Comparison'!B:B,"Mistral",'GT Comparison'!E:E,"zero",'GT Comparison'!C:C,"T=0.2")</f>
        <v>0.80068563508648249</v>
      </c>
      <c r="J37" s="115">
        <f>AVERAGEIFS('GT Comparison'!V:V,'GT Comparison'!B:B,"Mistral",'GT Comparison'!E:E,"zero",'GT Comparison'!C:C,"T=0.2")</f>
        <v>0.89365680615680632</v>
      </c>
      <c r="K37" s="115">
        <f>AVERAGEIFS('GT Comparison'!W:W,'GT Comparison'!B:B,"Mistral",'GT Comparison'!E:E,"zero",'GT Comparison'!C:C,"T=0.2")</f>
        <v>0.81551094408237268</v>
      </c>
      <c r="L37" s="137">
        <f>AVERAGEIFS('GT Comparison'!X:X,'GT Comparison'!B:B,"Mistral",'GT Comparison'!E:E,"zero",'GT Comparison'!C:C,"T=0.2")</f>
        <v>0.84411448340019768</v>
      </c>
      <c r="M37" s="115">
        <f>AVERAGEIFS('GT Comparison'!AA:AA,'GT Comparison'!B:B,"Mistral",'GT Comparison'!E:E,"zero",'GT Comparison'!C:C,"T=0.2")</f>
        <v>0.78594189853588381</v>
      </c>
      <c r="N37" s="115">
        <f>AVERAGEIFS('GT Comparison'!AB:AB,'GT Comparison'!B:B,"Mistral",'GT Comparison'!E:E,"zero",'GT Comparison'!C:C,"T=0.2")</f>
        <v>0.53715392794340167</v>
      </c>
      <c r="O37" s="137">
        <f>AVERAGEIFS('GT Comparison'!AC:AC,'GT Comparison'!B:B,"Mistral",'GT Comparison'!E:E,"zero",'GT Comparison'!C:C,"T=0.2")</f>
        <v>0.62196832929465717</v>
      </c>
    </row>
    <row r="38" spans="1:15" ht="27.9" customHeight="1" x14ac:dyDescent="0.35">
      <c r="A38" s="124"/>
      <c r="B38" s="127"/>
      <c r="C38" s="123">
        <v>0.4</v>
      </c>
      <c r="D38" s="116">
        <f>AVERAGEIFS('GT Comparison'!L:L,'GT Comparison'!B:B,"Mistral",'GT Comparison'!E:E,"zero",'GT Comparison'!C:C,"T=0.4")</f>
        <v>0.97889610389610382</v>
      </c>
      <c r="E38" s="116">
        <f>AVERAGEIFS('GT Comparison'!M:M,'GT Comparison'!B:B,"Mistral",'GT Comparison'!E:E,"zero",'GT Comparison'!C:C,"T=0.4")</f>
        <v>0.88224262509976814</v>
      </c>
      <c r="F38" s="137">
        <f>AVERAGEIFS('GT Comparison'!N:N,'GT Comparison'!B:B,"Mistral",'GT Comparison'!E:E,"zero",'GT Comparison'!C:C,"T=0.4")</f>
        <v>0.91707926760447778</v>
      </c>
      <c r="G38" s="116">
        <f>AVERAGEIFS('GT Comparison'!Q:Q,'GT Comparison'!B:B,"Mistral",'GT Comparison'!E:E,"zero",'GT Comparison'!C:C,"T=0.4")</f>
        <v>1</v>
      </c>
      <c r="H38" s="116">
        <f>AVERAGEIFS('GT Comparison'!R:R,'GT Comparison'!B:B,"Mistral",'GT Comparison'!E:E,"zero",'GT Comparison'!C:C,"T=0.4")</f>
        <v>0.71766451923876717</v>
      </c>
      <c r="I38" s="137">
        <f>AVERAGEIFS('GT Comparison'!S:S,'GT Comparison'!B:B,"Mistral",'GT Comparison'!E:E,"zero",'GT Comparison'!C:C,"T=0.4")</f>
        <v>0.81745013304890723</v>
      </c>
      <c r="J38" s="116">
        <f>AVERAGEIFS('GT Comparison'!V:V,'GT Comparison'!B:B,"Mistral",'GT Comparison'!E:E,"zero",'GT Comparison'!C:C,"T=0.4")</f>
        <v>0.87855682677111258</v>
      </c>
      <c r="K38" s="116">
        <f>AVERAGEIFS('GT Comparison'!W:W,'GT Comparison'!B:B,"Mistral",'GT Comparison'!E:E,"zero",'GT Comparison'!C:C,"T=0.4")</f>
        <v>0.80459223316366169</v>
      </c>
      <c r="L38" s="137">
        <f>AVERAGEIFS('GT Comparison'!X:X,'GT Comparison'!B:B,"Mistral",'GT Comparison'!E:E,"zero",'GT Comparison'!C:C,"T=0.4")</f>
        <v>0.83065264567365404</v>
      </c>
      <c r="M38" s="116">
        <f>AVERAGEIFS('GT Comparison'!AA:AA,'GT Comparison'!B:B,"Mistral",'GT Comparison'!E:E,"zero",'GT Comparison'!C:C,"T=0.4")</f>
        <v>0.78431915828532384</v>
      </c>
      <c r="N38" s="116">
        <f>AVERAGEIFS('GT Comparison'!AB:AB,'GT Comparison'!B:B,"Mistral",'GT Comparison'!E:E,"zero",'GT Comparison'!C:C,"T=0.4")</f>
        <v>0.55261072469719086</v>
      </c>
      <c r="O38" s="137">
        <f>AVERAGEIFS('GT Comparison'!AC:AC,'GT Comparison'!B:B,"Mistral",'GT Comparison'!E:E,"zero",'GT Comparison'!C:C,"T=0.4")</f>
        <v>0.63314519789569201</v>
      </c>
    </row>
    <row r="39" spans="1:15" ht="27.9" customHeight="1" x14ac:dyDescent="0.35">
      <c r="A39" s="124"/>
      <c r="B39" s="127"/>
      <c r="C39" s="123">
        <v>0.6</v>
      </c>
      <c r="D39" s="115">
        <f>AVERAGEIFS('GT Comparison'!L:L,'GT Comparison'!B:B,"Mistral",'GT Comparison'!E:E,"zero",'GT Comparison'!C:C,"T=0.6")</f>
        <v>0.97791097791097792</v>
      </c>
      <c r="E39" s="115">
        <f>AVERAGEIFS('GT Comparison'!M:M,'GT Comparison'!B:B,"Mistral",'GT Comparison'!E:E,"zero",'GT Comparison'!C:C,"T=0.6")</f>
        <v>0.89667951096522547</v>
      </c>
      <c r="F39" s="137">
        <f>AVERAGEIFS('GT Comparison'!N:N,'GT Comparison'!B:B,"Mistral",'GT Comparison'!E:E,"zero",'GT Comparison'!C:C,"T=0.6")</f>
        <v>0.92916884702599001</v>
      </c>
      <c r="G39" s="115">
        <f>AVERAGEIFS('GT Comparison'!Q:Q,'GT Comparison'!B:B,"Mistral",'GT Comparison'!E:E,"zero",'GT Comparison'!C:C,"T=0.6")</f>
        <v>0.99829931972789121</v>
      </c>
      <c r="H39" s="115">
        <f>AVERAGEIFS('GT Comparison'!R:R,'GT Comparison'!B:B,"Mistral",'GT Comparison'!E:E,"zero",'GT Comparison'!C:C,"T=0.6")</f>
        <v>0.7587063712533636</v>
      </c>
      <c r="I39" s="137">
        <f>AVERAGEIFS('GT Comparison'!S:S,'GT Comparison'!B:B,"Mistral",'GT Comparison'!E:E,"zero",'GT Comparison'!C:C,"T=0.6")</f>
        <v>0.8479926694058717</v>
      </c>
      <c r="J39" s="115">
        <f>AVERAGEIFS('GT Comparison'!V:V,'GT Comparison'!B:B,"Mistral",'GT Comparison'!E:E,"zero",'GT Comparison'!C:C,"T=0.6")</f>
        <v>0.89532180782180792</v>
      </c>
      <c r="K39" s="115">
        <f>AVERAGEIFS('GT Comparison'!W:W,'GT Comparison'!B:B,"Mistral",'GT Comparison'!E:E,"zero",'GT Comparison'!C:C,"T=0.6")</f>
        <v>0.83565799280085007</v>
      </c>
      <c r="L39" s="137">
        <f>AVERAGEIFS('GT Comparison'!X:X,'GT Comparison'!B:B,"Mistral",'GT Comparison'!E:E,"zero",'GT Comparison'!C:C,"T=0.6")</f>
        <v>0.85969387755102056</v>
      </c>
      <c r="M39" s="115">
        <f>AVERAGEIFS('GT Comparison'!AA:AA,'GT Comparison'!B:B,"Mistral",'GT Comparison'!E:E,"zero",'GT Comparison'!C:C,"T=0.6")</f>
        <v>0.8001578621879375</v>
      </c>
      <c r="N39" s="115">
        <f>AVERAGEIFS('GT Comparison'!AB:AB,'GT Comparison'!B:B,"Mistral",'GT Comparison'!E:E,"zero",'GT Comparison'!C:C,"T=0.6")</f>
        <v>0.6094346590822155</v>
      </c>
      <c r="O39" s="137">
        <f>AVERAGEIFS('GT Comparison'!AC:AC,'GT Comparison'!B:B,"Mistral",'GT Comparison'!E:E,"zero",'GT Comparison'!C:C,"T=0.6")</f>
        <v>0.68015419431293889</v>
      </c>
    </row>
    <row r="40" spans="1:15" ht="27.9" customHeight="1" x14ac:dyDescent="0.35">
      <c r="A40" s="121" t="s">
        <v>86</v>
      </c>
      <c r="B40" s="122" t="s">
        <v>110</v>
      </c>
      <c r="C40" s="123">
        <v>0.2</v>
      </c>
      <c r="D40" s="115">
        <f>AVERAGEIFS('GT Comparison'!L:L,'GT Comparison'!B:B,"Llama 3",'GT Comparison'!E:E,"one",'GT Comparison'!C:C,"T=0.2")</f>
        <v>0.94997594997595025</v>
      </c>
      <c r="E40" s="115">
        <f>AVERAGEIFS('GT Comparison'!M:M,'GT Comparison'!B:B,"Llama 3",'GT Comparison'!E:E,"one",'GT Comparison'!C:C,"T=0.2")</f>
        <v>0.86126254697683269</v>
      </c>
      <c r="F40" s="137">
        <f>AVERAGEIFS('GT Comparison'!N:N,'GT Comparison'!B:B,"Llama 3",'GT Comparison'!E:E,"one",'GT Comparison'!C:C,"T=0.2")</f>
        <v>0.88329237596154897</v>
      </c>
      <c r="G40" s="115">
        <f>AVERAGEIFS('GT Comparison'!Q:Q,'GT Comparison'!B:B,"Llama 3",'GT Comparison'!E:E,"one",'GT Comparison'!C:C,"T=0.2")</f>
        <v>0.95212327355184512</v>
      </c>
      <c r="H40" s="115">
        <f>AVERAGEIFS('GT Comparison'!R:R,'GT Comparison'!B:B,"Llama 3",'GT Comparison'!E:E,"one",'GT Comparison'!C:C,"T=0.2")</f>
        <v>0.67469052807398666</v>
      </c>
      <c r="I40" s="137">
        <f>AVERAGEIFS('GT Comparison'!S:S,'GT Comparison'!B:B,"Llama 3",'GT Comparison'!E:E,"one",'GT Comparison'!C:C,"T=0.2")</f>
        <v>0.76840324181813813</v>
      </c>
      <c r="J40" s="115">
        <f>AVERAGEIFS('GT Comparison'!V:V,'GT Comparison'!B:B,"Llama 3",'GT Comparison'!E:E,"one",'GT Comparison'!C:C,"T=0.2")</f>
        <v>0.76603793032364464</v>
      </c>
      <c r="K40" s="115">
        <f>AVERAGEIFS('GT Comparison'!W:W,'GT Comparison'!B:B,"Llama 3",'GT Comparison'!E:E,"one",'GT Comparison'!C:C,"T=0.2")</f>
        <v>0.71539571539571556</v>
      </c>
      <c r="L40" s="137">
        <f>AVERAGEIFS('GT Comparison'!X:X,'GT Comparison'!B:B,"Llama 3",'GT Comparison'!E:E,"one",'GT Comparison'!C:C,"T=0.2")</f>
        <v>0.78480014137908871</v>
      </c>
      <c r="M40" s="115">
        <f>AVERAGEIFS('GT Comparison'!AA:AA,'GT Comparison'!B:B,"Llama 3",'GT Comparison'!E:E,"one",'GT Comparison'!C:C,"T=0.2")</f>
        <v>0.68183106575963692</v>
      </c>
      <c r="N40" s="115">
        <f>AVERAGEIFS('GT Comparison'!AB:AB,'GT Comparison'!B:B,"Llama 3",'GT Comparison'!E:E,"one",'GT Comparison'!C:C,"T=0.2")</f>
        <v>0.46989185365595143</v>
      </c>
      <c r="O40" s="137">
        <f>AVERAGEIFS('GT Comparison'!AC:AC,'GT Comparison'!B:B,"Llama 3",'GT Comparison'!E:E,"one",'GT Comparison'!C:C,"T=0.2")</f>
        <v>0.54055827479172591</v>
      </c>
    </row>
    <row r="41" spans="1:15" ht="27.9" customHeight="1" x14ac:dyDescent="0.35">
      <c r="A41" s="124"/>
      <c r="B41" s="125"/>
      <c r="C41" s="123">
        <v>0.4</v>
      </c>
      <c r="D41" s="116">
        <f>AVERAGEIFS('GT Comparison'!L:L,'GT Comparison'!B:B,"Llama 3",'GT Comparison'!E:E,"one",'GT Comparison'!C:C,"T=0.4")</f>
        <v>0.94733044733044758</v>
      </c>
      <c r="E41" s="116">
        <f>AVERAGEIFS('GT Comparison'!M:M,'GT Comparison'!B:B,"Llama 3",'GT Comparison'!E:E,"one",'GT Comparison'!C:C,"T=0.4")</f>
        <v>0.84662638948353253</v>
      </c>
      <c r="F41" s="137">
        <f>AVERAGEIFS('GT Comparison'!N:N,'GT Comparison'!B:B,"Llama 3",'GT Comparison'!E:E,"one",'GT Comparison'!C:C,"T=0.4")</f>
        <v>0.87233759000676314</v>
      </c>
      <c r="G41" s="116">
        <f>AVERAGEIFS('GT Comparison'!Q:Q,'GT Comparison'!B:B,"Llama 3",'GT Comparison'!E:E,"one",'GT Comparison'!C:C,"T=0.4")</f>
        <v>0.96185494399780103</v>
      </c>
      <c r="H41" s="116">
        <f>AVERAGEIFS('GT Comparison'!R:R,'GT Comparison'!B:B,"Llama 3",'GT Comparison'!E:E,"one",'GT Comparison'!C:C,"T=0.4")</f>
        <v>0.63331436038202948</v>
      </c>
      <c r="I41" s="137">
        <f>AVERAGEIFS('GT Comparison'!S:S,'GT Comparison'!B:B,"Llama 3",'GT Comparison'!E:E,"one",'GT Comparison'!C:C,"T=0.4")</f>
        <v>0.74491566961540112</v>
      </c>
      <c r="J41" s="116">
        <f>AVERAGEIFS('GT Comparison'!V:V,'GT Comparison'!B:B,"Llama 3",'GT Comparison'!E:E,"one",'GT Comparison'!C:C,"T=0.4")</f>
        <v>0.76512145262145259</v>
      </c>
      <c r="K41" s="116">
        <f>AVERAGEIFS('GT Comparison'!W:W,'GT Comparison'!B:B,"Llama 3",'GT Comparison'!E:E,"one",'GT Comparison'!C:C,"T=0.4")</f>
        <v>0.70121307264164423</v>
      </c>
      <c r="L41" s="137">
        <f>AVERAGEIFS('GT Comparison'!X:X,'GT Comparison'!B:B,"Llama 3",'GT Comparison'!E:E,"one",'GT Comparison'!C:C,"T=0.4")</f>
        <v>0.73689661144731744</v>
      </c>
      <c r="M41" s="116">
        <f>AVERAGEIFS('GT Comparison'!AA:AA,'GT Comparison'!B:B,"Llama 3",'GT Comparison'!E:E,"one",'GT Comparison'!C:C,"T=0.4")</f>
        <v>0.71004002611145456</v>
      </c>
      <c r="N41" s="116">
        <f>AVERAGEIFS('GT Comparison'!AB:AB,'GT Comparison'!B:B,"Llama 3",'GT Comparison'!E:E,"one",'GT Comparison'!C:C,"T=0.4")</f>
        <v>0.45861951244939969</v>
      </c>
      <c r="O41" s="137">
        <f>AVERAGEIFS('GT Comparison'!AC:AC,'GT Comparison'!B:B,"Llama 3",'GT Comparison'!E:E,"one",'GT Comparison'!C:C,"T=0.4")</f>
        <v>0.54229732585035106</v>
      </c>
    </row>
    <row r="42" spans="1:15" ht="27.9" customHeight="1" x14ac:dyDescent="0.35">
      <c r="A42" s="124"/>
      <c r="B42" s="125"/>
      <c r="C42" s="123">
        <v>0.6</v>
      </c>
      <c r="D42" s="115">
        <f>AVERAGEIFS('GT Comparison'!L:L,'GT Comparison'!B:B,"Llama 3",'GT Comparison'!E:E,"one",'GT Comparison'!C:C,"T=0.6")</f>
        <v>0.93145743145743154</v>
      </c>
      <c r="E42" s="115">
        <f>AVERAGEIFS('GT Comparison'!M:M,'GT Comparison'!B:B,"Llama 3",'GT Comparison'!E:E,"one",'GT Comparison'!C:C,"T=0.6")</f>
        <v>0.82271379414236545</v>
      </c>
      <c r="F42" s="137">
        <f>AVERAGEIFS('GT Comparison'!N:N,'GT Comparison'!B:B,"Llama 3",'GT Comparison'!E:E,"one",'GT Comparison'!C:C,"T=0.6")</f>
        <v>0.85409406452639536</v>
      </c>
      <c r="G42" s="115">
        <f>AVERAGEIFS('GT Comparison'!Q:Q,'GT Comparison'!B:B,"Llama 3",'GT Comparison'!E:E,"one",'GT Comparison'!C:C,"T=0.6")</f>
        <v>0.96205249776678325</v>
      </c>
      <c r="H42" s="115">
        <f>AVERAGEIFS('GT Comparison'!R:R,'GT Comparison'!B:B,"Llama 3",'GT Comparison'!E:E,"one",'GT Comparison'!C:C,"T=0.6")</f>
        <v>0.68398111565404784</v>
      </c>
      <c r="I42" s="137">
        <f>AVERAGEIFS('GT Comparison'!S:S,'GT Comparison'!B:B,"Llama 3",'GT Comparison'!E:E,"one",'GT Comparison'!C:C,"T=0.6")</f>
        <v>0.77637319700860019</v>
      </c>
      <c r="J42" s="115">
        <f>AVERAGEIFS('GT Comparison'!V:V,'GT Comparison'!B:B,"Llama 3",'GT Comparison'!E:E,"one",'GT Comparison'!C:C,"T=0.6")</f>
        <v>0.79341888270459682</v>
      </c>
      <c r="K42" s="115">
        <f>AVERAGEIFS('GT Comparison'!W:W,'GT Comparison'!B:B,"Llama 3",'GT Comparison'!E:E,"one",'GT Comparison'!C:C,"T=0.6")</f>
        <v>0.7196285196285197</v>
      </c>
      <c r="L42" s="137">
        <f>AVERAGEIFS('GT Comparison'!X:X,'GT Comparison'!B:B,"Llama 3",'GT Comparison'!E:E,"one",'GT Comparison'!C:C,"T=0.6")</f>
        <v>0.76178607086822747</v>
      </c>
      <c r="M42" s="115">
        <f>AVERAGEIFS('GT Comparison'!AA:AA,'GT Comparison'!B:B,"Llama 3",'GT Comparison'!E:E,"one",'GT Comparison'!C:C,"T=0.6")</f>
        <v>0.67861747068679834</v>
      </c>
      <c r="N42" s="115">
        <f>AVERAGEIFS('GT Comparison'!AB:AB,'GT Comparison'!B:B,"Llama 3",'GT Comparison'!E:E,"one",'GT Comparison'!C:C,"T=0.6")</f>
        <v>0.47672744009680101</v>
      </c>
      <c r="O42" s="137">
        <f>AVERAGEIFS('GT Comparison'!AC:AC,'GT Comparison'!B:B,"Llama 3",'GT Comparison'!E:E,"one",'GT Comparison'!C:C,"T=0.6")</f>
        <v>0.54334163306985384</v>
      </c>
    </row>
    <row r="43" spans="1:15" ht="27.9" customHeight="1" x14ac:dyDescent="0.35">
      <c r="A43" s="124"/>
      <c r="B43" s="126" t="s">
        <v>85</v>
      </c>
      <c r="C43" s="123">
        <v>0.2</v>
      </c>
      <c r="D43" s="115">
        <f>AVERAGEIFS('GT Comparison'!L:L,'GT Comparison'!B:B,"Llama 3",'GT Comparison'!E:E,"zero",'GT Comparison'!C:C,"T=0.2")</f>
        <v>0.94864183435611993</v>
      </c>
      <c r="E43" s="115">
        <f>AVERAGEIFS('GT Comparison'!M:M,'GT Comparison'!B:B,"Llama 3",'GT Comparison'!E:E,"zero",'GT Comparison'!C:C,"T=0.2")</f>
        <v>0.88106073820359532</v>
      </c>
      <c r="F43" s="137">
        <f>AVERAGEIFS('GT Comparison'!N:N,'GT Comparison'!B:B,"Llama 3",'GT Comparison'!E:E,"zero",'GT Comparison'!C:C,"T=0.2")</f>
        <v>0.90471849578992425</v>
      </c>
      <c r="G43" s="115">
        <f>AVERAGEIFS('GT Comparison'!Q:Q,'GT Comparison'!B:B,"Llama 3",'GT Comparison'!E:E,"zero",'GT Comparison'!C:C,"T=0.2")</f>
        <v>0.98644179894179884</v>
      </c>
      <c r="H43" s="115">
        <f>AVERAGEIFS('GT Comparison'!R:R,'GT Comparison'!B:B,"Llama 3",'GT Comparison'!E:E,"zero",'GT Comparison'!C:C,"T=0.2")</f>
        <v>0.70685559045521429</v>
      </c>
      <c r="I43" s="137">
        <f>AVERAGEIFS('GT Comparison'!S:S,'GT Comparison'!B:B,"Llama 3",'GT Comparison'!E:E,"zero",'GT Comparison'!C:C,"T=0.2")</f>
        <v>0.80091237489427292</v>
      </c>
      <c r="J43" s="115">
        <f>AVERAGEIFS('GT Comparison'!V:V,'GT Comparison'!B:B,"Llama 3",'GT Comparison'!E:E,"zero",'GT Comparison'!C:C,"T=0.2")</f>
        <v>0.80168191596763039</v>
      </c>
      <c r="K43" s="115">
        <f>AVERAGEIFS('GT Comparison'!W:W,'GT Comparison'!B:B,"Llama 3",'GT Comparison'!E:E,"zero",'GT Comparison'!C:C,"T=0.2")</f>
        <v>0.75196972339829493</v>
      </c>
      <c r="L43" s="137">
        <f>AVERAGEIFS('GT Comparison'!X:X,'GT Comparison'!B:B,"Llama 3",'GT Comparison'!E:E,"zero",'GT Comparison'!C:C,"T=0.2")</f>
        <v>0.78840833962785173</v>
      </c>
      <c r="M43" s="115">
        <f>AVERAGEIFS('GT Comparison'!AA:AA,'GT Comparison'!B:B,"Llama 3",'GT Comparison'!E:E,"zero",'GT Comparison'!C:C,"T=0.2")</f>
        <v>0.68408820015962857</v>
      </c>
      <c r="N43" s="115">
        <f>AVERAGEIFS('GT Comparison'!AB:AB,'GT Comparison'!B:B,"Llama 3",'GT Comparison'!E:E,"zero",'GT Comparison'!C:C,"T=0.2")</f>
        <v>0.48756081185592476</v>
      </c>
      <c r="O43" s="137">
        <f>AVERAGEIFS('GT Comparison'!AC:AC,'GT Comparison'!B:B,"Llama 3",'GT Comparison'!E:E,"zero",'GT Comparison'!C:C,"T=0.2")</f>
        <v>0.5501408797259304</v>
      </c>
    </row>
    <row r="44" spans="1:15" ht="27.9" customHeight="1" x14ac:dyDescent="0.35">
      <c r="A44" s="124"/>
      <c r="B44" s="127"/>
      <c r="C44" s="123">
        <v>0.4</v>
      </c>
      <c r="D44" s="116">
        <f>AVERAGEIFS('GT Comparison'!L:L,'GT Comparison'!B:B,"Llama 3",'GT Comparison'!E:E,"zero",'GT Comparison'!C:C,"T=0.4")</f>
        <v>0.93074861646290197</v>
      </c>
      <c r="E44" s="116">
        <f>AVERAGEIFS('GT Comparison'!M:M,'GT Comparison'!B:B,"Llama 3",'GT Comparison'!E:E,"zero",'GT Comparison'!C:C,"T=0.4")</f>
        <v>0.84722579008293308</v>
      </c>
      <c r="F44" s="137">
        <f>AVERAGEIFS('GT Comparison'!N:N,'GT Comparison'!B:B,"Llama 3",'GT Comparison'!E:E,"zero",'GT Comparison'!C:C,"T=0.4")</f>
        <v>0.87827489970347117</v>
      </c>
      <c r="G44" s="116">
        <f>AVERAGEIFS('GT Comparison'!Q:Q,'GT Comparison'!B:B,"Llama 3",'GT Comparison'!E:E,"zero",'GT Comparison'!C:C,"T=0.4")</f>
        <v>0.98392857142857149</v>
      </c>
      <c r="H44" s="116">
        <f>AVERAGEIFS('GT Comparison'!R:R,'GT Comparison'!B:B,"Llama 3",'GT Comparison'!E:E,"zero",'GT Comparison'!C:C,"T=0.4")</f>
        <v>0.69916535792945544</v>
      </c>
      <c r="I44" s="137">
        <f>AVERAGEIFS('GT Comparison'!S:S,'GT Comparison'!B:B,"Llama 3",'GT Comparison'!E:E,"zero",'GT Comparison'!C:C,"T=0.4")</f>
        <v>0.80633253736791288</v>
      </c>
      <c r="J44" s="116">
        <f>AVERAGEIFS('GT Comparison'!V:V,'GT Comparison'!B:B,"Llama 3",'GT Comparison'!E:E,"zero",'GT Comparison'!C:C,"T=0.4")</f>
        <v>0.75369075369075378</v>
      </c>
      <c r="K44" s="116">
        <f>AVERAGEIFS('GT Comparison'!W:W,'GT Comparison'!B:B,"Llama 3",'GT Comparison'!E:E,"zero",'GT Comparison'!C:C,"T=0.4")</f>
        <v>0.69866112723255591</v>
      </c>
      <c r="L44" s="137">
        <f>AVERAGEIFS('GT Comparison'!X:X,'GT Comparison'!B:B,"Llama 3",'GT Comparison'!E:E,"zero",'GT Comparison'!C:C,"T=0.4")</f>
        <v>0.7374408112212989</v>
      </c>
      <c r="M44" s="116">
        <f>AVERAGEIFS('GT Comparison'!AA:AA,'GT Comparison'!B:B,"Llama 3",'GT Comparison'!E:E,"zero",'GT Comparison'!C:C,"T=0.4")</f>
        <v>0.6676308149522433</v>
      </c>
      <c r="N44" s="116">
        <f>AVERAGEIFS('GT Comparison'!AB:AB,'GT Comparison'!B:B,"Llama 3",'GT Comparison'!E:E,"zero",'GT Comparison'!C:C,"T=0.4")</f>
        <v>0.47521223207313429</v>
      </c>
      <c r="O44" s="137">
        <f>AVERAGEIFS('GT Comparison'!AC:AC,'GT Comparison'!B:B,"Llama 3",'GT Comparison'!E:E,"zero",'GT Comparison'!C:C,"T=0.4")</f>
        <v>0.54690942248471019</v>
      </c>
    </row>
    <row r="45" spans="1:15" ht="27.9" customHeight="1" x14ac:dyDescent="0.35">
      <c r="A45" s="124"/>
      <c r="B45" s="127"/>
      <c r="C45" s="123">
        <v>0.6</v>
      </c>
      <c r="D45" s="115">
        <f>AVERAGEIFS('GT Comparison'!L:L,'GT Comparison'!B:B,"Llama 3",'GT Comparison'!E:E,"zero",'GT Comparison'!C:C,"T=0.6")</f>
        <v>0.90063111491682912</v>
      </c>
      <c r="E45" s="115">
        <f>AVERAGEIFS('GT Comparison'!M:M,'GT Comparison'!B:B,"Llama 3",'GT Comparison'!E:E,"zero",'GT Comparison'!C:C,"T=0.6")</f>
        <v>0.83475413475413485</v>
      </c>
      <c r="F45" s="137">
        <f>AVERAGEIFS('GT Comparison'!N:N,'GT Comparison'!B:B,"Llama 3",'GT Comparison'!E:E,"zero",'GT Comparison'!C:C,"T=0.6")</f>
        <v>0.85753604860747723</v>
      </c>
      <c r="G45" s="115">
        <f>AVERAGEIFS('GT Comparison'!Q:Q,'GT Comparison'!B:B,"Llama 3",'GT Comparison'!E:E,"zero",'GT Comparison'!C:C,"T=0.6")</f>
        <v>0.98908730158730152</v>
      </c>
      <c r="H45" s="115">
        <f>AVERAGEIFS('GT Comparison'!R:R,'GT Comparison'!B:B,"Llama 3",'GT Comparison'!E:E,"zero",'GT Comparison'!C:C,"T=0.6")</f>
        <v>0.67128565704693521</v>
      </c>
      <c r="I45" s="137">
        <f>AVERAGEIFS('GT Comparison'!S:S,'GT Comparison'!B:B,"Llama 3",'GT Comparison'!E:E,"zero",'GT Comparison'!C:C,"T=0.6")</f>
        <v>0.7767327035152618</v>
      </c>
      <c r="J45" s="115">
        <f>AVERAGEIFS('GT Comparison'!V:V,'GT Comparison'!B:B,"Llama 3",'GT Comparison'!E:E,"zero",'GT Comparison'!C:C,"T=0.6")</f>
        <v>0.75188303759732356</v>
      </c>
      <c r="K45" s="115">
        <f>AVERAGEIFS('GT Comparison'!W:W,'GT Comparison'!B:B,"Llama 3",'GT Comparison'!E:E,"zero",'GT Comparison'!C:C,"T=0.6")</f>
        <v>0.70606853463996322</v>
      </c>
      <c r="L45" s="137">
        <f>AVERAGEIFS('GT Comparison'!X:X,'GT Comparison'!B:B,"Llama 3",'GT Comparison'!E:E,"zero",'GT Comparison'!C:C,"T=0.6")</f>
        <v>0.75850579975579957</v>
      </c>
      <c r="M45" s="115">
        <f>AVERAGEIFS('GT Comparison'!AA:AA,'GT Comparison'!B:B,"Llama 3",'GT Comparison'!E:E,"zero",'GT Comparison'!C:C,"T=0.6")</f>
        <v>0.66753060587094215</v>
      </c>
      <c r="N45" s="115">
        <f>AVERAGEIFS('GT Comparison'!AB:AB,'GT Comparison'!B:B,"Llama 3",'GT Comparison'!E:E,"zero",'GT Comparison'!C:C,"T=0.6")</f>
        <v>0.44180975492065722</v>
      </c>
      <c r="O45" s="137">
        <f>AVERAGEIFS('GT Comparison'!AC:AC,'GT Comparison'!B:B,"Llama 3",'GT Comparison'!E:E,"zero",'GT Comparison'!C:C,"T=0.6")</f>
        <v>0.51405036990344632</v>
      </c>
    </row>
    <row r="46" spans="1:15" ht="12" customHeight="1" x14ac:dyDescent="0.35">
      <c r="A46" s="166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</row>
    <row r="47" spans="1:15" ht="26.15" customHeight="1" x14ac:dyDescent="0.35">
      <c r="A47" s="157" t="s">
        <v>88</v>
      </c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</row>
    <row r="48" spans="1:15" ht="20.149999999999999" customHeight="1" x14ac:dyDescent="0.35">
      <c r="A48" s="164" t="s">
        <v>83</v>
      </c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</row>
    <row r="49" spans="1:21" ht="18" customHeight="1" x14ac:dyDescent="0.35">
      <c r="A49" s="159" t="s">
        <v>84</v>
      </c>
      <c r="B49" s="159" t="s">
        <v>10</v>
      </c>
      <c r="C49" s="159"/>
      <c r="D49" s="163" t="s">
        <v>57</v>
      </c>
      <c r="E49" s="160"/>
      <c r="F49" s="160"/>
      <c r="G49" s="171" t="s">
        <v>58</v>
      </c>
      <c r="H49" s="160"/>
      <c r="I49" s="160"/>
      <c r="J49" s="169" t="s">
        <v>59</v>
      </c>
      <c r="K49" s="160"/>
      <c r="L49" s="160"/>
      <c r="M49" s="165" t="s">
        <v>60</v>
      </c>
      <c r="N49" s="160"/>
      <c r="O49" s="160"/>
    </row>
    <row r="50" spans="1:21" ht="15.9" customHeight="1" x14ac:dyDescent="0.35">
      <c r="A50" s="160"/>
      <c r="B50" s="160"/>
      <c r="C50" s="160"/>
      <c r="D50" s="107" t="s">
        <v>62</v>
      </c>
      <c r="E50" s="107" t="s">
        <v>63</v>
      </c>
      <c r="F50" s="107" t="s">
        <v>64</v>
      </c>
      <c r="G50" s="106" t="s">
        <v>62</v>
      </c>
      <c r="H50" s="106" t="s">
        <v>63</v>
      </c>
      <c r="I50" s="106" t="s">
        <v>64</v>
      </c>
      <c r="J50" s="105" t="s">
        <v>62</v>
      </c>
      <c r="K50" s="105" t="s">
        <v>63</v>
      </c>
      <c r="L50" s="105" t="s">
        <v>64</v>
      </c>
      <c r="M50" s="104" t="s">
        <v>62</v>
      </c>
      <c r="N50" s="104" t="s">
        <v>63</v>
      </c>
      <c r="O50" s="104" t="s">
        <v>64</v>
      </c>
    </row>
    <row r="51" spans="1:21" ht="27.9" customHeight="1" x14ac:dyDescent="0.35">
      <c r="A51" s="111" t="s">
        <v>15</v>
      </c>
      <c r="B51" s="109" t="s">
        <v>110</v>
      </c>
      <c r="C51" s="102"/>
      <c r="D51" s="115">
        <f>AVERAGEIFS('GT Comparison'!L:L,'GT Comparison'!B:B,"Gemini",'GT Comparison'!E:E,"one")</f>
        <v>0.97137572282752294</v>
      </c>
      <c r="E51" s="115">
        <f>AVERAGEIFS('GT Comparison'!M:M,'GT Comparison'!B:B,"Gemini",'GT Comparison'!E:E,"one")</f>
        <v>0.84907614431423861</v>
      </c>
      <c r="F51" s="137">
        <f>AVERAGEIFS('GT Comparison'!N:N,'GT Comparison'!B:B,"Gemini",'GT Comparison'!E:E,"one")</f>
        <v>0.89831503185161699</v>
      </c>
      <c r="G51" s="115">
        <f>AVERAGEIFS('GT Comparison'!Q:Q,'GT Comparison'!B:B,"Gemini",'GT Comparison'!E:E,"one")</f>
        <v>0.99338624338624315</v>
      </c>
      <c r="H51" s="115">
        <f>AVERAGEIFS('GT Comparison'!R:R,'GT Comparison'!B:B,"Gemini",'GT Comparison'!E:E,"one")</f>
        <v>0.8029378690092972</v>
      </c>
      <c r="I51" s="137">
        <f>AVERAGEIFS('GT Comparison'!S:S,'GT Comparison'!B:B,"Gemini",'GT Comparison'!E:E,"one")</f>
        <v>0.86840913152296573</v>
      </c>
      <c r="J51" s="115">
        <f>AVERAGEIFS('GT Comparison'!V:V,'GT Comparison'!B:B,"Gemini",'GT Comparison'!E:E,"one")</f>
        <v>0.84984997365949699</v>
      </c>
      <c r="K51" s="115">
        <f>AVERAGEIFS('GT Comparison'!W:W,'GT Comparison'!B:B,"Gemini",'GT Comparison'!E:E,"one")</f>
        <v>0.76120246596437102</v>
      </c>
      <c r="L51" s="137">
        <f>AVERAGEIFS('GT Comparison'!X:X,'GT Comparison'!B:B,"Gemini",'GT Comparison'!E:E,"one")</f>
        <v>0.79522435236720945</v>
      </c>
      <c r="M51" s="115">
        <f>AVERAGEIFS('GT Comparison'!AA:AA,'GT Comparison'!B:B,"Gemini",'GT Comparison'!E:E,"one")</f>
        <v>0.8254519853784561</v>
      </c>
      <c r="N51" s="115">
        <f>AVERAGEIFS('GT Comparison'!AB:AB,'GT Comparison'!B:B,"Gemini",'GT Comparison'!E:E,"one")</f>
        <v>0.67604156987772224</v>
      </c>
      <c r="O51" s="137">
        <f>AVERAGEIFS('GT Comparison'!AC:AC,'GT Comparison'!B:B,"Gemini",'GT Comparison'!E:E,"one")</f>
        <v>0.72745273406010713</v>
      </c>
    </row>
    <row r="52" spans="1:21" ht="27.9" customHeight="1" x14ac:dyDescent="0.35">
      <c r="A52" s="110"/>
      <c r="B52" s="108" t="s">
        <v>85</v>
      </c>
      <c r="C52" s="102"/>
      <c r="D52" s="116">
        <f>AVERAGEIFS('GT Comparison'!L:L,'GT Comparison'!B:B,"Gemini",'GT Comparison'!E:E,"zero")</f>
        <v>0.9707213834043098</v>
      </c>
      <c r="E52" s="116">
        <f>AVERAGEIFS('GT Comparison'!M:M,'GT Comparison'!B:B,"Gemini",'GT Comparison'!E:E,"zero")</f>
        <v>0.84271002366240411</v>
      </c>
      <c r="F52" s="137">
        <f>AVERAGEIFS('GT Comparison'!N:N,'GT Comparison'!B:B,"Gemini",'GT Comparison'!E:E,"zero")</f>
        <v>0.89260062358276548</v>
      </c>
      <c r="G52" s="116">
        <f>AVERAGEIFS('GT Comparison'!Q:Q,'GT Comparison'!B:B,"Gemini",'GT Comparison'!E:E,"zero")</f>
        <v>0.9880952380952378</v>
      </c>
      <c r="H52" s="116">
        <f>AVERAGEIFS('GT Comparison'!R:R,'GT Comparison'!B:B,"Gemini",'GT Comparison'!E:E,"zero")</f>
        <v>0.76376817047243151</v>
      </c>
      <c r="I52" s="137">
        <f>AVERAGEIFS('GT Comparison'!S:S,'GT Comparison'!B:B,"Gemini",'GT Comparison'!E:E,"zero")</f>
        <v>0.84634621863048565</v>
      </c>
      <c r="J52" s="116">
        <f>AVERAGEIFS('GT Comparison'!V:V,'GT Comparison'!B:B,"Gemini",'GT Comparison'!E:E,"zero")</f>
        <v>0.89994273803797586</v>
      </c>
      <c r="K52" s="116">
        <f>AVERAGEIFS('GT Comparison'!W:W,'GT Comparison'!B:B,"Gemini",'GT Comparison'!E:E,"zero")</f>
        <v>0.77972397972397955</v>
      </c>
      <c r="L52" s="137">
        <f>AVERAGEIFS('GT Comparison'!X:X,'GT Comparison'!B:B,"Gemini",'GT Comparison'!E:E,"zero")</f>
        <v>0.82627465127465072</v>
      </c>
      <c r="M52" s="116">
        <f>AVERAGEIFS('GT Comparison'!AA:AA,'GT Comparison'!B:B,"Gemini",'GT Comparison'!E:E,"zero")</f>
        <v>0.74118670229443551</v>
      </c>
      <c r="N52" s="116">
        <f>AVERAGEIFS('GT Comparison'!AB:AB,'GT Comparison'!B:B,"Gemini",'GT Comparison'!E:E,"zero")</f>
        <v>0.57421632976927384</v>
      </c>
      <c r="O52" s="137">
        <f>AVERAGEIFS('GT Comparison'!AC:AC,'GT Comparison'!B:B,"Gemini",'GT Comparison'!E:E,"zero")</f>
        <v>0.63621868701259077</v>
      </c>
    </row>
    <row r="53" spans="1:21" ht="27.9" customHeight="1" x14ac:dyDescent="0.35">
      <c r="A53" s="111" t="s">
        <v>22</v>
      </c>
      <c r="B53" s="109" t="s">
        <v>110</v>
      </c>
      <c r="C53" s="102"/>
      <c r="D53" s="115">
        <f>AVERAGEIFS('GT Comparison'!L:L,'GT Comparison'!B:B,"Mistral",'GT Comparison'!E:E,"one")</f>
        <v>0.97767201933868575</v>
      </c>
      <c r="E53" s="115">
        <f>AVERAGEIFS('GT Comparison'!M:M,'GT Comparison'!B:B,"Mistral",'GT Comparison'!E:E,"one")</f>
        <v>0.86731681017395179</v>
      </c>
      <c r="F53" s="137">
        <f>AVERAGEIFS('GT Comparison'!N:N,'GT Comparison'!B:B,"Mistral",'GT Comparison'!E:E,"one")</f>
        <v>0.90973065994074398</v>
      </c>
      <c r="G53" s="115">
        <f>AVERAGEIFS('GT Comparison'!Q:Q,'GT Comparison'!B:B,"Mistral",'GT Comparison'!E:E,"one")</f>
        <v>0.98818594104308399</v>
      </c>
      <c r="H53" s="115">
        <f>AVERAGEIFS('GT Comparison'!R:R,'GT Comparison'!B:B,"Mistral",'GT Comparison'!E:E,"one")</f>
        <v>0.73608329646080328</v>
      </c>
      <c r="I53" s="137">
        <f>AVERAGEIFS('GT Comparison'!S:S,'GT Comparison'!B:B,"Mistral",'GT Comparison'!E:E,"one")</f>
        <v>0.82636195731116835</v>
      </c>
      <c r="J53" s="115">
        <f>AVERAGEIFS('GT Comparison'!V:V,'GT Comparison'!B:B,"Mistral",'GT Comparison'!E:E,"one")</f>
        <v>0.81956418801656838</v>
      </c>
      <c r="K53" s="115">
        <f>AVERAGEIFS('GT Comparison'!W:W,'GT Comparison'!B:B,"Mistral",'GT Comparison'!E:E,"one")</f>
        <v>0.74606187463330342</v>
      </c>
      <c r="L53" s="137">
        <f>AVERAGEIFS('GT Comparison'!X:X,'GT Comparison'!B:B,"Mistral",'GT Comparison'!E:E,"one")</f>
        <v>0.77470174938662328</v>
      </c>
      <c r="M53" s="115">
        <f>AVERAGEIFS('GT Comparison'!AA:AA,'GT Comparison'!B:B,"Mistral",'GT Comparison'!E:E,"one")</f>
        <v>0.73390589166986664</v>
      </c>
      <c r="N53" s="115">
        <f>AVERAGEIFS('GT Comparison'!AB:AB,'GT Comparison'!B:B,"Mistral",'GT Comparison'!E:E,"one")</f>
        <v>0.54379589360792302</v>
      </c>
      <c r="O53" s="137">
        <f>AVERAGEIFS('GT Comparison'!AC:AC,'GT Comparison'!B:B,"Mistral",'GT Comparison'!E:E,"one")</f>
        <v>0.61236026906497476</v>
      </c>
    </row>
    <row r="54" spans="1:21" ht="27.9" customHeight="1" x14ac:dyDescent="0.35">
      <c r="A54" s="110"/>
      <c r="B54" s="108" t="s">
        <v>85</v>
      </c>
      <c r="C54" s="102"/>
      <c r="D54" s="116">
        <f>AVERAGEIFS('GT Comparison'!L:L,'GT Comparison'!B:B,"Mistral",'GT Comparison'!E:E,"zero")</f>
        <v>0.97950968784302095</v>
      </c>
      <c r="E54" s="116">
        <f>AVERAGEIFS('GT Comparison'!M:M,'GT Comparison'!B:B,"Mistral",'GT Comparison'!E:E,"zero")</f>
        <v>0.886241800527514</v>
      </c>
      <c r="F54" s="137">
        <f>AVERAGEIFS('GT Comparison'!N:N,'GT Comparison'!B:B,"Mistral",'GT Comparison'!E:E,"zero")</f>
        <v>0.92134903819077496</v>
      </c>
      <c r="G54" s="116">
        <f>AVERAGEIFS('GT Comparison'!Q:Q,'GT Comparison'!B:B,"Mistral",'GT Comparison'!E:E,"zero")</f>
        <v>0.99943310657596374</v>
      </c>
      <c r="H54" s="116">
        <f>AVERAGEIFS('GT Comparison'!R:R,'GT Comparison'!B:B,"Mistral",'GT Comparison'!E:E,"zero")</f>
        <v>0.72390756115693522</v>
      </c>
      <c r="I54" s="137">
        <f>AVERAGEIFS('GT Comparison'!S:S,'GT Comparison'!B:B,"Mistral",'GT Comparison'!E:E,"zero")</f>
        <v>0.82204281251375411</v>
      </c>
      <c r="J54" s="116">
        <f>AVERAGEIFS('GT Comparison'!V:V,'GT Comparison'!B:B,"Mistral",'GT Comparison'!E:E,"zero")</f>
        <v>0.88917848024990942</v>
      </c>
      <c r="K54" s="116">
        <f>AVERAGEIFS('GT Comparison'!W:W,'GT Comparison'!B:B,"Mistral",'GT Comparison'!E:E,"zero")</f>
        <v>0.8185870566822947</v>
      </c>
      <c r="L54" s="137">
        <f>AVERAGEIFS('GT Comparison'!X:X,'GT Comparison'!B:B,"Mistral",'GT Comparison'!E:E,"zero")</f>
        <v>0.84482033554162339</v>
      </c>
      <c r="M54" s="116">
        <f>AVERAGEIFS('GT Comparison'!AA:AA,'GT Comparison'!B:B,"Mistral",'GT Comparison'!E:E,"zero")</f>
        <v>0.79013963966971457</v>
      </c>
      <c r="N54" s="116">
        <f>AVERAGEIFS('GT Comparison'!AB:AB,'GT Comparison'!B:B,"Mistral",'GT Comparison'!E:E,"zero")</f>
        <v>0.56639977057426916</v>
      </c>
      <c r="O54" s="137">
        <f>AVERAGEIFS('GT Comparison'!AC:AC,'GT Comparison'!B:B,"Mistral",'GT Comparison'!E:E,"zero")</f>
        <v>0.64508924050109573</v>
      </c>
    </row>
    <row r="55" spans="1:21" ht="27.9" customHeight="1" x14ac:dyDescent="0.35">
      <c r="A55" s="111" t="s">
        <v>86</v>
      </c>
      <c r="B55" s="109" t="s">
        <v>110</v>
      </c>
      <c r="C55" s="102"/>
      <c r="D55" s="115">
        <f>AVERAGEIFS('GT Comparison'!L:L,'GT Comparison'!B:B,"Llama 3",'GT Comparison'!E:E,"one")</f>
        <v>0.9429212762546092</v>
      </c>
      <c r="E55" s="115">
        <f>AVERAGEIFS('GT Comparison'!M:M,'GT Comparison'!B:B,"Llama 3",'GT Comparison'!E:E,"one")</f>
        <v>0.84353424353424333</v>
      </c>
      <c r="F55" s="137">
        <f>AVERAGEIFS('GT Comparison'!N:N,'GT Comparison'!B:B,"Llama 3",'GT Comparison'!E:E,"one")</f>
        <v>0.86990801016490205</v>
      </c>
      <c r="G55" s="115">
        <f>AVERAGEIFS('GT Comparison'!Q:Q,'GT Comparison'!B:B,"Llama 3",'GT Comparison'!E:E,"one")</f>
        <v>0.95867690510547587</v>
      </c>
      <c r="H55" s="115">
        <f>AVERAGEIFS('GT Comparison'!R:R,'GT Comparison'!B:B,"Llama 3",'GT Comparison'!E:E,"one")</f>
        <v>0.66399533470335492</v>
      </c>
      <c r="I55" s="137">
        <f>AVERAGEIFS('GT Comparison'!S:S,'GT Comparison'!B:B,"Llama 3",'GT Comparison'!E:E,"one")</f>
        <v>0.76323070281404626</v>
      </c>
      <c r="J55" s="115">
        <f>AVERAGEIFS('GT Comparison'!V:V,'GT Comparison'!B:B,"Llama 3",'GT Comparison'!E:E,"one")</f>
        <v>0.77485942188322998</v>
      </c>
      <c r="K55" s="115">
        <f>AVERAGEIFS('GT Comparison'!W:W,'GT Comparison'!B:B,"Llama 3",'GT Comparison'!E:E,"one")</f>
        <v>0.71207910255529328</v>
      </c>
      <c r="L55" s="137">
        <f>AVERAGEIFS('GT Comparison'!X:X,'GT Comparison'!B:B,"Llama 3",'GT Comparison'!E:E,"one")</f>
        <v>0.76077021065059314</v>
      </c>
      <c r="M55" s="115">
        <f>AVERAGEIFS('GT Comparison'!AA:AA,'GT Comparison'!B:B,"Llama 3",'GT Comparison'!E:E,"one")</f>
        <v>0.69016285418596357</v>
      </c>
      <c r="N55" s="115">
        <f>AVERAGEIFS('GT Comparison'!AB:AB,'GT Comparison'!B:B,"Llama 3",'GT Comparison'!E:E,"one")</f>
        <v>0.46841293540071688</v>
      </c>
      <c r="O55" s="137">
        <f>AVERAGEIFS('GT Comparison'!AC:AC,'GT Comparison'!B:B,"Llama 3",'GT Comparison'!E:E,"one")</f>
        <v>0.54206574457064338</v>
      </c>
    </row>
    <row r="56" spans="1:21" ht="27.9" customHeight="1" x14ac:dyDescent="0.35">
      <c r="A56" s="110"/>
      <c r="B56" s="108" t="s">
        <v>85</v>
      </c>
      <c r="C56" s="102"/>
      <c r="D56" s="116">
        <f>AVERAGEIFS('GT Comparison'!L:L,'GT Comparison'!B:B,"Llama 3",'GT Comparison'!E:E,"zero")</f>
        <v>0.92667385524528345</v>
      </c>
      <c r="E56" s="116">
        <f>AVERAGEIFS('GT Comparison'!M:M,'GT Comparison'!B:B,"Llama 3",'GT Comparison'!E:E,"zero")</f>
        <v>0.85434688768022049</v>
      </c>
      <c r="F56" s="137">
        <f>AVERAGEIFS('GT Comparison'!N:N,'GT Comparison'!B:B,"Llama 3",'GT Comparison'!E:E,"zero")</f>
        <v>0.88017648136695814</v>
      </c>
      <c r="G56" s="116">
        <f>AVERAGEIFS('GT Comparison'!Q:Q,'GT Comparison'!B:B,"Llama 3",'GT Comparison'!E:E,"zero")</f>
        <v>0.98648589065255743</v>
      </c>
      <c r="H56" s="116">
        <f>AVERAGEIFS('GT Comparison'!R:R,'GT Comparison'!B:B,"Llama 3",'GT Comparison'!E:E,"zero")</f>
        <v>0.69243553514386946</v>
      </c>
      <c r="I56" s="137">
        <f>AVERAGEIFS('GT Comparison'!S:S,'GT Comparison'!B:B,"Llama 3",'GT Comparison'!E:E,"zero")</f>
        <v>0.79465920525914868</v>
      </c>
      <c r="J56" s="116">
        <f>AVERAGEIFS('GT Comparison'!V:V,'GT Comparison'!B:B,"Llama 3",'GT Comparison'!E:E,"zero")</f>
        <v>0.76908523575190213</v>
      </c>
      <c r="K56" s="116">
        <f>AVERAGEIFS('GT Comparison'!W:W,'GT Comparison'!B:B,"Llama 3",'GT Comparison'!E:E,"zero")</f>
        <v>0.71889979509027191</v>
      </c>
      <c r="L56" s="137">
        <f>AVERAGEIFS('GT Comparison'!X:X,'GT Comparison'!B:B,"Llama 3",'GT Comparison'!E:E,"zero")</f>
        <v>0.76147579651677977</v>
      </c>
      <c r="M56" s="116">
        <f>AVERAGEIFS('GT Comparison'!AA:AA,'GT Comparison'!B:B,"Llama 3",'GT Comparison'!E:E,"zero")</f>
        <v>0.67308320699427227</v>
      </c>
      <c r="N56" s="116">
        <f>AVERAGEIFS('GT Comparison'!AB:AB,'GT Comparison'!B:B,"Llama 3",'GT Comparison'!E:E,"zero")</f>
        <v>0.4681942662832379</v>
      </c>
      <c r="O56" s="137">
        <f>AVERAGEIFS('GT Comparison'!AC:AC,'GT Comparison'!B:B,"Llama 3",'GT Comparison'!E:E,"zero")</f>
        <v>0.53703355737136149</v>
      </c>
    </row>
    <row r="57" spans="1:21" ht="12" customHeight="1" x14ac:dyDescent="0.35">
      <c r="A57" s="166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</row>
    <row r="58" spans="1:21" ht="26.15" customHeight="1" x14ac:dyDescent="0.35">
      <c r="A58" s="168" t="s">
        <v>89</v>
      </c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</row>
    <row r="59" spans="1:21" ht="20.149999999999999" customHeight="1" x14ac:dyDescent="0.35">
      <c r="A59" s="164" t="s">
        <v>83</v>
      </c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</row>
    <row r="60" spans="1:21" ht="20.149999999999999" customHeight="1" x14ac:dyDescent="0.35">
      <c r="A60" s="175" t="s">
        <v>90</v>
      </c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Q60" s="101" t="s">
        <v>111</v>
      </c>
      <c r="R60" s="101" t="s">
        <v>112</v>
      </c>
      <c r="S60" s="101" t="s">
        <v>113</v>
      </c>
      <c r="T60" s="101" t="s">
        <v>114</v>
      </c>
      <c r="U60" s="101" t="s">
        <v>115</v>
      </c>
    </row>
    <row r="61" spans="1:21" ht="18" customHeight="1" x14ac:dyDescent="0.35">
      <c r="A61" s="159" t="s">
        <v>8</v>
      </c>
      <c r="B61" s="170"/>
      <c r="C61" s="158"/>
      <c r="D61" s="163" t="s">
        <v>57</v>
      </c>
      <c r="E61" s="158"/>
      <c r="F61" s="158"/>
      <c r="G61" s="171" t="s">
        <v>58</v>
      </c>
      <c r="H61" s="158"/>
      <c r="I61" s="158"/>
      <c r="J61" s="169" t="s">
        <v>59</v>
      </c>
      <c r="K61" s="158"/>
      <c r="L61" s="158"/>
      <c r="M61" s="165" t="s">
        <v>60</v>
      </c>
      <c r="N61" s="158"/>
      <c r="O61" s="158"/>
      <c r="Q61" s="145" t="s">
        <v>8</v>
      </c>
      <c r="R61" s="150" t="s">
        <v>57</v>
      </c>
      <c r="S61" s="150" t="s">
        <v>58</v>
      </c>
      <c r="T61" s="150" t="s">
        <v>59</v>
      </c>
      <c r="U61" s="150" t="s">
        <v>60</v>
      </c>
    </row>
    <row r="62" spans="1:21" ht="15.9" customHeight="1" x14ac:dyDescent="0.35">
      <c r="A62" s="158"/>
      <c r="B62" s="158"/>
      <c r="C62" s="158"/>
      <c r="D62" s="107" t="s">
        <v>62</v>
      </c>
      <c r="E62" s="107" t="s">
        <v>63</v>
      </c>
      <c r="F62" s="107" t="s">
        <v>64</v>
      </c>
      <c r="G62" s="106" t="s">
        <v>62</v>
      </c>
      <c r="H62" s="106" t="s">
        <v>63</v>
      </c>
      <c r="I62" s="106" t="s">
        <v>64</v>
      </c>
      <c r="J62" s="105" t="s">
        <v>62</v>
      </c>
      <c r="K62" s="105" t="s">
        <v>63</v>
      </c>
      <c r="L62" s="105" t="s">
        <v>64</v>
      </c>
      <c r="M62" s="104" t="s">
        <v>62</v>
      </c>
      <c r="N62" s="104" t="s">
        <v>63</v>
      </c>
      <c r="O62" s="104" t="s">
        <v>64</v>
      </c>
      <c r="Q62" s="146">
        <v>0.2</v>
      </c>
      <c r="R62" s="148">
        <f>AVERAGEIFS('GT Comparison'!N:N,'GT Comparison'!C:C,"T=0.2")</f>
        <v>0.9020469738583422</v>
      </c>
      <c r="S62" s="148">
        <f>AVERAGEIFS('GT Comparison'!S:S,'GT Comparison'!C:C,"T=0.2")</f>
        <v>0.81473334768638761</v>
      </c>
      <c r="T62" s="148">
        <f>AVERAGEIFS('GT Comparison'!X:X,'GT Comparison'!C:C,"T=0.2")</f>
        <v>0.80298279877545642</v>
      </c>
      <c r="U62" s="148">
        <f>AVERAGEIFS('GT Comparison'!AC:AC,'GT Comparison'!C:C,"T=0.2")</f>
        <v>0.6045846684279591</v>
      </c>
    </row>
    <row r="63" spans="1:21" ht="27.9" customHeight="1" x14ac:dyDescent="0.35">
      <c r="A63" s="103">
        <v>0.2</v>
      </c>
      <c r="B63" s="102"/>
      <c r="C63" s="102"/>
      <c r="D63" s="128">
        <f>AVERAGEIFS('GT Comparison'!L:L,'GT Comparison'!C:C,"T=0.2")</f>
        <v>0.96771370454297223</v>
      </c>
      <c r="E63" s="128">
        <f>AVERAGEIFS('GT Comparison'!M:M,'GT Comparison'!C:C,"T=0.2")</f>
        <v>0.86257305304924303</v>
      </c>
      <c r="F63" s="137">
        <f>AVERAGEIFS('GT Comparison'!N:N,'GT Comparison'!C:C,"T=0.2")</f>
        <v>0.9020469738583422</v>
      </c>
      <c r="G63" s="128">
        <f>AVERAGEIFS('GT Comparison'!Q:Q,'GT Comparison'!C:C,"T=0.2")</f>
        <v>0.98390294670056588</v>
      </c>
      <c r="H63" s="128">
        <f>AVERAGEIFS('GT Comparison'!R:R,'GT Comparison'!C:C,"T=0.2")</f>
        <v>0.72472979352286926</v>
      </c>
      <c r="I63" s="137">
        <f>AVERAGEIFS('GT Comparison'!S:S,'GT Comparison'!C:C,"T=0.2")</f>
        <v>0.81473334768638761</v>
      </c>
      <c r="J63" s="128">
        <f>AVERAGEIFS('GT Comparison'!V:V,'GT Comparison'!C:C,"T=0.2")</f>
        <v>0.83976489780061092</v>
      </c>
      <c r="K63" s="128">
        <f>AVERAGEIFS('GT Comparison'!W:W,'GT Comparison'!C:C,"T=0.2")</f>
        <v>0.76106133725181224</v>
      </c>
      <c r="L63" s="137">
        <f>AVERAGEIFS('GT Comparison'!X:X,'GT Comparison'!C:C,"T=0.2")</f>
        <v>0.80298279877545642</v>
      </c>
      <c r="M63" s="128">
        <f>AVERAGEIFS('GT Comparison'!AA:AA,'GT Comparison'!C:C,"T=0.2")</f>
        <v>0.73458745878904641</v>
      </c>
      <c r="N63" s="128">
        <f>AVERAGEIFS('GT Comparison'!AB:AB,'GT Comparison'!C:C,"T=0.2")</f>
        <v>0.53654996493342411</v>
      </c>
      <c r="O63" s="137">
        <f>AVERAGEIFS('GT Comparison'!AC:AC,'GT Comparison'!C:C,"T=0.2")</f>
        <v>0.6045846684279591</v>
      </c>
      <c r="Q63" s="146">
        <v>0.4</v>
      </c>
      <c r="R63" s="148">
        <f>AVERAGEIFS('GT Comparison'!N:N,'GT Comparison'!C:C,"T=0.4")</f>
        <v>0.89574127358109279</v>
      </c>
      <c r="S63" s="148">
        <f>AVERAGEIFS('GT Comparison'!S:S,'GT Comparison'!C:C,"T=0.4")</f>
        <v>0.8182345111268633</v>
      </c>
      <c r="T63" s="148">
        <f>AVERAGEIFS('GT Comparison'!X:X,'GT Comparison'!C:C,"T=0.4")</f>
        <v>0.78547161586263825</v>
      </c>
      <c r="U63" s="148">
        <f>AVERAGEIFS('GT Comparison'!AC:AC,'GT Comparison'!C:C,"T=0.4")</f>
        <v>0.62274345738438264</v>
      </c>
    </row>
    <row r="64" spans="1:21" ht="27.9" customHeight="1" x14ac:dyDescent="0.35">
      <c r="A64" s="103">
        <v>0.4</v>
      </c>
      <c r="B64" s="102"/>
      <c r="C64" s="102"/>
      <c r="D64" s="116">
        <f>AVERAGEIFS('GT Comparison'!L:L,'GT Comparison'!C:C,"T=0.4")</f>
        <v>0.96341273365082847</v>
      </c>
      <c r="E64" s="116">
        <f>AVERAGEIFS('GT Comparison'!M:M,'GT Comparison'!C:C,"T=0.4")</f>
        <v>0.85759460997556147</v>
      </c>
      <c r="F64" s="137">
        <f>AVERAGEIFS('GT Comparison'!N:N,'GT Comparison'!C:C,"T=0.4")</f>
        <v>0.89574127358109279</v>
      </c>
      <c r="G64" s="116">
        <f>AVERAGEIFS('GT Comparison'!Q:Q,'GT Comparison'!C:C,"T=0.4")</f>
        <v>0.98486792528459211</v>
      </c>
      <c r="H64" s="116">
        <f>AVERAGEIFS('GT Comparison'!R:R,'GT Comparison'!C:C,"T=0.4")</f>
        <v>0.72409618614584081</v>
      </c>
      <c r="I64" s="137">
        <f>AVERAGEIFS('GT Comparison'!S:S,'GT Comparison'!C:C,"T=0.4")</f>
        <v>0.8182345111268633</v>
      </c>
      <c r="J64" s="116">
        <f>AVERAGEIFS('GT Comparison'!V:V,'GT Comparison'!C:C,"T=0.4")</f>
        <v>0.82880431957812806</v>
      </c>
      <c r="K64" s="116">
        <f>AVERAGEIFS('GT Comparison'!W:W,'GT Comparison'!C:C,"T=0.4")</f>
        <v>0.75031881698548231</v>
      </c>
      <c r="L64" s="137">
        <f>AVERAGEIFS('GT Comparison'!X:X,'GT Comparison'!C:C,"T=0.4")</f>
        <v>0.78547161586263825</v>
      </c>
      <c r="M64" s="116">
        <f>AVERAGEIFS('GT Comparison'!AA:AA,'GT Comparison'!C:C,"T=0.4")</f>
        <v>0.74911558714590376</v>
      </c>
      <c r="N64" s="116">
        <f>AVERAGEIFS('GT Comparison'!AB:AB,'GT Comparison'!C:C,"T=0.4")</f>
        <v>0.55257986162983086</v>
      </c>
      <c r="O64" s="137">
        <f>AVERAGEIFS('GT Comparison'!AC:AC,'GT Comparison'!C:C,"T=0.4")</f>
        <v>0.62274345738438264</v>
      </c>
      <c r="Q64" s="147">
        <v>0.6</v>
      </c>
      <c r="R64" s="149">
        <f>AVERAGEIFS('GT Comparison'!N:N,'GT Comparison'!C:C,"T=0.6")</f>
        <v>0.88825167510944403</v>
      </c>
      <c r="S64" s="149">
        <f>AVERAGEIFS('GT Comparison'!S:S,'GT Comparison'!C:C,"T=0.6")</f>
        <v>0.82755715521253503</v>
      </c>
      <c r="T64" s="149">
        <f>AVERAGEIFS('GT Comparison'!X:X,'GT Comparison'!C:C,"T=0.6")</f>
        <v>0.79443478619128671</v>
      </c>
      <c r="U64" s="149">
        <f>AVERAGEIFS('GT Comparison'!AC:AC,'GT Comparison'!C:C,"T=0.6")</f>
        <v>0.62278199047804872</v>
      </c>
    </row>
    <row r="65" spans="1:15" ht="27.9" customHeight="1" x14ac:dyDescent="0.35">
      <c r="A65" s="103">
        <v>0.6</v>
      </c>
      <c r="B65" s="102"/>
      <c r="C65" s="102"/>
      <c r="D65" s="128">
        <f>AVERAGEIFS('GT Comparison'!L:L,'GT Comparison'!C:C,"T=0.6")</f>
        <v>0.95331053426291479</v>
      </c>
      <c r="E65" s="128">
        <f>AVERAGEIFS('GT Comparison'!M:M,'GT Comparison'!C:C,"T=0.6")</f>
        <v>0.85144529192148166</v>
      </c>
      <c r="F65" s="137">
        <f>AVERAGEIFS('GT Comparison'!N:N,'GT Comparison'!C:C,"T=0.6")</f>
        <v>0.88825167510944403</v>
      </c>
      <c r="G65" s="128">
        <f>AVERAGEIFS('GT Comparison'!Q:Q,'GT Comparison'!C:C,"T=0.6")</f>
        <v>0.98836079044412395</v>
      </c>
      <c r="H65" s="128">
        <f>AVERAGEIFS('GT Comparison'!R:R,'GT Comparison'!C:C,"T=0.6")</f>
        <v>0.74273790380463256</v>
      </c>
      <c r="I65" s="137">
        <f>AVERAGEIFS('GT Comparison'!S:S,'GT Comparison'!C:C,"T=0.6")</f>
        <v>0.82755715521253503</v>
      </c>
      <c r="J65" s="128">
        <f>AVERAGEIFS('GT Comparison'!V:V,'GT Comparison'!C:C,"T=0.6")</f>
        <v>0.83267080142080063</v>
      </c>
      <c r="K65" s="128">
        <f>AVERAGEIFS('GT Comparison'!W:W,'GT Comparison'!C:C,"T=0.6")</f>
        <v>0.75689698308745845</v>
      </c>
      <c r="L65" s="137">
        <f>AVERAGEIFS('GT Comparison'!X:X,'GT Comparison'!C:C,"T=0.6")</f>
        <v>0.79443478619128671</v>
      </c>
      <c r="M65" s="128">
        <f>AVERAGEIFS('GT Comparison'!AA:AA,'GT Comparison'!C:C,"T=0.6")</f>
        <v>0.74326209416140032</v>
      </c>
      <c r="N65" s="128">
        <f>AVERAGEIFS('GT Comparison'!AB:AB,'GT Comparison'!C:C,"T=0.6")</f>
        <v>0.55940055619331985</v>
      </c>
      <c r="O65" s="137">
        <f>AVERAGEIFS('GT Comparison'!AC:AC,'GT Comparison'!C:C,"T=0.6")</f>
        <v>0.62278199047804872</v>
      </c>
    </row>
    <row r="66" spans="1:15" ht="20.149999999999999" customHeight="1" x14ac:dyDescent="0.35">
      <c r="A66" s="176" t="s">
        <v>91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</row>
    <row r="67" spans="1:15" ht="18" customHeight="1" x14ac:dyDescent="0.35">
      <c r="A67" s="159" t="s">
        <v>10</v>
      </c>
      <c r="B67" s="170"/>
      <c r="C67" s="160"/>
      <c r="D67" s="163" t="s">
        <v>57</v>
      </c>
      <c r="E67" s="160"/>
      <c r="F67" s="160"/>
      <c r="G67" s="171" t="s">
        <v>58</v>
      </c>
      <c r="H67" s="160"/>
      <c r="I67" s="160"/>
      <c r="J67" s="169" t="s">
        <v>59</v>
      </c>
      <c r="K67" s="160"/>
      <c r="L67" s="160"/>
      <c r="M67" s="165" t="s">
        <v>60</v>
      </c>
      <c r="N67" s="160"/>
      <c r="O67" s="160"/>
    </row>
    <row r="68" spans="1:15" ht="15.9" customHeight="1" x14ac:dyDescent="0.35">
      <c r="A68" s="160"/>
      <c r="B68" s="160"/>
      <c r="C68" s="160"/>
      <c r="D68" s="107" t="s">
        <v>62</v>
      </c>
      <c r="E68" s="107" t="s">
        <v>63</v>
      </c>
      <c r="F68" s="107" t="s">
        <v>64</v>
      </c>
      <c r="G68" s="106" t="s">
        <v>62</v>
      </c>
      <c r="H68" s="106" t="s">
        <v>63</v>
      </c>
      <c r="I68" s="106" t="s">
        <v>64</v>
      </c>
      <c r="J68" s="105" t="s">
        <v>62</v>
      </c>
      <c r="K68" s="105" t="s">
        <v>63</v>
      </c>
      <c r="L68" s="105" t="s">
        <v>64</v>
      </c>
      <c r="M68" s="104" t="s">
        <v>62</v>
      </c>
      <c r="N68" s="104" t="s">
        <v>63</v>
      </c>
      <c r="O68" s="104" t="s">
        <v>64</v>
      </c>
    </row>
    <row r="69" spans="1:15" ht="27.9" customHeight="1" x14ac:dyDescent="0.35">
      <c r="A69" s="109" t="s">
        <v>110</v>
      </c>
      <c r="B69" s="102"/>
      <c r="C69" s="102"/>
      <c r="D69" s="115">
        <f>AVERAGEIFS('GT Comparison'!L:L,'GT Comparison'!E:E,"one")</f>
        <v>0.96398967280694003</v>
      </c>
      <c r="E69" s="115">
        <f>AVERAGEIFS('GT Comparison'!M:M,'GT Comparison'!E:E,"one")</f>
        <v>0.85330906600747836</v>
      </c>
      <c r="F69" s="137">
        <f>AVERAGEIFS('GT Comparison'!N:N,'GT Comparison'!E:E,"one")</f>
        <v>0.89265123398575497</v>
      </c>
      <c r="G69" s="115">
        <f>AVERAGEIFS('GT Comparison'!Q:Q,'GT Comparison'!E:E,"one")</f>
        <v>0.98008302984493501</v>
      </c>
      <c r="H69" s="115">
        <f>AVERAGEIFS('GT Comparison'!R:R,'GT Comparison'!E:E,"one")</f>
        <v>0.73433883339115114</v>
      </c>
      <c r="I69" s="137">
        <f>AVERAGEIFS('GT Comparison'!S:S,'GT Comparison'!E:E,"one")</f>
        <v>0.81933393054939596</v>
      </c>
      <c r="J69" s="115">
        <f>AVERAGEIFS('GT Comparison'!V:V,'GT Comparison'!E:E,"one")</f>
        <v>0.81475786118643223</v>
      </c>
      <c r="K69" s="115">
        <f>AVERAGEIFS('GT Comparison'!W:W,'GT Comparison'!E:E,"one")</f>
        <v>0.73978114771765535</v>
      </c>
      <c r="L69" s="137">
        <f>AVERAGEIFS('GT Comparison'!X:X,'GT Comparison'!E:E,"one")</f>
        <v>0.77711497133969154</v>
      </c>
      <c r="M69" s="115">
        <f>AVERAGEIFS('GT Comparison'!AA:AA,'GT Comparison'!E:E,"one")</f>
        <v>0.74984024374476177</v>
      </c>
      <c r="N69" s="115">
        <f>AVERAGEIFS('GT Comparison'!AB:AB,'GT Comparison'!E:E,"one")</f>
        <v>0.56275013296212217</v>
      </c>
      <c r="O69" s="137">
        <f>AVERAGEIFS('GT Comparison'!AC:AC,'GT Comparison'!E:E,"one")</f>
        <v>0.62729291589857661</v>
      </c>
    </row>
    <row r="70" spans="1:15" ht="27.9" customHeight="1" x14ac:dyDescent="0.35">
      <c r="A70" s="108" t="s">
        <v>85</v>
      </c>
      <c r="B70" s="102"/>
      <c r="C70" s="102"/>
      <c r="D70" s="116">
        <f>AVERAGEIFS('GT Comparison'!L:L,'GT Comparison'!E:E,"zero")</f>
        <v>0.95896830883087192</v>
      </c>
      <c r="E70" s="116">
        <f>AVERAGEIFS('GT Comparison'!M:M,'GT Comparison'!E:E,"zero")</f>
        <v>0.8610995706233816</v>
      </c>
      <c r="F70" s="137">
        <f>AVERAGEIFS('GT Comparison'!N:N,'GT Comparison'!E:E,"zero")</f>
        <v>0.89804204771350027</v>
      </c>
      <c r="G70" s="116">
        <f>AVERAGEIFS('GT Comparison'!Q:Q,'GT Comparison'!E:E,"zero")</f>
        <v>0.99133807844125277</v>
      </c>
      <c r="H70" s="116">
        <f>AVERAGEIFS('GT Comparison'!R:R,'GT Comparison'!E:E,"zero")</f>
        <v>0.72670375559107647</v>
      </c>
      <c r="I70" s="137">
        <f>AVERAGEIFS('GT Comparison'!S:S,'GT Comparison'!E:E,"zero")</f>
        <v>0.82101607880113336</v>
      </c>
      <c r="J70" s="116">
        <f>AVERAGEIFS('GT Comparison'!V:V,'GT Comparison'!E:E,"zero")</f>
        <v>0.85273548467992899</v>
      </c>
      <c r="K70" s="116">
        <f>AVERAGEIFS('GT Comparison'!W:W,'GT Comparison'!E:E,"zero")</f>
        <v>0.77240361049884876</v>
      </c>
      <c r="L70" s="137">
        <f>AVERAGEIFS('GT Comparison'!X:X,'GT Comparison'!E:E,"zero")</f>
        <v>0.81138506821897716</v>
      </c>
      <c r="M70" s="116">
        <f>AVERAGEIFS('GT Comparison'!AA:AA,'GT Comparison'!E:E,"zero")</f>
        <v>0.73480318298613845</v>
      </c>
      <c r="N70" s="116">
        <f>AVERAGEIFS('GT Comparison'!AB:AB,'GT Comparison'!E:E,"zero")</f>
        <v>0.53627012220892756</v>
      </c>
      <c r="O70" s="137">
        <f>AVERAGEIFS('GT Comparison'!AC:AC,'GT Comparison'!E:E,"zero")</f>
        <v>0.60611382829501703</v>
      </c>
    </row>
    <row r="71" spans="1:15" ht="20.149999999999999" customHeight="1" x14ac:dyDescent="0.35">
      <c r="A71" s="172" t="s">
        <v>92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</row>
    <row r="72" spans="1:15" ht="18" customHeight="1" x14ac:dyDescent="0.35">
      <c r="A72" s="159" t="s">
        <v>9</v>
      </c>
      <c r="B72" s="170"/>
      <c r="C72" s="158"/>
      <c r="D72" s="163" t="s">
        <v>57</v>
      </c>
      <c r="E72" s="158"/>
      <c r="F72" s="158"/>
      <c r="G72" s="171" t="s">
        <v>58</v>
      </c>
      <c r="H72" s="158"/>
      <c r="I72" s="158"/>
      <c r="J72" s="169" t="s">
        <v>59</v>
      </c>
      <c r="K72" s="158"/>
      <c r="L72" s="158"/>
      <c r="M72" s="165" t="s">
        <v>60</v>
      </c>
      <c r="N72" s="158"/>
      <c r="O72" s="158"/>
    </row>
    <row r="73" spans="1:15" ht="15.9" customHeight="1" x14ac:dyDescent="0.35">
      <c r="A73" s="158"/>
      <c r="B73" s="158"/>
      <c r="C73" s="158"/>
      <c r="D73" s="107" t="s">
        <v>62</v>
      </c>
      <c r="E73" s="107" t="s">
        <v>63</v>
      </c>
      <c r="F73" s="107" t="s">
        <v>64</v>
      </c>
      <c r="G73" s="106" t="s">
        <v>62</v>
      </c>
      <c r="H73" s="106" t="s">
        <v>63</v>
      </c>
      <c r="I73" s="106" t="s">
        <v>64</v>
      </c>
      <c r="J73" s="105" t="s">
        <v>62</v>
      </c>
      <c r="K73" s="105" t="s">
        <v>63</v>
      </c>
      <c r="L73" s="105" t="s">
        <v>64</v>
      </c>
      <c r="M73" s="104" t="s">
        <v>62</v>
      </c>
      <c r="N73" s="104" t="s">
        <v>63</v>
      </c>
      <c r="O73" s="104" t="s">
        <v>64</v>
      </c>
    </row>
    <row r="74" spans="1:15" ht="27.9" customHeight="1" x14ac:dyDescent="0.35">
      <c r="A74" s="103">
        <v>1</v>
      </c>
      <c r="B74" s="102"/>
      <c r="C74" s="102"/>
      <c r="D74" s="115">
        <f>AVERAGEIFS('GT Comparison'!L:L,'GT Comparison'!D:D,1)</f>
        <v>0.96049624978196368</v>
      </c>
      <c r="E74" s="115">
        <f>AVERAGEIFS('GT Comparison'!M:M,'GT Comparison'!D:D,1)</f>
        <v>0.85103635341730499</v>
      </c>
      <c r="F74" s="137">
        <f>AVERAGEIFS('GT Comparison'!N:N,'GT Comparison'!D:D,1)</f>
        <v>0.89127079586315838</v>
      </c>
      <c r="G74" s="115">
        <f>AVERAGEIFS('GT Comparison'!Q:Q,'GT Comparison'!D:D,1)</f>
        <v>0.98610658741611135</v>
      </c>
      <c r="H74" s="115">
        <f>AVERAGEIFS('GT Comparison'!R:R,'GT Comparison'!D:D,1)</f>
        <v>0.73067954987206152</v>
      </c>
      <c r="I74" s="137">
        <f>AVERAGEIFS('GT Comparison'!S:S,'GT Comparison'!D:D,1)</f>
        <v>0.81978955762356753</v>
      </c>
      <c r="J74" s="115">
        <f>AVERAGEIFS('GT Comparison'!V:V,'GT Comparison'!D:D,1)</f>
        <v>0.83819076646457502</v>
      </c>
      <c r="K74" s="115">
        <f>AVERAGEIFS('GT Comparison'!W:W,'GT Comparison'!D:D,1)</f>
        <v>0.75731975255784667</v>
      </c>
      <c r="L74" s="137">
        <f>AVERAGEIFS('GT Comparison'!X:X,'GT Comparison'!D:D,1)</f>
        <v>0.80020131425023866</v>
      </c>
      <c r="M74" s="115">
        <f>AVERAGEIFS('GT Comparison'!AA:AA,'GT Comparison'!D:D,1)</f>
        <v>0.74188724810048223</v>
      </c>
      <c r="N74" s="115">
        <f>AVERAGEIFS('GT Comparison'!AB:AB,'GT Comparison'!D:D,1)</f>
        <v>0.54738009122016074</v>
      </c>
      <c r="O74" s="137">
        <f>AVERAGEIFS('GT Comparison'!AC:AC,'GT Comparison'!D:D,1)</f>
        <v>0.61472352409978148</v>
      </c>
    </row>
    <row r="75" spans="1:15" ht="27.9" customHeight="1" x14ac:dyDescent="0.35">
      <c r="A75" s="103">
        <v>2</v>
      </c>
      <c r="B75" s="102"/>
      <c r="C75" s="102"/>
      <c r="D75" s="116">
        <f>AVERAGEIFS('GT Comparison'!L:L,'GT Comparison'!D:D,2)</f>
        <v>0.95795489192701699</v>
      </c>
      <c r="E75" s="116">
        <f>AVERAGEIFS('GT Comparison'!M:M,'GT Comparison'!D:D,2)</f>
        <v>0.84567839567839498</v>
      </c>
      <c r="F75" s="137">
        <f>AVERAGEIFS('GT Comparison'!N:N,'GT Comparison'!D:D,2)</f>
        <v>0.88826358628372126</v>
      </c>
      <c r="G75" s="116">
        <f>AVERAGEIFS('GT Comparison'!Q:Q,'GT Comparison'!D:D,2)</f>
        <v>0.98658781694495989</v>
      </c>
      <c r="H75" s="116">
        <f>AVERAGEIFS('GT Comparison'!R:R,'GT Comparison'!D:D,2)</f>
        <v>0.72463147059011657</v>
      </c>
      <c r="I75" s="137">
        <f>AVERAGEIFS('GT Comparison'!S:S,'GT Comparison'!D:D,2)</f>
        <v>0.81702775642572445</v>
      </c>
      <c r="J75" s="116">
        <f>AVERAGEIFS('GT Comparison'!V:V,'GT Comparison'!D:D,2)</f>
        <v>0.83292429572191418</v>
      </c>
      <c r="K75" s="116">
        <f>AVERAGEIFS('GT Comparison'!W:W,'GT Comparison'!D:D,2)</f>
        <v>0.75023169070788009</v>
      </c>
      <c r="L75" s="137">
        <f>AVERAGEIFS('GT Comparison'!X:X,'GT Comparison'!D:D,2)</f>
        <v>0.78775874283954861</v>
      </c>
      <c r="M75" s="116">
        <f>AVERAGEIFS('GT Comparison'!AA:AA,'GT Comparison'!D:D,2)</f>
        <v>0.74685888258564659</v>
      </c>
      <c r="N75" s="116">
        <f>AVERAGEIFS('GT Comparison'!AB:AB,'GT Comparison'!D:D,2)</f>
        <v>0.55016992226422112</v>
      </c>
      <c r="O75" s="137">
        <f>AVERAGEIFS('GT Comparison'!AC:AC,'GT Comparison'!D:D,2)</f>
        <v>0.61892261080809396</v>
      </c>
    </row>
    <row r="76" spans="1:15" ht="27.9" customHeight="1" x14ac:dyDescent="0.35">
      <c r="A76" s="103">
        <v>3</v>
      </c>
      <c r="B76" s="102"/>
      <c r="C76" s="102"/>
      <c r="D76" s="115">
        <f>AVERAGEIFS('GT Comparison'!L:L,'GT Comparison'!D:D,3)</f>
        <v>0.96598583074773481</v>
      </c>
      <c r="E76" s="115">
        <f>AVERAGEIFS('GT Comparison'!M:M,'GT Comparison'!D:D,3)</f>
        <v>0.87489820585058609</v>
      </c>
      <c r="F76" s="137">
        <f>AVERAGEIFS('GT Comparison'!N:N,'GT Comparison'!D:D,3)</f>
        <v>0.90650554040199949</v>
      </c>
      <c r="G76" s="115">
        <f>AVERAGEIFS('GT Comparison'!Q:Q,'GT Comparison'!D:D,3)</f>
        <v>0.98443725806821059</v>
      </c>
      <c r="H76" s="115">
        <f>AVERAGEIFS('GT Comparison'!R:R,'GT Comparison'!D:D,3)</f>
        <v>0.73625286301116444</v>
      </c>
      <c r="I76" s="137">
        <f>AVERAGEIFS('GT Comparison'!S:S,'GT Comparison'!D:D,3)</f>
        <v>0.82370769997649407</v>
      </c>
      <c r="J76" s="115">
        <f>AVERAGEIFS('GT Comparison'!V:V,'GT Comparison'!D:D,3)</f>
        <v>0.83012495661305052</v>
      </c>
      <c r="K76" s="115">
        <f>AVERAGEIFS('GT Comparison'!W:W,'GT Comparison'!D:D,3)</f>
        <v>0.76072569405902624</v>
      </c>
      <c r="L76" s="137">
        <f>AVERAGEIFS('GT Comparison'!X:X,'GT Comparison'!D:D,3)</f>
        <v>0.79490878787010766</v>
      </c>
      <c r="M76" s="115">
        <f>AVERAGEIFS('GT Comparison'!AA:AA,'GT Comparison'!D:D,3)</f>
        <v>0.73821900941022167</v>
      </c>
      <c r="N76" s="115">
        <f>AVERAGEIFS('GT Comparison'!AB:AB,'GT Comparison'!D:D,3)</f>
        <v>0.55098036927219329</v>
      </c>
      <c r="O76" s="137">
        <f>AVERAGEIFS('GT Comparison'!AC:AC,'GT Comparison'!D:D,3)</f>
        <v>0.61646398138251501</v>
      </c>
    </row>
  </sheetData>
  <mergeCells count="53">
    <mergeCell ref="A60:O60"/>
    <mergeCell ref="A61:A62"/>
    <mergeCell ref="B3:B4"/>
    <mergeCell ref="D61:F61"/>
    <mergeCell ref="M72:O72"/>
    <mergeCell ref="B49:B50"/>
    <mergeCell ref="A66:O66"/>
    <mergeCell ref="A46:O46"/>
    <mergeCell ref="G49:I49"/>
    <mergeCell ref="G3:I3"/>
    <mergeCell ref="J26:L26"/>
    <mergeCell ref="C26:C27"/>
    <mergeCell ref="A24:O24"/>
    <mergeCell ref="C3:C4"/>
    <mergeCell ref="A47:O47"/>
    <mergeCell ref="A23:O23"/>
    <mergeCell ref="G26:I26"/>
    <mergeCell ref="M26:O26"/>
    <mergeCell ref="J3:L3"/>
    <mergeCell ref="A25:O25"/>
    <mergeCell ref="C49:C50"/>
    <mergeCell ref="J49:L49"/>
    <mergeCell ref="D3:F3"/>
    <mergeCell ref="J72:L72"/>
    <mergeCell ref="J67:L67"/>
    <mergeCell ref="B61:C62"/>
    <mergeCell ref="M67:O67"/>
    <mergeCell ref="B67:C68"/>
    <mergeCell ref="G67:I67"/>
    <mergeCell ref="G61:I61"/>
    <mergeCell ref="D72:F72"/>
    <mergeCell ref="A71:O71"/>
    <mergeCell ref="B72:C73"/>
    <mergeCell ref="A72:A73"/>
    <mergeCell ref="J61:L61"/>
    <mergeCell ref="G72:I72"/>
    <mergeCell ref="M61:O61"/>
    <mergeCell ref="A1:O1"/>
    <mergeCell ref="A49:A50"/>
    <mergeCell ref="B26:B27"/>
    <mergeCell ref="A67:A68"/>
    <mergeCell ref="D49:F49"/>
    <mergeCell ref="D67:F67"/>
    <mergeCell ref="A59:O59"/>
    <mergeCell ref="M49:O49"/>
    <mergeCell ref="A57:O57"/>
    <mergeCell ref="A2:O2"/>
    <mergeCell ref="A3:A4"/>
    <mergeCell ref="A26:A27"/>
    <mergeCell ref="M3:O3"/>
    <mergeCell ref="D26:F26"/>
    <mergeCell ref="A58:O58"/>
    <mergeCell ref="A48:O48"/>
  </mergeCells>
  <pageMargins left="0.75" right="0.75" top="1" bottom="1" header="0.5" footer="0.5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7AD4-5073-40A9-8292-466671DF925E}">
  <dimension ref="A2:R8"/>
  <sheetViews>
    <sheetView workbookViewId="0">
      <selection activeCell="D8" sqref="D8"/>
    </sheetView>
  </sheetViews>
  <sheetFormatPr defaultRowHeight="14.5" x14ac:dyDescent="0.35"/>
  <cols>
    <col min="4" max="4" width="9.6328125" bestFit="1" customWidth="1"/>
    <col min="9" max="9" width="9.6328125" bestFit="1" customWidth="1"/>
    <col min="14" max="14" width="10.453125" customWidth="1"/>
  </cols>
  <sheetData>
    <row r="2" spans="1:18" x14ac:dyDescent="0.35">
      <c r="B2" t="s">
        <v>93</v>
      </c>
      <c r="G2" t="s">
        <v>94</v>
      </c>
      <c r="L2" t="s">
        <v>95</v>
      </c>
      <c r="Q2" t="s">
        <v>96</v>
      </c>
    </row>
    <row r="3" spans="1:18" x14ac:dyDescent="0.35">
      <c r="A3" s="96" t="s">
        <v>97</v>
      </c>
      <c r="B3" s="96" t="s">
        <v>18</v>
      </c>
      <c r="C3">
        <v>1</v>
      </c>
      <c r="D3" t="s">
        <v>98</v>
      </c>
      <c r="F3" s="211" t="s">
        <v>97</v>
      </c>
      <c r="G3" s="211" t="s">
        <v>18</v>
      </c>
      <c r="H3" t="s">
        <v>22</v>
      </c>
      <c r="I3" t="s">
        <v>98</v>
      </c>
      <c r="K3" s="211" t="s">
        <v>97</v>
      </c>
      <c r="L3" s="211" t="s">
        <v>18</v>
      </c>
      <c r="M3">
        <v>0.2</v>
      </c>
      <c r="N3" t="s">
        <v>98</v>
      </c>
      <c r="P3" t="s">
        <v>97</v>
      </c>
      <c r="Q3" t="s">
        <v>17</v>
      </c>
      <c r="R3" t="s">
        <v>99</v>
      </c>
    </row>
    <row r="4" spans="1:18" x14ac:dyDescent="0.35">
      <c r="A4" s="96"/>
      <c r="B4" s="96"/>
      <c r="C4">
        <v>2</v>
      </c>
      <c r="D4" t="s">
        <v>98</v>
      </c>
      <c r="F4" s="211"/>
      <c r="G4" s="211"/>
      <c r="H4" t="s">
        <v>15</v>
      </c>
      <c r="I4" t="s">
        <v>98</v>
      </c>
      <c r="K4" s="211"/>
      <c r="L4" s="211"/>
      <c r="M4">
        <v>0.4</v>
      </c>
      <c r="N4" t="s">
        <v>98</v>
      </c>
      <c r="Q4" t="s">
        <v>100</v>
      </c>
      <c r="R4" t="s">
        <v>99</v>
      </c>
    </row>
    <row r="5" spans="1:18" x14ac:dyDescent="0.35">
      <c r="A5" s="96"/>
      <c r="B5" s="96"/>
      <c r="C5">
        <v>3</v>
      </c>
      <c r="D5" t="s">
        <v>98</v>
      </c>
      <c r="F5" s="211"/>
      <c r="G5" s="211"/>
      <c r="H5" t="s">
        <v>86</v>
      </c>
      <c r="I5" t="s">
        <v>98</v>
      </c>
      <c r="K5" s="211"/>
      <c r="L5" s="211"/>
      <c r="M5">
        <v>0.6</v>
      </c>
      <c r="N5" t="s">
        <v>98</v>
      </c>
      <c r="P5" t="s">
        <v>101</v>
      </c>
      <c r="Q5" t="s">
        <v>17</v>
      </c>
    </row>
    <row r="6" spans="1:18" x14ac:dyDescent="0.35">
      <c r="A6" s="96"/>
      <c r="B6" s="96" t="s">
        <v>17</v>
      </c>
      <c r="C6">
        <v>1</v>
      </c>
      <c r="D6" t="s">
        <v>98</v>
      </c>
      <c r="F6" s="211"/>
      <c r="G6" s="211" t="s">
        <v>17</v>
      </c>
      <c r="H6" t="s">
        <v>22</v>
      </c>
      <c r="I6" t="s">
        <v>98</v>
      </c>
      <c r="K6" s="211"/>
      <c r="L6" s="211" t="s">
        <v>17</v>
      </c>
      <c r="M6">
        <v>0.2</v>
      </c>
      <c r="N6" t="s">
        <v>98</v>
      </c>
      <c r="Q6" t="s">
        <v>100</v>
      </c>
    </row>
    <row r="7" spans="1:18" x14ac:dyDescent="0.35">
      <c r="A7" s="96"/>
      <c r="B7" s="96"/>
      <c r="C7">
        <v>2</v>
      </c>
      <c r="D7" t="s">
        <v>98</v>
      </c>
      <c r="F7" s="211"/>
      <c r="G7" s="211"/>
      <c r="H7" t="s">
        <v>15</v>
      </c>
      <c r="I7" t="s">
        <v>98</v>
      </c>
      <c r="K7" s="211"/>
      <c r="L7" s="211"/>
      <c r="M7">
        <v>0.4</v>
      </c>
      <c r="N7" t="s">
        <v>98</v>
      </c>
      <c r="P7" t="s">
        <v>102</v>
      </c>
      <c r="Q7" t="s">
        <v>17</v>
      </c>
    </row>
    <row r="8" spans="1:18" x14ac:dyDescent="0.35">
      <c r="A8" s="96"/>
      <c r="B8" s="96"/>
      <c r="C8">
        <v>3</v>
      </c>
      <c r="D8" t="s">
        <v>98</v>
      </c>
      <c r="F8" s="211"/>
      <c r="G8" s="211"/>
      <c r="H8" t="s">
        <v>86</v>
      </c>
      <c r="I8" t="s">
        <v>98</v>
      </c>
      <c r="K8" s="211"/>
      <c r="L8" s="211"/>
      <c r="M8">
        <v>0.6</v>
      </c>
      <c r="N8" t="s">
        <v>98</v>
      </c>
      <c r="Q8" t="s">
        <v>100</v>
      </c>
    </row>
  </sheetData>
  <mergeCells count="6">
    <mergeCell ref="K3:K8"/>
    <mergeCell ref="L3:L5"/>
    <mergeCell ref="L6:L8"/>
    <mergeCell ref="F3:F8"/>
    <mergeCell ref="G3:G5"/>
    <mergeCell ref="G6:G8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DBDD-8301-4F99-9D88-55C14E6D98E5}">
  <dimension ref="A1:F4"/>
  <sheetViews>
    <sheetView workbookViewId="0"/>
  </sheetViews>
  <sheetFormatPr defaultRowHeight="14.5" x14ac:dyDescent="0.35"/>
  <sheetData>
    <row r="1" spans="1:6" x14ac:dyDescent="0.35">
      <c r="A1" s="99" t="s">
        <v>7</v>
      </c>
      <c r="B1" s="99" t="s">
        <v>103</v>
      </c>
      <c r="C1" s="99" t="s">
        <v>104</v>
      </c>
      <c r="D1" s="99" t="s">
        <v>105</v>
      </c>
      <c r="E1" s="99" t="s">
        <v>106</v>
      </c>
      <c r="F1" s="99" t="s">
        <v>107</v>
      </c>
    </row>
    <row r="2" spans="1:6" x14ac:dyDescent="0.35">
      <c r="A2" t="s">
        <v>15</v>
      </c>
    </row>
    <row r="3" spans="1:6" x14ac:dyDescent="0.35">
      <c r="A3" t="s">
        <v>22</v>
      </c>
    </row>
    <row r="4" spans="1:6" x14ac:dyDescent="0.35">
      <c r="A4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8fd6de-2f4c-4607-a692-7a31447bee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1F0019F1B32B479668E9AD03872FF0" ma:contentTypeVersion="13" ma:contentTypeDescription="Create a new document." ma:contentTypeScope="" ma:versionID="7ac178a702f7adf9a845e8caea7b7c1e">
  <xsd:schema xmlns:xsd="http://www.w3.org/2001/XMLSchema" xmlns:xs="http://www.w3.org/2001/XMLSchema" xmlns:p="http://schemas.microsoft.com/office/2006/metadata/properties" xmlns:ns3="9a8fd6de-2f4c-4607-a692-7a31447beead" xmlns:ns4="ceb26cbd-92a1-40cd-95c9-70b224c6aea5" targetNamespace="http://schemas.microsoft.com/office/2006/metadata/properties" ma:root="true" ma:fieldsID="6ee51b114ce2d9cc4d73a5366e5af019" ns3:_="" ns4:_="">
    <xsd:import namespace="9a8fd6de-2f4c-4607-a692-7a31447beead"/>
    <xsd:import namespace="ceb26cbd-92a1-40cd-95c9-70b224c6ae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fd6de-2f4c-4607-a692-7a31447be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26cbd-92a1-40cd-95c9-70b224c6aea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954DF6-A7F2-4F1A-B445-B3863E240F86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ceb26cbd-92a1-40cd-95c9-70b224c6aea5"/>
    <ds:schemaRef ds:uri="9a8fd6de-2f4c-4607-a692-7a31447beea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0DA86C3-BF2D-4A55-A8D7-4FFBDCC8BD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8fd6de-2f4c-4607-a692-7a31447beead"/>
    <ds:schemaRef ds:uri="ceb26cbd-92a1-40cd-95c9-70b224c6ae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1E3658-4BCC-4092-B538-CE72D93E1F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Detailed Results</vt:lpstr>
      <vt:lpstr>GT Input</vt:lpstr>
      <vt:lpstr>GT Comparison</vt:lpstr>
      <vt:lpstr>Summary (Avg per LLM)</vt:lpstr>
      <vt:lpstr>Analysis</vt:lpstr>
      <vt:lpstr>Iteration Avg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Isha Chand</cp:lastModifiedBy>
  <cp:revision>0</cp:revision>
  <dcterms:created xsi:type="dcterms:W3CDTF">2026-05-12T16:20:20Z</dcterms:created>
  <dcterms:modified xsi:type="dcterms:W3CDTF">2026-05-18T19:18:23Z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0x010100681F0019F1B32B479668E9AD03872FF0</vt:lpwstr>
  </property>
</Properties>
</file>